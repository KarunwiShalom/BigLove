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karunwi\Documents\"/>
    </mc:Choice>
  </mc:AlternateContent>
  <xr:revisionPtr revIDLastSave="0" documentId="13_ncr:1_{E1916C11-227B-4914-847F-884D8D4C9EDC}" xr6:coauthVersionLast="47" xr6:coauthVersionMax="47" xr10:uidLastSave="{00000000-0000-0000-0000-000000000000}"/>
  <bookViews>
    <workbookView xWindow="-108" yWindow="-108" windowWidth="23256" windowHeight="13176" activeTab="6" xr2:uid="{00000000-000D-0000-FFFF-FFFF00000000}"/>
  </bookViews>
  <sheets>
    <sheet name="Dashboard" sheetId="22" r:id="rId1"/>
    <sheet name="SalesOverTime" sheetId="18" r:id="rId2"/>
    <sheet name="SalesByCountry" sheetId="20" r:id="rId3"/>
    <sheet name="SalesByCustomer" sheetId="21" r:id="rId4"/>
    <sheet name="orders" sheetId="17" r:id="rId5"/>
    <sheet name="customers" sheetId="13" r:id="rId6"/>
    <sheet name="products" sheetId="2" r:id="rId7"/>
    <sheet name="USD_NGN Historical Data" sheetId="19" r:id="rId8"/>
  </sheets>
  <definedNames>
    <definedName name="_xlnm._FilterDatabase" localSheetId="4" hidden="1">orders!$A$1:$L$1001</definedName>
    <definedName name="_xlnm._FilterDatabase" localSheetId="6" hidden="1">products!$A$1:$G$49</definedName>
    <definedName name="_xlnm._FilterDatabase" localSheetId="7" hidden="1">'USD_NGN Historical Data'!$A$1:$G$957</definedName>
    <definedName name="NativeTimeline_Order_Date">#N/A</definedName>
    <definedName name="Slicer_Loyalty_Card">#N/A</definedName>
    <definedName name="Slicer_Roast_Type_Full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H13" i="17"/>
  <c r="M13" i="17" s="1" a="1"/>
  <c r="M13" i="17" s="1"/>
  <c r="I13" i="17"/>
  <c r="N13" i="17" s="1" a="1"/>
  <c r="N13" i="17" s="1"/>
  <c r="J13" i="17"/>
  <c r="K13" i="17"/>
  <c r="L13" i="17" s="1"/>
  <c r="H14" i="17"/>
  <c r="M14" i="17" s="1" a="1"/>
  <c r="M14" i="17" s="1"/>
  <c r="I14" i="17"/>
  <c r="N14" i="17" s="1" a="1"/>
  <c r="N14" i="17" s="1"/>
  <c r="J14" i="17"/>
  <c r="K14" i="17"/>
  <c r="L14" i="17" s="1"/>
  <c r="H15" i="17"/>
  <c r="M15" i="17" s="1" a="1"/>
  <c r="M15" i="17" s="1"/>
  <c r="I15" i="17"/>
  <c r="N15" i="17" s="1" a="1"/>
  <c r="N15" i="17" s="1"/>
  <c r="J15" i="17"/>
  <c r="K15" i="17"/>
  <c r="L15" i="17" s="1"/>
  <c r="H16" i="17"/>
  <c r="M16" i="17" s="1" a="1"/>
  <c r="M16" i="17" s="1"/>
  <c r="I16" i="17"/>
  <c r="N16" i="17" s="1" a="1"/>
  <c r="N16" i="17" s="1"/>
  <c r="J16" i="17"/>
  <c r="K16" i="17"/>
  <c r="L16" i="17" s="1"/>
  <c r="H17" i="17"/>
  <c r="M17" i="17" s="1" a="1"/>
  <c r="M17" i="17" s="1"/>
  <c r="I17" i="17"/>
  <c r="N17" i="17" s="1" a="1"/>
  <c r="N17" i="17" s="1"/>
  <c r="J17" i="17"/>
  <c r="K17" i="17"/>
  <c r="L17" i="17" s="1"/>
  <c r="H18" i="17"/>
  <c r="M18" i="17" s="1" a="1"/>
  <c r="M18" i="17" s="1"/>
  <c r="I18" i="17"/>
  <c r="N18" i="17" s="1" a="1"/>
  <c r="N18" i="17" s="1"/>
  <c r="J18" i="17"/>
  <c r="K18" i="17"/>
  <c r="L18" i="17" s="1"/>
  <c r="H19" i="17"/>
  <c r="M19" i="17" s="1" a="1"/>
  <c r="M19" i="17" s="1"/>
  <c r="I19" i="17"/>
  <c r="N19" i="17" s="1" a="1"/>
  <c r="N19" i="17" s="1"/>
  <c r="J19" i="17"/>
  <c r="K19" i="17"/>
  <c r="L19" i="17" s="1"/>
  <c r="H20" i="17"/>
  <c r="M20" i="17" s="1" a="1"/>
  <c r="M20" i="17" s="1"/>
  <c r="I20" i="17"/>
  <c r="N20" i="17" s="1" a="1"/>
  <c r="N20" i="17" s="1"/>
  <c r="J20" i="17"/>
  <c r="K20" i="17"/>
  <c r="L20" i="17" s="1"/>
  <c r="H21" i="17"/>
  <c r="M21" i="17" s="1" a="1"/>
  <c r="M21" i="17" s="1"/>
  <c r="I21" i="17"/>
  <c r="N21" i="17" s="1" a="1"/>
  <c r="N21" i="17" s="1"/>
  <c r="J21" i="17"/>
  <c r="K21" i="17"/>
  <c r="L21" i="17" s="1"/>
  <c r="H22" i="17"/>
  <c r="M22" i="17" s="1" a="1"/>
  <c r="M22" i="17" s="1"/>
  <c r="I22" i="17"/>
  <c r="N22" i="17" s="1" a="1"/>
  <c r="N22" i="17" s="1"/>
  <c r="J22" i="17"/>
  <c r="K22" i="17"/>
  <c r="L22" i="17" s="1"/>
  <c r="H23" i="17"/>
  <c r="M23" i="17" s="1" a="1"/>
  <c r="M23" i="17" s="1"/>
  <c r="I23" i="17"/>
  <c r="N23" i="17" s="1" a="1"/>
  <c r="N23" i="17" s="1"/>
  <c r="J23" i="17"/>
  <c r="K23" i="17"/>
  <c r="L23" i="17" s="1"/>
  <c r="H24" i="17"/>
  <c r="M24" i="17" s="1" a="1"/>
  <c r="M24" i="17" s="1"/>
  <c r="I24" i="17"/>
  <c r="N24" i="17" s="1" a="1"/>
  <c r="N24" i="17" s="1"/>
  <c r="J24" i="17"/>
  <c r="K24" i="17"/>
  <c r="L24" i="17" s="1"/>
  <c r="H25" i="17"/>
  <c r="M25" i="17" s="1" a="1"/>
  <c r="M25" i="17" s="1"/>
  <c r="I25" i="17"/>
  <c r="N25" i="17" s="1" a="1"/>
  <c r="N25" i="17" s="1"/>
  <c r="J25" i="17"/>
  <c r="K25" i="17"/>
  <c r="L25" i="17" s="1"/>
  <c r="H26" i="17"/>
  <c r="M26" i="17" s="1" a="1"/>
  <c r="M26" i="17" s="1"/>
  <c r="I26" i="17"/>
  <c r="N26" i="17" s="1" a="1"/>
  <c r="N26" i="17" s="1"/>
  <c r="J26" i="17"/>
  <c r="K26" i="17"/>
  <c r="L26" i="17" s="1"/>
  <c r="H27" i="17"/>
  <c r="M27" i="17" s="1" a="1"/>
  <c r="M27" i="17" s="1"/>
  <c r="I27" i="17"/>
  <c r="N27" i="17" s="1" a="1"/>
  <c r="N27" i="17" s="1"/>
  <c r="J27" i="17"/>
  <c r="K27" i="17"/>
  <c r="L27" i="17" s="1"/>
  <c r="H28" i="17"/>
  <c r="M28" i="17" s="1" a="1"/>
  <c r="M28" i="17" s="1"/>
  <c r="I28" i="17"/>
  <c r="N28" i="17" s="1" a="1"/>
  <c r="N28" i="17" s="1"/>
  <c r="J28" i="17"/>
  <c r="K28" i="17"/>
  <c r="L28" i="17" s="1"/>
  <c r="H29" i="17"/>
  <c r="M29" i="17" s="1" a="1"/>
  <c r="M29" i="17" s="1"/>
  <c r="I29" i="17"/>
  <c r="N29" i="17" s="1" a="1"/>
  <c r="N29" i="17" s="1"/>
  <c r="J29" i="17"/>
  <c r="K29" i="17"/>
  <c r="L29" i="17" s="1"/>
  <c r="H30" i="17"/>
  <c r="M30" i="17" s="1" a="1"/>
  <c r="M30" i="17" s="1"/>
  <c r="I30" i="17"/>
  <c r="N30" i="17" s="1" a="1"/>
  <c r="N30" i="17" s="1"/>
  <c r="J30" i="17"/>
  <c r="K30" i="17"/>
  <c r="L30" i="17" s="1"/>
  <c r="H31" i="17"/>
  <c r="M31" i="17" s="1" a="1"/>
  <c r="M31" i="17" s="1"/>
  <c r="I31" i="17"/>
  <c r="N31" i="17" s="1" a="1"/>
  <c r="N31" i="17" s="1"/>
  <c r="J31" i="17"/>
  <c r="K31" i="17"/>
  <c r="L31" i="17" s="1"/>
  <c r="H32" i="17"/>
  <c r="M32" i="17" s="1" a="1"/>
  <c r="M32" i="17" s="1"/>
  <c r="I32" i="17"/>
  <c r="N32" i="17" s="1" a="1"/>
  <c r="N32" i="17" s="1"/>
  <c r="J32" i="17"/>
  <c r="K32" i="17"/>
  <c r="L32" i="17" s="1"/>
  <c r="H33" i="17"/>
  <c r="M33" i="17" s="1" a="1"/>
  <c r="M33" i="17" s="1"/>
  <c r="I33" i="17"/>
  <c r="N33" i="17" s="1" a="1"/>
  <c r="N33" i="17" s="1"/>
  <c r="J33" i="17"/>
  <c r="K33" i="17"/>
  <c r="L33" i="17" s="1"/>
  <c r="H34" i="17"/>
  <c r="M34" i="17" s="1" a="1"/>
  <c r="M34" i="17" s="1"/>
  <c r="I34" i="17"/>
  <c r="N34" i="17" s="1" a="1"/>
  <c r="N34" i="17" s="1"/>
  <c r="J34" i="17"/>
  <c r="K34" i="17"/>
  <c r="L34" i="17" s="1"/>
  <c r="H35" i="17"/>
  <c r="M35" i="17" s="1" a="1"/>
  <c r="M35" i="17" s="1"/>
  <c r="I35" i="17"/>
  <c r="N35" i="17" s="1" a="1"/>
  <c r="N35" i="17" s="1"/>
  <c r="J35" i="17"/>
  <c r="K35" i="17"/>
  <c r="L35" i="17" s="1"/>
  <c r="H36" i="17"/>
  <c r="M36" i="17" s="1" a="1"/>
  <c r="M36" i="17" s="1"/>
  <c r="I36" i="17"/>
  <c r="N36" i="17" s="1" a="1"/>
  <c r="N36" i="17" s="1"/>
  <c r="J36" i="17"/>
  <c r="K36" i="17"/>
  <c r="L36" i="17" s="1"/>
  <c r="H37" i="17"/>
  <c r="M37" i="17" s="1" a="1"/>
  <c r="M37" i="17" s="1"/>
  <c r="I37" i="17"/>
  <c r="N37" i="17" s="1" a="1"/>
  <c r="N37" i="17" s="1"/>
  <c r="J37" i="17"/>
  <c r="K37" i="17"/>
  <c r="L37" i="17" s="1"/>
  <c r="H38" i="17"/>
  <c r="M38" i="17" s="1" a="1"/>
  <c r="M38" i="17" s="1"/>
  <c r="I38" i="17"/>
  <c r="N38" i="17" s="1" a="1"/>
  <c r="N38" i="17" s="1"/>
  <c r="J38" i="17"/>
  <c r="K38" i="17"/>
  <c r="L38" i="17" s="1"/>
  <c r="H39" i="17"/>
  <c r="M39" i="17" s="1" a="1"/>
  <c r="M39" i="17" s="1"/>
  <c r="I39" i="17"/>
  <c r="N39" i="17" s="1" a="1"/>
  <c r="N39" i="17" s="1"/>
  <c r="J39" i="17"/>
  <c r="K39" i="17"/>
  <c r="L39" i="17" s="1"/>
  <c r="H40" i="17"/>
  <c r="M40" i="17" s="1" a="1"/>
  <c r="M40" i="17" s="1"/>
  <c r="I40" i="17"/>
  <c r="N40" i="17" s="1" a="1"/>
  <c r="N40" i="17" s="1"/>
  <c r="J40" i="17"/>
  <c r="K40" i="17"/>
  <c r="L40" i="17" s="1"/>
  <c r="H41" i="17"/>
  <c r="M41" i="17" s="1" a="1"/>
  <c r="M41" i="17" s="1"/>
  <c r="I41" i="17"/>
  <c r="N41" i="17" s="1" a="1"/>
  <c r="N41" i="17" s="1"/>
  <c r="J41" i="17"/>
  <c r="K41" i="17"/>
  <c r="L41" i="17" s="1"/>
  <c r="H42" i="17"/>
  <c r="M42" i="17" s="1" a="1"/>
  <c r="M42" i="17" s="1"/>
  <c r="I42" i="17"/>
  <c r="N42" i="17" s="1" a="1"/>
  <c r="N42" i="17" s="1"/>
  <c r="J42" i="17"/>
  <c r="K42" i="17"/>
  <c r="L42" i="17" s="1"/>
  <c r="H43" i="17"/>
  <c r="M43" i="17" s="1" a="1"/>
  <c r="M43" i="17" s="1"/>
  <c r="I43" i="17"/>
  <c r="N43" i="17" s="1" a="1"/>
  <c r="N43" i="17" s="1"/>
  <c r="J43" i="17"/>
  <c r="K43" i="17"/>
  <c r="L43" i="17" s="1"/>
  <c r="H44" i="17"/>
  <c r="M44" i="17" s="1" a="1"/>
  <c r="M44" i="17" s="1"/>
  <c r="I44" i="17"/>
  <c r="N44" i="17" s="1" a="1"/>
  <c r="N44" i="17" s="1"/>
  <c r="J44" i="17"/>
  <c r="K44" i="17"/>
  <c r="L44" i="17" s="1"/>
  <c r="H45" i="17"/>
  <c r="M45" i="17" s="1" a="1"/>
  <c r="M45" i="17" s="1"/>
  <c r="I45" i="17"/>
  <c r="N45" i="17" s="1" a="1"/>
  <c r="N45" i="17" s="1"/>
  <c r="J45" i="17"/>
  <c r="K45" i="17"/>
  <c r="L45" i="17" s="1"/>
  <c r="H46" i="17"/>
  <c r="M46" i="17" s="1" a="1"/>
  <c r="M46" i="17" s="1"/>
  <c r="I46" i="17"/>
  <c r="N46" i="17" s="1" a="1"/>
  <c r="N46" i="17" s="1"/>
  <c r="J46" i="17"/>
  <c r="K46" i="17"/>
  <c r="L46" i="17" s="1"/>
  <c r="H47" i="17"/>
  <c r="M47" i="17" s="1" a="1"/>
  <c r="M47" i="17" s="1"/>
  <c r="I47" i="17"/>
  <c r="N47" i="17" s="1" a="1"/>
  <c r="N47" i="17" s="1"/>
  <c r="J47" i="17"/>
  <c r="K47" i="17"/>
  <c r="L47" i="17" s="1"/>
  <c r="H48" i="17"/>
  <c r="M48" i="17" s="1" a="1"/>
  <c r="M48" i="17" s="1"/>
  <c r="I48" i="17"/>
  <c r="N48" i="17" s="1" a="1"/>
  <c r="N48" i="17" s="1"/>
  <c r="J48" i="17"/>
  <c r="K48" i="17"/>
  <c r="L48" i="17" s="1"/>
  <c r="H49" i="17"/>
  <c r="M49" i="17" s="1" a="1"/>
  <c r="M49" i="17" s="1"/>
  <c r="I49" i="17"/>
  <c r="N49" i="17" s="1" a="1"/>
  <c r="N49" i="17" s="1"/>
  <c r="J49" i="17"/>
  <c r="K49" i="17"/>
  <c r="L49" i="17" s="1"/>
  <c r="H50" i="17"/>
  <c r="M50" i="17" s="1" a="1"/>
  <c r="M50" i="17" s="1"/>
  <c r="I50" i="17"/>
  <c r="N50" i="17" s="1" a="1"/>
  <c r="N50" i="17" s="1"/>
  <c r="J50" i="17"/>
  <c r="K50" i="17"/>
  <c r="L50" i="17" s="1"/>
  <c r="H51" i="17"/>
  <c r="M51" i="17" s="1" a="1"/>
  <c r="M51" i="17" s="1"/>
  <c r="I51" i="17"/>
  <c r="N51" i="17" s="1" a="1"/>
  <c r="N51" i="17" s="1"/>
  <c r="J51" i="17"/>
  <c r="K51" i="17"/>
  <c r="L51" i="17" s="1"/>
  <c r="H52" i="17"/>
  <c r="M52" i="17" s="1" a="1"/>
  <c r="M52" i="17" s="1"/>
  <c r="I52" i="17"/>
  <c r="N52" i="17" s="1" a="1"/>
  <c r="N52" i="17" s="1"/>
  <c r="J52" i="17"/>
  <c r="K52" i="17"/>
  <c r="L52" i="17" s="1"/>
  <c r="H53" i="17"/>
  <c r="M53" i="17" s="1" a="1"/>
  <c r="M53" i="17" s="1"/>
  <c r="I53" i="17"/>
  <c r="N53" i="17" s="1" a="1"/>
  <c r="N53" i="17" s="1"/>
  <c r="J53" i="17"/>
  <c r="K53" i="17"/>
  <c r="L53" i="17" s="1"/>
  <c r="H54" i="17"/>
  <c r="M54" i="17" s="1" a="1"/>
  <c r="M54" i="17" s="1"/>
  <c r="I54" i="17"/>
  <c r="N54" i="17" s="1" a="1"/>
  <c r="N54" i="17" s="1"/>
  <c r="J54" i="17"/>
  <c r="K54" i="17"/>
  <c r="L54" i="17" s="1"/>
  <c r="H55" i="17"/>
  <c r="M55" i="17" s="1" a="1"/>
  <c r="M55" i="17" s="1"/>
  <c r="I55" i="17"/>
  <c r="N55" i="17" s="1" a="1"/>
  <c r="N55" i="17" s="1"/>
  <c r="J55" i="17"/>
  <c r="K55" i="17"/>
  <c r="L55" i="17" s="1"/>
  <c r="H56" i="17"/>
  <c r="M56" i="17" s="1" a="1"/>
  <c r="M56" i="17" s="1"/>
  <c r="I56" i="17"/>
  <c r="N56" i="17" s="1" a="1"/>
  <c r="N56" i="17" s="1"/>
  <c r="J56" i="17"/>
  <c r="K56" i="17"/>
  <c r="L56" i="17" s="1"/>
  <c r="H57" i="17"/>
  <c r="M57" i="17" s="1" a="1"/>
  <c r="M57" i="17" s="1"/>
  <c r="I57" i="17"/>
  <c r="N57" i="17" s="1" a="1"/>
  <c r="N57" i="17" s="1"/>
  <c r="J57" i="17"/>
  <c r="K57" i="17"/>
  <c r="L57" i="17" s="1"/>
  <c r="H58" i="17"/>
  <c r="M58" i="17" s="1" a="1"/>
  <c r="M58" i="17" s="1"/>
  <c r="I58" i="17"/>
  <c r="N58" i="17" s="1" a="1"/>
  <c r="N58" i="17" s="1"/>
  <c r="J58" i="17"/>
  <c r="K58" i="17"/>
  <c r="L58" i="17" s="1"/>
  <c r="H59" i="17"/>
  <c r="M59" i="17" s="1" a="1"/>
  <c r="M59" i="17" s="1"/>
  <c r="I59" i="17"/>
  <c r="N59" i="17" s="1" a="1"/>
  <c r="N59" i="17" s="1"/>
  <c r="J59" i="17"/>
  <c r="K59" i="17"/>
  <c r="L59" i="17" s="1"/>
  <c r="H60" i="17"/>
  <c r="M60" i="17" s="1" a="1"/>
  <c r="M60" i="17" s="1"/>
  <c r="I60" i="17"/>
  <c r="N60" i="17" s="1" a="1"/>
  <c r="N60" i="17" s="1"/>
  <c r="J60" i="17"/>
  <c r="K60" i="17"/>
  <c r="L60" i="17" s="1"/>
  <c r="H61" i="17"/>
  <c r="M61" i="17" s="1" a="1"/>
  <c r="M61" i="17" s="1"/>
  <c r="I61" i="17"/>
  <c r="N61" i="17" s="1" a="1"/>
  <c r="N61" i="17" s="1"/>
  <c r="J61" i="17"/>
  <c r="K61" i="17"/>
  <c r="L61" i="17" s="1"/>
  <c r="H62" i="17"/>
  <c r="M62" i="17" s="1" a="1"/>
  <c r="M62" i="17" s="1"/>
  <c r="I62" i="17"/>
  <c r="N62" i="17" s="1" a="1"/>
  <c r="N62" i="17" s="1"/>
  <c r="J62" i="17"/>
  <c r="K62" i="17"/>
  <c r="L62" i="17" s="1"/>
  <c r="H63" i="17"/>
  <c r="M63" i="17" s="1" a="1"/>
  <c r="M63" i="17" s="1"/>
  <c r="I63" i="17"/>
  <c r="N63" i="17" s="1" a="1"/>
  <c r="N63" i="17" s="1"/>
  <c r="J63" i="17"/>
  <c r="K63" i="17"/>
  <c r="L63" i="17" s="1"/>
  <c r="H64" i="17"/>
  <c r="M64" i="17" s="1" a="1"/>
  <c r="M64" i="17" s="1"/>
  <c r="I64" i="17"/>
  <c r="N64" i="17" s="1" a="1"/>
  <c r="N64" i="17" s="1"/>
  <c r="J64" i="17"/>
  <c r="K64" i="17"/>
  <c r="L64" i="17" s="1"/>
  <c r="H65" i="17"/>
  <c r="M65" i="17" s="1" a="1"/>
  <c r="M65" i="17" s="1"/>
  <c r="I65" i="17"/>
  <c r="N65" i="17" s="1" a="1"/>
  <c r="N65" i="17" s="1"/>
  <c r="J65" i="17"/>
  <c r="K65" i="17"/>
  <c r="L65" i="17" s="1"/>
  <c r="H66" i="17"/>
  <c r="M66" i="17" s="1" a="1"/>
  <c r="M66" i="17" s="1"/>
  <c r="I66" i="17"/>
  <c r="N66" i="17" s="1" a="1"/>
  <c r="N66" i="17" s="1"/>
  <c r="J66" i="17"/>
  <c r="K66" i="17"/>
  <c r="L66" i="17" s="1"/>
  <c r="H67" i="17"/>
  <c r="M67" i="17" s="1" a="1"/>
  <c r="M67" i="17" s="1"/>
  <c r="I67" i="17"/>
  <c r="N67" i="17" s="1" a="1"/>
  <c r="N67" i="17" s="1"/>
  <c r="J67" i="17"/>
  <c r="K67" i="17"/>
  <c r="L67" i="17" s="1"/>
  <c r="H68" i="17"/>
  <c r="M68" i="17" s="1" a="1"/>
  <c r="M68" i="17" s="1"/>
  <c r="I68" i="17"/>
  <c r="N68" i="17" s="1" a="1"/>
  <c r="N68" i="17" s="1"/>
  <c r="J68" i="17"/>
  <c r="K68" i="17"/>
  <c r="L68" i="17" s="1"/>
  <c r="H69" i="17"/>
  <c r="M69" i="17" s="1" a="1"/>
  <c r="M69" i="17" s="1"/>
  <c r="I69" i="17"/>
  <c r="N69" i="17" s="1" a="1"/>
  <c r="N69" i="17" s="1"/>
  <c r="J69" i="17"/>
  <c r="K69" i="17"/>
  <c r="L69" i="17" s="1"/>
  <c r="H70" i="17"/>
  <c r="M70" i="17" s="1" a="1"/>
  <c r="M70" i="17" s="1"/>
  <c r="I70" i="17"/>
  <c r="N70" i="17" s="1" a="1"/>
  <c r="N70" i="17" s="1"/>
  <c r="J70" i="17"/>
  <c r="K70" i="17"/>
  <c r="L70" i="17" s="1"/>
  <c r="H71" i="17"/>
  <c r="M71" i="17" s="1" a="1"/>
  <c r="M71" i="17" s="1"/>
  <c r="I71" i="17"/>
  <c r="N71" i="17" s="1" a="1"/>
  <c r="N71" i="17" s="1"/>
  <c r="J71" i="17"/>
  <c r="K71" i="17"/>
  <c r="L71" i="17" s="1"/>
  <c r="H72" i="17"/>
  <c r="M72" i="17" s="1" a="1"/>
  <c r="M72" i="17" s="1"/>
  <c r="I72" i="17"/>
  <c r="N72" i="17" s="1" a="1"/>
  <c r="N72" i="17" s="1"/>
  <c r="J72" i="17"/>
  <c r="K72" i="17"/>
  <c r="L72" i="17" s="1"/>
  <c r="H73" i="17"/>
  <c r="M73" i="17" s="1" a="1"/>
  <c r="M73" i="17" s="1"/>
  <c r="I73" i="17"/>
  <c r="N73" i="17" s="1" a="1"/>
  <c r="N73" i="17" s="1"/>
  <c r="J73" i="17"/>
  <c r="K73" i="17"/>
  <c r="L73" i="17" s="1"/>
  <c r="H74" i="17"/>
  <c r="M74" i="17" s="1" a="1"/>
  <c r="M74" i="17" s="1"/>
  <c r="I74" i="17"/>
  <c r="N74" i="17" s="1" a="1"/>
  <c r="N74" i="17" s="1"/>
  <c r="J74" i="17"/>
  <c r="K74" i="17"/>
  <c r="L74" i="17" s="1"/>
  <c r="H75" i="17"/>
  <c r="M75" i="17" s="1" a="1"/>
  <c r="M75" i="17" s="1"/>
  <c r="I75" i="17"/>
  <c r="N75" i="17" s="1" a="1"/>
  <c r="N75" i="17" s="1"/>
  <c r="J75" i="17"/>
  <c r="K75" i="17"/>
  <c r="L75" i="17" s="1"/>
  <c r="H76" i="17"/>
  <c r="M76" i="17" s="1" a="1"/>
  <c r="M76" i="17" s="1"/>
  <c r="I76" i="17"/>
  <c r="N76" i="17" s="1" a="1"/>
  <c r="N76" i="17" s="1"/>
  <c r="J76" i="17"/>
  <c r="K76" i="17"/>
  <c r="L76" i="17" s="1"/>
  <c r="H77" i="17"/>
  <c r="M77" i="17" s="1" a="1"/>
  <c r="M77" i="17" s="1"/>
  <c r="I77" i="17"/>
  <c r="N77" i="17" s="1" a="1"/>
  <c r="N77" i="17" s="1"/>
  <c r="J77" i="17"/>
  <c r="K77" i="17"/>
  <c r="L77" i="17" s="1"/>
  <c r="H78" i="17"/>
  <c r="M78" i="17" s="1" a="1"/>
  <c r="M78" i="17" s="1"/>
  <c r="I78" i="17"/>
  <c r="N78" i="17" s="1" a="1"/>
  <c r="N78" i="17" s="1"/>
  <c r="J78" i="17"/>
  <c r="K78" i="17"/>
  <c r="L78" i="17" s="1"/>
  <c r="H79" i="17"/>
  <c r="M79" i="17" s="1" a="1"/>
  <c r="M79" i="17" s="1"/>
  <c r="I79" i="17"/>
  <c r="N79" i="17" s="1" a="1"/>
  <c r="N79" i="17" s="1"/>
  <c r="J79" i="17"/>
  <c r="K79" i="17"/>
  <c r="L79" i="17" s="1"/>
  <c r="H80" i="17"/>
  <c r="M80" i="17" s="1" a="1"/>
  <c r="M80" i="17" s="1"/>
  <c r="I80" i="17"/>
  <c r="N80" i="17" s="1" a="1"/>
  <c r="N80" i="17" s="1"/>
  <c r="J80" i="17"/>
  <c r="K80" i="17"/>
  <c r="L80" i="17" s="1"/>
  <c r="H81" i="17"/>
  <c r="M81" i="17" s="1" a="1"/>
  <c r="M81" i="17" s="1"/>
  <c r="I81" i="17"/>
  <c r="N81" i="17" s="1" a="1"/>
  <c r="N81" i="17" s="1"/>
  <c r="J81" i="17"/>
  <c r="K81" i="17"/>
  <c r="L81" i="17" s="1"/>
  <c r="H82" i="17"/>
  <c r="M82" i="17" s="1" a="1"/>
  <c r="M82" i="17" s="1"/>
  <c r="I82" i="17"/>
  <c r="N82" i="17" s="1" a="1"/>
  <c r="N82" i="17" s="1"/>
  <c r="J82" i="17"/>
  <c r="K82" i="17"/>
  <c r="L82" i="17" s="1"/>
  <c r="H83" i="17"/>
  <c r="M83" i="17" s="1" a="1"/>
  <c r="M83" i="17" s="1"/>
  <c r="I83" i="17"/>
  <c r="N83" i="17" s="1" a="1"/>
  <c r="N83" i="17" s="1"/>
  <c r="J83" i="17"/>
  <c r="K83" i="17"/>
  <c r="L83" i="17" s="1"/>
  <c r="H84" i="17"/>
  <c r="M84" i="17" s="1" a="1"/>
  <c r="M84" i="17" s="1"/>
  <c r="I84" i="17"/>
  <c r="N84" i="17" s="1" a="1"/>
  <c r="N84" i="17" s="1"/>
  <c r="J84" i="17"/>
  <c r="K84" i="17"/>
  <c r="L84" i="17" s="1"/>
  <c r="H85" i="17"/>
  <c r="M85" i="17" s="1" a="1"/>
  <c r="M85" i="17" s="1"/>
  <c r="I85" i="17"/>
  <c r="N85" i="17" s="1" a="1"/>
  <c r="N85" i="17" s="1"/>
  <c r="J85" i="17"/>
  <c r="K85" i="17"/>
  <c r="L85" i="17" s="1"/>
  <c r="H86" i="17"/>
  <c r="M86" i="17" s="1" a="1"/>
  <c r="M86" i="17" s="1"/>
  <c r="I86" i="17"/>
  <c r="N86" i="17" s="1" a="1"/>
  <c r="N86" i="17" s="1"/>
  <c r="J86" i="17"/>
  <c r="K86" i="17"/>
  <c r="L86" i="17" s="1"/>
  <c r="H87" i="17"/>
  <c r="M87" i="17" s="1" a="1"/>
  <c r="M87" i="17" s="1"/>
  <c r="I87" i="17"/>
  <c r="N87" i="17" s="1" a="1"/>
  <c r="N87" i="17" s="1"/>
  <c r="J87" i="17"/>
  <c r="K87" i="17"/>
  <c r="L87" i="17" s="1"/>
  <c r="H88" i="17"/>
  <c r="M88" i="17" s="1" a="1"/>
  <c r="M88" i="17" s="1"/>
  <c r="I88" i="17"/>
  <c r="N88" i="17" s="1" a="1"/>
  <c r="N88" i="17" s="1"/>
  <c r="J88" i="17"/>
  <c r="K88" i="17"/>
  <c r="L88" i="17" s="1"/>
  <c r="H89" i="17"/>
  <c r="M89" i="17" s="1" a="1"/>
  <c r="M89" i="17" s="1"/>
  <c r="I89" i="17"/>
  <c r="N89" i="17" s="1" a="1"/>
  <c r="N89" i="17" s="1"/>
  <c r="J89" i="17"/>
  <c r="K89" i="17"/>
  <c r="L89" i="17" s="1"/>
  <c r="H90" i="17"/>
  <c r="M90" i="17" s="1" a="1"/>
  <c r="M90" i="17" s="1"/>
  <c r="I90" i="17"/>
  <c r="N90" i="17" s="1" a="1"/>
  <c r="N90" i="17" s="1"/>
  <c r="J90" i="17"/>
  <c r="K90" i="17"/>
  <c r="L90" i="17" s="1"/>
  <c r="H91" i="17"/>
  <c r="M91" i="17" s="1" a="1"/>
  <c r="M91" i="17" s="1"/>
  <c r="I91" i="17"/>
  <c r="N91" i="17" s="1" a="1"/>
  <c r="N91" i="17" s="1"/>
  <c r="J91" i="17"/>
  <c r="K91" i="17"/>
  <c r="L91" i="17" s="1"/>
  <c r="H92" i="17"/>
  <c r="M92" i="17" s="1" a="1"/>
  <c r="M92" i="17" s="1"/>
  <c r="I92" i="17"/>
  <c r="N92" i="17" s="1" a="1"/>
  <c r="N92" i="17" s="1"/>
  <c r="J92" i="17"/>
  <c r="K92" i="17"/>
  <c r="L92" i="17" s="1"/>
  <c r="H93" i="17"/>
  <c r="M93" i="17" s="1" a="1"/>
  <c r="M93" i="17" s="1"/>
  <c r="I93" i="17"/>
  <c r="N93" i="17" s="1" a="1"/>
  <c r="N93" i="17" s="1"/>
  <c r="J93" i="17"/>
  <c r="K93" i="17"/>
  <c r="L93" i="17" s="1"/>
  <c r="H94" i="17"/>
  <c r="M94" i="17" s="1" a="1"/>
  <c r="M94" i="17" s="1"/>
  <c r="I94" i="17"/>
  <c r="N94" i="17" s="1" a="1"/>
  <c r="N94" i="17" s="1"/>
  <c r="J94" i="17"/>
  <c r="K94" i="17"/>
  <c r="L94" i="17" s="1"/>
  <c r="H95" i="17"/>
  <c r="M95" i="17" s="1" a="1"/>
  <c r="M95" i="17" s="1"/>
  <c r="I95" i="17"/>
  <c r="N95" i="17" s="1" a="1"/>
  <c r="N95" i="17" s="1"/>
  <c r="J95" i="17"/>
  <c r="K95" i="17"/>
  <c r="L95" i="17" s="1"/>
  <c r="H96" i="17"/>
  <c r="M96" i="17" s="1" a="1"/>
  <c r="M96" i="17" s="1"/>
  <c r="I96" i="17"/>
  <c r="N96" i="17" s="1" a="1"/>
  <c r="N96" i="17" s="1"/>
  <c r="J96" i="17"/>
  <c r="K96" i="17"/>
  <c r="L96" i="17" s="1"/>
  <c r="H97" i="17"/>
  <c r="M97" i="17" s="1" a="1"/>
  <c r="M97" i="17" s="1"/>
  <c r="I97" i="17"/>
  <c r="N97" i="17" s="1" a="1"/>
  <c r="N97" i="17" s="1"/>
  <c r="J97" i="17"/>
  <c r="K97" i="17"/>
  <c r="L97" i="17" s="1"/>
  <c r="H98" i="17"/>
  <c r="M98" i="17" s="1" a="1"/>
  <c r="M98" i="17" s="1"/>
  <c r="I98" i="17"/>
  <c r="N98" i="17" s="1" a="1"/>
  <c r="N98" i="17" s="1"/>
  <c r="J98" i="17"/>
  <c r="K98" i="17"/>
  <c r="L98" i="17" s="1"/>
  <c r="H99" i="17"/>
  <c r="M99" i="17" s="1" a="1"/>
  <c r="M99" i="17" s="1"/>
  <c r="I99" i="17"/>
  <c r="N99" i="17" s="1" a="1"/>
  <c r="N99" i="17" s="1"/>
  <c r="J99" i="17"/>
  <c r="K99" i="17"/>
  <c r="L99" i="17" s="1"/>
  <c r="H100" i="17"/>
  <c r="M100" i="17" s="1" a="1"/>
  <c r="M100" i="17" s="1"/>
  <c r="I100" i="17"/>
  <c r="N100" i="17" s="1" a="1"/>
  <c r="N100" i="17" s="1"/>
  <c r="J100" i="17"/>
  <c r="K100" i="17"/>
  <c r="L100" i="17" s="1"/>
  <c r="H101" i="17"/>
  <c r="M101" i="17" s="1" a="1"/>
  <c r="M101" i="17" s="1"/>
  <c r="I101" i="17"/>
  <c r="N101" i="17" s="1" a="1"/>
  <c r="N101" i="17" s="1"/>
  <c r="J101" i="17"/>
  <c r="K101" i="17"/>
  <c r="L101" i="17" s="1"/>
  <c r="H102" i="17"/>
  <c r="M102" i="17" s="1" a="1"/>
  <c r="M102" i="17" s="1"/>
  <c r="I102" i="17"/>
  <c r="N102" i="17" s="1" a="1"/>
  <c r="N102" i="17" s="1"/>
  <c r="J102" i="17"/>
  <c r="K102" i="17"/>
  <c r="L102" i="17" s="1"/>
  <c r="H103" i="17"/>
  <c r="M103" i="17" s="1" a="1"/>
  <c r="M103" i="17" s="1"/>
  <c r="I103" i="17"/>
  <c r="N103" i="17" s="1" a="1"/>
  <c r="N103" i="17" s="1"/>
  <c r="J103" i="17"/>
  <c r="K103" i="17"/>
  <c r="L103" i="17" s="1"/>
  <c r="H104" i="17"/>
  <c r="M104" i="17" s="1" a="1"/>
  <c r="M104" i="17" s="1"/>
  <c r="I104" i="17"/>
  <c r="N104" i="17" s="1" a="1"/>
  <c r="N104" i="17" s="1"/>
  <c r="J104" i="17"/>
  <c r="K104" i="17"/>
  <c r="L104" i="17" s="1"/>
  <c r="H105" i="17"/>
  <c r="M105" i="17" s="1" a="1"/>
  <c r="M105" i="17" s="1"/>
  <c r="I105" i="17"/>
  <c r="N105" i="17" s="1" a="1"/>
  <c r="N105" i="17" s="1"/>
  <c r="J105" i="17"/>
  <c r="K105" i="17"/>
  <c r="L105" i="17" s="1"/>
  <c r="H106" i="17"/>
  <c r="M106" i="17" s="1" a="1"/>
  <c r="M106" i="17" s="1"/>
  <c r="I106" i="17"/>
  <c r="N106" i="17" s="1" a="1"/>
  <c r="N106" i="17" s="1"/>
  <c r="J106" i="17"/>
  <c r="K106" i="17"/>
  <c r="L106" i="17" s="1"/>
  <c r="H107" i="17"/>
  <c r="M107" i="17" s="1" a="1"/>
  <c r="M107" i="17" s="1"/>
  <c r="I107" i="17"/>
  <c r="N107" i="17" s="1" a="1"/>
  <c r="N107" i="17" s="1"/>
  <c r="J107" i="17"/>
  <c r="K107" i="17"/>
  <c r="L107" i="17" s="1"/>
  <c r="H108" i="17"/>
  <c r="M108" i="17" s="1" a="1"/>
  <c r="M108" i="17" s="1"/>
  <c r="I108" i="17"/>
  <c r="N108" i="17" s="1" a="1"/>
  <c r="N108" i="17" s="1"/>
  <c r="J108" i="17"/>
  <c r="K108" i="17"/>
  <c r="L108" i="17" s="1"/>
  <c r="H109" i="17"/>
  <c r="M109" i="17" s="1" a="1"/>
  <c r="M109" i="17" s="1"/>
  <c r="I109" i="17"/>
  <c r="N109" i="17" s="1" a="1"/>
  <c r="N109" i="17" s="1"/>
  <c r="J109" i="17"/>
  <c r="K109" i="17"/>
  <c r="L109" i="17" s="1"/>
  <c r="H110" i="17"/>
  <c r="M110" i="17" s="1" a="1"/>
  <c r="M110" i="17" s="1"/>
  <c r="I110" i="17"/>
  <c r="N110" i="17" s="1" a="1"/>
  <c r="N110" i="17" s="1"/>
  <c r="J110" i="17"/>
  <c r="K110" i="17"/>
  <c r="L110" i="17" s="1"/>
  <c r="H111" i="17"/>
  <c r="M111" i="17" s="1" a="1"/>
  <c r="M111" i="17" s="1"/>
  <c r="I111" i="17"/>
  <c r="N111" i="17" s="1" a="1"/>
  <c r="N111" i="17" s="1"/>
  <c r="J111" i="17"/>
  <c r="K111" i="17"/>
  <c r="L111" i="17" s="1"/>
  <c r="H112" i="17"/>
  <c r="M112" i="17" s="1" a="1"/>
  <c r="M112" i="17" s="1"/>
  <c r="I112" i="17"/>
  <c r="N112" i="17" s="1" a="1"/>
  <c r="N112" i="17" s="1"/>
  <c r="J112" i="17"/>
  <c r="K112" i="17"/>
  <c r="L112" i="17" s="1"/>
  <c r="H113" i="17"/>
  <c r="M113" i="17" s="1" a="1"/>
  <c r="M113" i="17" s="1"/>
  <c r="I113" i="17"/>
  <c r="N113" i="17" s="1" a="1"/>
  <c r="N113" i="17" s="1"/>
  <c r="J113" i="17"/>
  <c r="K113" i="17"/>
  <c r="L113" i="17" s="1"/>
  <c r="H114" i="17"/>
  <c r="M114" i="17" s="1" a="1"/>
  <c r="M114" i="17" s="1"/>
  <c r="I114" i="17"/>
  <c r="N114" i="17" s="1" a="1"/>
  <c r="N114" i="17" s="1"/>
  <c r="J114" i="17"/>
  <c r="K114" i="17"/>
  <c r="L114" i="17" s="1"/>
  <c r="H115" i="17"/>
  <c r="M115" i="17" s="1" a="1"/>
  <c r="M115" i="17" s="1"/>
  <c r="I115" i="17"/>
  <c r="N115" i="17" s="1" a="1"/>
  <c r="N115" i="17" s="1"/>
  <c r="J115" i="17"/>
  <c r="K115" i="17"/>
  <c r="L115" i="17" s="1"/>
  <c r="H116" i="17"/>
  <c r="M116" i="17" s="1" a="1"/>
  <c r="M116" i="17" s="1"/>
  <c r="I116" i="17"/>
  <c r="N116" i="17" s="1" a="1"/>
  <c r="N116" i="17" s="1"/>
  <c r="J116" i="17"/>
  <c r="K116" i="17"/>
  <c r="L116" i="17" s="1"/>
  <c r="H117" i="17"/>
  <c r="M117" i="17" s="1" a="1"/>
  <c r="M117" i="17" s="1"/>
  <c r="I117" i="17"/>
  <c r="N117" i="17" s="1" a="1"/>
  <c r="N117" i="17" s="1"/>
  <c r="J117" i="17"/>
  <c r="K117" i="17"/>
  <c r="L117" i="17" s="1"/>
  <c r="H118" i="17"/>
  <c r="M118" i="17" s="1" a="1"/>
  <c r="M118" i="17" s="1"/>
  <c r="I118" i="17"/>
  <c r="N118" i="17" s="1" a="1"/>
  <c r="N118" i="17" s="1"/>
  <c r="J118" i="17"/>
  <c r="K118" i="17"/>
  <c r="L118" i="17" s="1"/>
  <c r="H119" i="17"/>
  <c r="M119" i="17" s="1" a="1"/>
  <c r="M119" i="17" s="1"/>
  <c r="I119" i="17"/>
  <c r="N119" i="17" s="1" a="1"/>
  <c r="N119" i="17" s="1"/>
  <c r="J119" i="17"/>
  <c r="K119" i="17"/>
  <c r="L119" i="17" s="1"/>
  <c r="H120" i="17"/>
  <c r="M120" i="17" s="1" a="1"/>
  <c r="M120" i="17" s="1"/>
  <c r="I120" i="17"/>
  <c r="N120" i="17" s="1" a="1"/>
  <c r="N120" i="17" s="1"/>
  <c r="J120" i="17"/>
  <c r="K120" i="17"/>
  <c r="L120" i="17" s="1"/>
  <c r="H121" i="17"/>
  <c r="M121" i="17" s="1" a="1"/>
  <c r="M121" i="17" s="1"/>
  <c r="I121" i="17"/>
  <c r="N121" i="17" s="1" a="1"/>
  <c r="N121" i="17" s="1"/>
  <c r="J121" i="17"/>
  <c r="K121" i="17"/>
  <c r="L121" i="17" s="1"/>
  <c r="H122" i="17"/>
  <c r="M122" i="17" s="1" a="1"/>
  <c r="M122" i="17" s="1"/>
  <c r="I122" i="17"/>
  <c r="N122" i="17" s="1" a="1"/>
  <c r="N122" i="17" s="1"/>
  <c r="J122" i="17"/>
  <c r="K122" i="17"/>
  <c r="L122" i="17" s="1"/>
  <c r="H123" i="17"/>
  <c r="M123" i="17" s="1" a="1"/>
  <c r="M123" i="17" s="1"/>
  <c r="I123" i="17"/>
  <c r="N123" i="17" s="1" a="1"/>
  <c r="N123" i="17" s="1"/>
  <c r="J123" i="17"/>
  <c r="K123" i="17"/>
  <c r="L123" i="17" s="1"/>
  <c r="H124" i="17"/>
  <c r="M124" i="17" s="1" a="1"/>
  <c r="M124" i="17" s="1"/>
  <c r="I124" i="17"/>
  <c r="N124" i="17" s="1" a="1"/>
  <c r="N124" i="17" s="1"/>
  <c r="J124" i="17"/>
  <c r="K124" i="17"/>
  <c r="L124" i="17" s="1"/>
  <c r="H125" i="17"/>
  <c r="M125" i="17" s="1" a="1"/>
  <c r="M125" i="17" s="1"/>
  <c r="I125" i="17"/>
  <c r="N125" i="17" s="1" a="1"/>
  <c r="N125" i="17" s="1"/>
  <c r="J125" i="17"/>
  <c r="K125" i="17"/>
  <c r="L125" i="17" s="1"/>
  <c r="H126" i="17"/>
  <c r="M126" i="17" s="1" a="1"/>
  <c r="M126" i="17" s="1"/>
  <c r="I126" i="17"/>
  <c r="N126" i="17" s="1" a="1"/>
  <c r="N126" i="17" s="1"/>
  <c r="J126" i="17"/>
  <c r="K126" i="17"/>
  <c r="L126" i="17" s="1"/>
  <c r="H127" i="17"/>
  <c r="M127" i="17" s="1" a="1"/>
  <c r="M127" i="17" s="1"/>
  <c r="I127" i="17"/>
  <c r="N127" i="17" s="1" a="1"/>
  <c r="N127" i="17" s="1"/>
  <c r="J127" i="17"/>
  <c r="K127" i="17"/>
  <c r="L127" i="17" s="1"/>
  <c r="H128" i="17"/>
  <c r="M128" i="17" s="1" a="1"/>
  <c r="M128" i="17" s="1"/>
  <c r="I128" i="17"/>
  <c r="N128" i="17" s="1" a="1"/>
  <c r="N128" i="17" s="1"/>
  <c r="J128" i="17"/>
  <c r="K128" i="17"/>
  <c r="L128" i="17" s="1"/>
  <c r="H129" i="17"/>
  <c r="M129" i="17" s="1" a="1"/>
  <c r="M129" i="17" s="1"/>
  <c r="I129" i="17"/>
  <c r="N129" i="17" s="1" a="1"/>
  <c r="N129" i="17" s="1"/>
  <c r="J129" i="17"/>
  <c r="K129" i="17"/>
  <c r="L129" i="17" s="1"/>
  <c r="H130" i="17"/>
  <c r="M130" i="17" s="1" a="1"/>
  <c r="M130" i="17" s="1"/>
  <c r="I130" i="17"/>
  <c r="N130" i="17" s="1" a="1"/>
  <c r="N130" i="17" s="1"/>
  <c r="J130" i="17"/>
  <c r="K130" i="17"/>
  <c r="L130" i="17" s="1"/>
  <c r="H131" i="17"/>
  <c r="M131" i="17" s="1" a="1"/>
  <c r="M131" i="17" s="1"/>
  <c r="I131" i="17"/>
  <c r="N131" i="17" s="1" a="1"/>
  <c r="N131" i="17" s="1"/>
  <c r="J131" i="17"/>
  <c r="K131" i="17"/>
  <c r="L131" i="17" s="1"/>
  <c r="H132" i="17"/>
  <c r="M132" i="17" s="1" a="1"/>
  <c r="M132" i="17" s="1"/>
  <c r="I132" i="17"/>
  <c r="N132" i="17" s="1" a="1"/>
  <c r="N132" i="17" s="1"/>
  <c r="J132" i="17"/>
  <c r="K132" i="17"/>
  <c r="L132" i="17" s="1"/>
  <c r="H133" i="17"/>
  <c r="M133" i="17" s="1" a="1"/>
  <c r="M133" i="17" s="1"/>
  <c r="I133" i="17"/>
  <c r="N133" i="17" s="1" a="1"/>
  <c r="N133" i="17" s="1"/>
  <c r="J133" i="17"/>
  <c r="K133" i="17"/>
  <c r="L133" i="17" s="1"/>
  <c r="H134" i="17"/>
  <c r="M134" i="17" s="1" a="1"/>
  <c r="M134" i="17" s="1"/>
  <c r="I134" i="17"/>
  <c r="N134" i="17" s="1" a="1"/>
  <c r="N134" i="17" s="1"/>
  <c r="J134" i="17"/>
  <c r="K134" i="17"/>
  <c r="L134" i="17" s="1"/>
  <c r="H135" i="17"/>
  <c r="M135" i="17" s="1" a="1"/>
  <c r="M135" i="17" s="1"/>
  <c r="I135" i="17"/>
  <c r="N135" i="17" s="1" a="1"/>
  <c r="N135" i="17" s="1"/>
  <c r="J135" i="17"/>
  <c r="K135" i="17"/>
  <c r="L135" i="17" s="1"/>
  <c r="H136" i="17"/>
  <c r="M136" i="17" s="1" a="1"/>
  <c r="M136" i="17" s="1"/>
  <c r="I136" i="17"/>
  <c r="N136" i="17" s="1" a="1"/>
  <c r="N136" i="17" s="1"/>
  <c r="J136" i="17"/>
  <c r="K136" i="17"/>
  <c r="L136" i="17" s="1"/>
  <c r="H137" i="17"/>
  <c r="M137" i="17" s="1" a="1"/>
  <c r="M137" i="17" s="1"/>
  <c r="I137" i="17"/>
  <c r="N137" i="17" s="1" a="1"/>
  <c r="N137" i="17" s="1"/>
  <c r="J137" i="17"/>
  <c r="K137" i="17"/>
  <c r="L137" i="17" s="1"/>
  <c r="H138" i="17"/>
  <c r="M138" i="17" s="1" a="1"/>
  <c r="M138" i="17" s="1"/>
  <c r="I138" i="17"/>
  <c r="N138" i="17" s="1" a="1"/>
  <c r="N138" i="17" s="1"/>
  <c r="J138" i="17"/>
  <c r="K138" i="17"/>
  <c r="L138" i="17" s="1"/>
  <c r="H139" i="17"/>
  <c r="M139" i="17" s="1" a="1"/>
  <c r="M139" i="17" s="1"/>
  <c r="I139" i="17"/>
  <c r="N139" i="17" s="1" a="1"/>
  <c r="N139" i="17" s="1"/>
  <c r="J139" i="17"/>
  <c r="K139" i="17"/>
  <c r="L139" i="17" s="1"/>
  <c r="H140" i="17"/>
  <c r="M140" i="17" s="1" a="1"/>
  <c r="M140" i="17" s="1"/>
  <c r="I140" i="17"/>
  <c r="N140" i="17" s="1" a="1"/>
  <c r="N140" i="17" s="1"/>
  <c r="J140" i="17"/>
  <c r="K140" i="17"/>
  <c r="L140" i="17" s="1"/>
  <c r="H141" i="17"/>
  <c r="M141" i="17" s="1" a="1"/>
  <c r="M141" i="17" s="1"/>
  <c r="I141" i="17"/>
  <c r="N141" i="17" s="1" a="1"/>
  <c r="N141" i="17" s="1"/>
  <c r="J141" i="17"/>
  <c r="K141" i="17"/>
  <c r="L141" i="17" s="1"/>
  <c r="H142" i="17"/>
  <c r="M142" i="17" s="1" a="1"/>
  <c r="M142" i="17" s="1"/>
  <c r="I142" i="17"/>
  <c r="N142" i="17" s="1" a="1"/>
  <c r="N142" i="17" s="1"/>
  <c r="J142" i="17"/>
  <c r="K142" i="17"/>
  <c r="L142" i="17" s="1"/>
  <c r="H143" i="17"/>
  <c r="M143" i="17" s="1" a="1"/>
  <c r="M143" i="17" s="1"/>
  <c r="I143" i="17"/>
  <c r="N143" i="17" s="1" a="1"/>
  <c r="N143" i="17" s="1"/>
  <c r="J143" i="17"/>
  <c r="K143" i="17"/>
  <c r="L143" i="17" s="1"/>
  <c r="H144" i="17"/>
  <c r="M144" i="17" s="1" a="1"/>
  <c r="M144" i="17" s="1"/>
  <c r="I144" i="17"/>
  <c r="N144" i="17" s="1" a="1"/>
  <c r="N144" i="17" s="1"/>
  <c r="J144" i="17"/>
  <c r="K144" i="17"/>
  <c r="L144" i="17" s="1"/>
  <c r="H145" i="17"/>
  <c r="M145" i="17" s="1" a="1"/>
  <c r="M145" i="17" s="1"/>
  <c r="I145" i="17"/>
  <c r="N145" i="17" s="1" a="1"/>
  <c r="N145" i="17" s="1"/>
  <c r="J145" i="17"/>
  <c r="K145" i="17"/>
  <c r="L145" i="17" s="1"/>
  <c r="H146" i="17"/>
  <c r="M146" i="17" s="1" a="1"/>
  <c r="M146" i="17" s="1"/>
  <c r="I146" i="17"/>
  <c r="N146" i="17" s="1" a="1"/>
  <c r="N146" i="17" s="1"/>
  <c r="J146" i="17"/>
  <c r="K146" i="17"/>
  <c r="L146" i="17" s="1"/>
  <c r="H147" i="17"/>
  <c r="M147" i="17" s="1" a="1"/>
  <c r="M147" i="17" s="1"/>
  <c r="I147" i="17"/>
  <c r="N147" i="17" s="1" a="1"/>
  <c r="N147" i="17" s="1"/>
  <c r="J147" i="17"/>
  <c r="K147" i="17"/>
  <c r="L147" i="17" s="1"/>
  <c r="H148" i="17"/>
  <c r="M148" i="17" s="1" a="1"/>
  <c r="M148" i="17" s="1"/>
  <c r="I148" i="17"/>
  <c r="N148" i="17" s="1" a="1"/>
  <c r="N148" i="17" s="1"/>
  <c r="J148" i="17"/>
  <c r="K148" i="17"/>
  <c r="L148" i="17" s="1"/>
  <c r="H149" i="17"/>
  <c r="M149" i="17" s="1" a="1"/>
  <c r="M149" i="17" s="1"/>
  <c r="I149" i="17"/>
  <c r="N149" i="17" s="1" a="1"/>
  <c r="N149" i="17" s="1"/>
  <c r="J149" i="17"/>
  <c r="K149" i="17"/>
  <c r="L149" i="17" s="1"/>
  <c r="H150" i="17"/>
  <c r="M150" i="17" s="1" a="1"/>
  <c r="M150" i="17" s="1"/>
  <c r="I150" i="17"/>
  <c r="N150" i="17" s="1" a="1"/>
  <c r="N150" i="17" s="1"/>
  <c r="J150" i="17"/>
  <c r="K150" i="17"/>
  <c r="L150" i="17" s="1"/>
  <c r="H151" i="17"/>
  <c r="M151" i="17" s="1" a="1"/>
  <c r="M151" i="17" s="1"/>
  <c r="I151" i="17"/>
  <c r="N151" i="17" s="1" a="1"/>
  <c r="N151" i="17" s="1"/>
  <c r="J151" i="17"/>
  <c r="K151" i="17"/>
  <c r="L151" i="17" s="1"/>
  <c r="H152" i="17"/>
  <c r="M152" i="17" s="1" a="1"/>
  <c r="M152" i="17" s="1"/>
  <c r="I152" i="17"/>
  <c r="N152" i="17" s="1" a="1"/>
  <c r="N152" i="17" s="1"/>
  <c r="J152" i="17"/>
  <c r="K152" i="17"/>
  <c r="L152" i="17" s="1"/>
  <c r="H153" i="17"/>
  <c r="M153" i="17" s="1" a="1"/>
  <c r="M153" i="17" s="1"/>
  <c r="I153" i="17"/>
  <c r="N153" i="17" s="1" a="1"/>
  <c r="N153" i="17" s="1"/>
  <c r="J153" i="17"/>
  <c r="K153" i="17"/>
  <c r="L153" i="17" s="1"/>
  <c r="H154" i="17"/>
  <c r="M154" i="17" s="1" a="1"/>
  <c r="M154" i="17" s="1"/>
  <c r="I154" i="17"/>
  <c r="N154" i="17" s="1" a="1"/>
  <c r="N154" i="17" s="1"/>
  <c r="J154" i="17"/>
  <c r="K154" i="17"/>
  <c r="L154" i="17" s="1"/>
  <c r="H155" i="17"/>
  <c r="M155" i="17" s="1" a="1"/>
  <c r="M155" i="17" s="1"/>
  <c r="I155" i="17"/>
  <c r="N155" i="17" s="1" a="1"/>
  <c r="N155" i="17" s="1"/>
  <c r="J155" i="17"/>
  <c r="K155" i="17"/>
  <c r="L155" i="17" s="1"/>
  <c r="H156" i="17"/>
  <c r="M156" i="17" s="1" a="1"/>
  <c r="M156" i="17" s="1"/>
  <c r="I156" i="17"/>
  <c r="N156" i="17" s="1" a="1"/>
  <c r="N156" i="17" s="1"/>
  <c r="J156" i="17"/>
  <c r="K156" i="17"/>
  <c r="L156" i="17" s="1"/>
  <c r="H157" i="17"/>
  <c r="M157" i="17" s="1" a="1"/>
  <c r="M157" i="17" s="1"/>
  <c r="I157" i="17"/>
  <c r="N157" i="17" s="1" a="1"/>
  <c r="N157" i="17" s="1"/>
  <c r="J157" i="17"/>
  <c r="K157" i="17"/>
  <c r="L157" i="17" s="1"/>
  <c r="H158" i="17"/>
  <c r="M158" i="17" s="1" a="1"/>
  <c r="M158" i="17" s="1"/>
  <c r="I158" i="17"/>
  <c r="N158" i="17" s="1" a="1"/>
  <c r="N158" i="17" s="1"/>
  <c r="J158" i="17"/>
  <c r="K158" i="17"/>
  <c r="L158" i="17" s="1"/>
  <c r="H159" i="17"/>
  <c r="M159" i="17" s="1" a="1"/>
  <c r="M159" i="17" s="1"/>
  <c r="I159" i="17"/>
  <c r="N159" i="17" s="1" a="1"/>
  <c r="N159" i="17" s="1"/>
  <c r="J159" i="17"/>
  <c r="K159" i="17"/>
  <c r="L159" i="17" s="1"/>
  <c r="H160" i="17"/>
  <c r="M160" i="17" s="1" a="1"/>
  <c r="M160" i="17" s="1"/>
  <c r="I160" i="17"/>
  <c r="N160" i="17" s="1" a="1"/>
  <c r="N160" i="17" s="1"/>
  <c r="J160" i="17"/>
  <c r="K160" i="17"/>
  <c r="L160" i="17" s="1"/>
  <c r="H161" i="17"/>
  <c r="M161" i="17" s="1" a="1"/>
  <c r="M161" i="17" s="1"/>
  <c r="I161" i="17"/>
  <c r="N161" i="17" s="1" a="1"/>
  <c r="N161" i="17" s="1"/>
  <c r="J161" i="17"/>
  <c r="K161" i="17"/>
  <c r="L161" i="17" s="1"/>
  <c r="H162" i="17"/>
  <c r="M162" i="17" s="1" a="1"/>
  <c r="M162" i="17" s="1"/>
  <c r="I162" i="17"/>
  <c r="N162" i="17" s="1" a="1"/>
  <c r="N162" i="17" s="1"/>
  <c r="J162" i="17"/>
  <c r="K162" i="17"/>
  <c r="L162" i="17" s="1"/>
  <c r="H163" i="17"/>
  <c r="M163" i="17" s="1" a="1"/>
  <c r="M163" i="17" s="1"/>
  <c r="I163" i="17"/>
  <c r="N163" i="17" s="1" a="1"/>
  <c r="N163" i="17" s="1"/>
  <c r="J163" i="17"/>
  <c r="K163" i="17"/>
  <c r="L163" i="17" s="1"/>
  <c r="H164" i="17"/>
  <c r="M164" i="17" s="1" a="1"/>
  <c r="M164" i="17" s="1"/>
  <c r="I164" i="17"/>
  <c r="N164" i="17" s="1" a="1"/>
  <c r="N164" i="17" s="1"/>
  <c r="J164" i="17"/>
  <c r="K164" i="17"/>
  <c r="L164" i="17" s="1"/>
  <c r="H165" i="17"/>
  <c r="M165" i="17" s="1" a="1"/>
  <c r="M165" i="17" s="1"/>
  <c r="I165" i="17"/>
  <c r="N165" i="17" s="1" a="1"/>
  <c r="N165" i="17" s="1"/>
  <c r="J165" i="17"/>
  <c r="K165" i="17"/>
  <c r="L165" i="17" s="1"/>
  <c r="H166" i="17"/>
  <c r="M166" i="17" s="1" a="1"/>
  <c r="M166" i="17" s="1"/>
  <c r="I166" i="17"/>
  <c r="N166" i="17" s="1" a="1"/>
  <c r="N166" i="17" s="1"/>
  <c r="J166" i="17"/>
  <c r="K166" i="17"/>
  <c r="L166" i="17" s="1"/>
  <c r="H167" i="17"/>
  <c r="M167" i="17" s="1" a="1"/>
  <c r="M167" i="17" s="1"/>
  <c r="I167" i="17"/>
  <c r="N167" i="17" s="1" a="1"/>
  <c r="N167" i="17" s="1"/>
  <c r="J167" i="17"/>
  <c r="K167" i="17"/>
  <c r="L167" i="17" s="1"/>
  <c r="H168" i="17"/>
  <c r="M168" i="17" s="1" a="1"/>
  <c r="M168" i="17" s="1"/>
  <c r="I168" i="17"/>
  <c r="N168" i="17" s="1" a="1"/>
  <c r="N168" i="17" s="1"/>
  <c r="J168" i="17"/>
  <c r="K168" i="17"/>
  <c r="L168" i="17" s="1"/>
  <c r="H169" i="17"/>
  <c r="M169" i="17" s="1" a="1"/>
  <c r="M169" i="17" s="1"/>
  <c r="I169" i="17"/>
  <c r="N169" i="17" s="1" a="1"/>
  <c r="N169" i="17" s="1"/>
  <c r="J169" i="17"/>
  <c r="K169" i="17"/>
  <c r="L169" i="17" s="1"/>
  <c r="H170" i="17"/>
  <c r="M170" i="17" s="1" a="1"/>
  <c r="M170" i="17" s="1"/>
  <c r="I170" i="17"/>
  <c r="N170" i="17" s="1" a="1"/>
  <c r="N170" i="17" s="1"/>
  <c r="J170" i="17"/>
  <c r="K170" i="17"/>
  <c r="L170" i="17" s="1"/>
  <c r="H171" i="17"/>
  <c r="M171" i="17" s="1" a="1"/>
  <c r="M171" i="17" s="1"/>
  <c r="I171" i="17"/>
  <c r="N171" i="17" s="1" a="1"/>
  <c r="N171" i="17" s="1"/>
  <c r="J171" i="17"/>
  <c r="K171" i="17"/>
  <c r="L171" i="17" s="1"/>
  <c r="H172" i="17"/>
  <c r="M172" i="17" s="1" a="1"/>
  <c r="M172" i="17" s="1"/>
  <c r="I172" i="17"/>
  <c r="N172" i="17" s="1" a="1"/>
  <c r="N172" i="17" s="1"/>
  <c r="J172" i="17"/>
  <c r="K172" i="17"/>
  <c r="L172" i="17" s="1"/>
  <c r="H173" i="17"/>
  <c r="M173" i="17" s="1" a="1"/>
  <c r="M173" i="17" s="1"/>
  <c r="I173" i="17"/>
  <c r="N173" i="17" s="1" a="1"/>
  <c r="N173" i="17" s="1"/>
  <c r="J173" i="17"/>
  <c r="K173" i="17"/>
  <c r="L173" i="17" s="1"/>
  <c r="H174" i="17"/>
  <c r="M174" i="17" s="1" a="1"/>
  <c r="M174" i="17" s="1"/>
  <c r="I174" i="17"/>
  <c r="N174" i="17" s="1" a="1"/>
  <c r="N174" i="17" s="1"/>
  <c r="J174" i="17"/>
  <c r="K174" i="17"/>
  <c r="L174" i="17" s="1"/>
  <c r="H175" i="17"/>
  <c r="M175" i="17" s="1" a="1"/>
  <c r="M175" i="17" s="1"/>
  <c r="I175" i="17"/>
  <c r="N175" i="17" s="1" a="1"/>
  <c r="N175" i="17" s="1"/>
  <c r="J175" i="17"/>
  <c r="K175" i="17"/>
  <c r="L175" i="17" s="1"/>
  <c r="H176" i="17"/>
  <c r="M176" i="17" s="1" a="1"/>
  <c r="M176" i="17" s="1"/>
  <c r="I176" i="17"/>
  <c r="N176" i="17" s="1" a="1"/>
  <c r="N176" i="17" s="1"/>
  <c r="J176" i="17"/>
  <c r="K176" i="17"/>
  <c r="L176" i="17" s="1"/>
  <c r="H177" i="17"/>
  <c r="M177" i="17" s="1" a="1"/>
  <c r="M177" i="17" s="1"/>
  <c r="I177" i="17"/>
  <c r="N177" i="17" s="1" a="1"/>
  <c r="N177" i="17" s="1"/>
  <c r="J177" i="17"/>
  <c r="K177" i="17"/>
  <c r="L177" i="17" s="1"/>
  <c r="H178" i="17"/>
  <c r="M178" i="17" s="1" a="1"/>
  <c r="M178" i="17" s="1"/>
  <c r="I178" i="17"/>
  <c r="N178" i="17" s="1" a="1"/>
  <c r="N178" i="17" s="1"/>
  <c r="J178" i="17"/>
  <c r="K178" i="17"/>
  <c r="L178" i="17" s="1"/>
  <c r="H179" i="17"/>
  <c r="M179" i="17" s="1" a="1"/>
  <c r="M179" i="17" s="1"/>
  <c r="I179" i="17"/>
  <c r="N179" i="17" s="1" a="1"/>
  <c r="N179" i="17" s="1"/>
  <c r="J179" i="17"/>
  <c r="K179" i="17"/>
  <c r="L179" i="17" s="1"/>
  <c r="H180" i="17"/>
  <c r="M180" i="17" s="1" a="1"/>
  <c r="M180" i="17" s="1"/>
  <c r="I180" i="17"/>
  <c r="N180" i="17" s="1" a="1"/>
  <c r="N180" i="17" s="1"/>
  <c r="J180" i="17"/>
  <c r="K180" i="17"/>
  <c r="L180" i="17" s="1"/>
  <c r="H181" i="17"/>
  <c r="M181" i="17" s="1" a="1"/>
  <c r="M181" i="17" s="1"/>
  <c r="I181" i="17"/>
  <c r="N181" i="17" s="1" a="1"/>
  <c r="N181" i="17" s="1"/>
  <c r="J181" i="17"/>
  <c r="K181" i="17"/>
  <c r="L181" i="17" s="1"/>
  <c r="H182" i="17"/>
  <c r="M182" i="17" s="1" a="1"/>
  <c r="M182" i="17" s="1"/>
  <c r="I182" i="17"/>
  <c r="N182" i="17" s="1" a="1"/>
  <c r="N182" i="17" s="1"/>
  <c r="J182" i="17"/>
  <c r="K182" i="17"/>
  <c r="L182" i="17" s="1"/>
  <c r="H183" i="17"/>
  <c r="M183" i="17" s="1" a="1"/>
  <c r="M183" i="17" s="1"/>
  <c r="I183" i="17"/>
  <c r="N183" i="17" s="1" a="1"/>
  <c r="N183" i="17" s="1"/>
  <c r="J183" i="17"/>
  <c r="K183" i="17"/>
  <c r="L183" i="17" s="1"/>
  <c r="H184" i="17"/>
  <c r="M184" i="17" s="1" a="1"/>
  <c r="M184" i="17" s="1"/>
  <c r="I184" i="17"/>
  <c r="N184" i="17" s="1" a="1"/>
  <c r="N184" i="17" s="1"/>
  <c r="J184" i="17"/>
  <c r="K184" i="17"/>
  <c r="L184" i="17" s="1"/>
  <c r="H185" i="17"/>
  <c r="M185" i="17" s="1" a="1"/>
  <c r="M185" i="17" s="1"/>
  <c r="I185" i="17"/>
  <c r="N185" i="17" s="1" a="1"/>
  <c r="N185" i="17" s="1"/>
  <c r="J185" i="17"/>
  <c r="K185" i="17"/>
  <c r="L185" i="17" s="1"/>
  <c r="H186" i="17"/>
  <c r="M186" i="17" s="1" a="1"/>
  <c r="M186" i="17" s="1"/>
  <c r="I186" i="17"/>
  <c r="N186" i="17" s="1" a="1"/>
  <c r="N186" i="17" s="1"/>
  <c r="J186" i="17"/>
  <c r="K186" i="17"/>
  <c r="L186" i="17" s="1"/>
  <c r="H187" i="17"/>
  <c r="M187" i="17" s="1" a="1"/>
  <c r="M187" i="17" s="1"/>
  <c r="I187" i="17"/>
  <c r="N187" i="17" s="1" a="1"/>
  <c r="N187" i="17" s="1"/>
  <c r="J187" i="17"/>
  <c r="K187" i="17"/>
  <c r="L187" i="17" s="1"/>
  <c r="H188" i="17"/>
  <c r="M188" i="17" s="1" a="1"/>
  <c r="M188" i="17" s="1"/>
  <c r="I188" i="17"/>
  <c r="N188" i="17" s="1" a="1"/>
  <c r="N188" i="17" s="1"/>
  <c r="J188" i="17"/>
  <c r="K188" i="17"/>
  <c r="L188" i="17" s="1"/>
  <c r="H189" i="17"/>
  <c r="M189" i="17" s="1" a="1"/>
  <c r="M189" i="17" s="1"/>
  <c r="I189" i="17"/>
  <c r="N189" i="17" s="1" a="1"/>
  <c r="N189" i="17" s="1"/>
  <c r="J189" i="17"/>
  <c r="K189" i="17"/>
  <c r="L189" i="17" s="1"/>
  <c r="H190" i="17"/>
  <c r="M190" i="17" s="1" a="1"/>
  <c r="M190" i="17" s="1"/>
  <c r="I190" i="17"/>
  <c r="N190" i="17" s="1" a="1"/>
  <c r="N190" i="17" s="1"/>
  <c r="J190" i="17"/>
  <c r="K190" i="17"/>
  <c r="L190" i="17" s="1"/>
  <c r="H191" i="17"/>
  <c r="M191" i="17" s="1" a="1"/>
  <c r="M191" i="17" s="1"/>
  <c r="I191" i="17"/>
  <c r="N191" i="17" s="1" a="1"/>
  <c r="N191" i="17" s="1"/>
  <c r="J191" i="17"/>
  <c r="K191" i="17"/>
  <c r="L191" i="17" s="1"/>
  <c r="H192" i="17"/>
  <c r="M192" i="17" s="1" a="1"/>
  <c r="M192" i="17" s="1"/>
  <c r="I192" i="17"/>
  <c r="N192" i="17" s="1" a="1"/>
  <c r="N192" i="17" s="1"/>
  <c r="J192" i="17"/>
  <c r="K192" i="17"/>
  <c r="L192" i="17" s="1"/>
  <c r="H193" i="17"/>
  <c r="M193" i="17" s="1" a="1"/>
  <c r="M193" i="17" s="1"/>
  <c r="I193" i="17"/>
  <c r="N193" i="17" s="1" a="1"/>
  <c r="N193" i="17" s="1"/>
  <c r="J193" i="17"/>
  <c r="K193" i="17"/>
  <c r="L193" i="17" s="1"/>
  <c r="H194" i="17"/>
  <c r="M194" i="17" s="1" a="1"/>
  <c r="M194" i="17" s="1"/>
  <c r="I194" i="17"/>
  <c r="N194" i="17" s="1" a="1"/>
  <c r="N194" i="17" s="1"/>
  <c r="J194" i="17"/>
  <c r="K194" i="17"/>
  <c r="L194" i="17" s="1"/>
  <c r="H195" i="17"/>
  <c r="M195" i="17" s="1" a="1"/>
  <c r="M195" i="17" s="1"/>
  <c r="I195" i="17"/>
  <c r="N195" i="17" s="1" a="1"/>
  <c r="N195" i="17" s="1"/>
  <c r="J195" i="17"/>
  <c r="K195" i="17"/>
  <c r="L195" i="17" s="1"/>
  <c r="H196" i="17"/>
  <c r="M196" i="17" s="1" a="1"/>
  <c r="M196" i="17" s="1"/>
  <c r="I196" i="17"/>
  <c r="N196" i="17" s="1" a="1"/>
  <c r="N196" i="17" s="1"/>
  <c r="J196" i="17"/>
  <c r="K196" i="17"/>
  <c r="L196" i="17" s="1"/>
  <c r="H197" i="17"/>
  <c r="M197" i="17" s="1" a="1"/>
  <c r="M197" i="17" s="1"/>
  <c r="I197" i="17"/>
  <c r="N197" i="17" s="1" a="1"/>
  <c r="N197" i="17" s="1"/>
  <c r="J197" i="17"/>
  <c r="K197" i="17"/>
  <c r="L197" i="17" s="1"/>
  <c r="H198" i="17"/>
  <c r="M198" i="17" s="1" a="1"/>
  <c r="M198" i="17" s="1"/>
  <c r="I198" i="17"/>
  <c r="N198" i="17" s="1" a="1"/>
  <c r="N198" i="17" s="1"/>
  <c r="J198" i="17"/>
  <c r="K198" i="17"/>
  <c r="L198" i="17" s="1"/>
  <c r="H199" i="17"/>
  <c r="M199" i="17" s="1" a="1"/>
  <c r="M199" i="17" s="1"/>
  <c r="I199" i="17"/>
  <c r="N199" i="17" s="1" a="1"/>
  <c r="N199" i="17" s="1"/>
  <c r="J199" i="17"/>
  <c r="K199" i="17"/>
  <c r="L199" i="17" s="1"/>
  <c r="H200" i="17"/>
  <c r="M200" i="17" s="1" a="1"/>
  <c r="M200" i="17" s="1"/>
  <c r="I200" i="17"/>
  <c r="N200" i="17" s="1" a="1"/>
  <c r="N200" i="17" s="1"/>
  <c r="J200" i="17"/>
  <c r="K200" i="17"/>
  <c r="L200" i="17" s="1"/>
  <c r="H201" i="17"/>
  <c r="M201" i="17" s="1" a="1"/>
  <c r="M201" i="17" s="1"/>
  <c r="I201" i="17"/>
  <c r="N201" i="17" s="1" a="1"/>
  <c r="N201" i="17" s="1"/>
  <c r="J201" i="17"/>
  <c r="K201" i="17"/>
  <c r="L201" i="17" s="1"/>
  <c r="H202" i="17"/>
  <c r="M202" i="17" s="1" a="1"/>
  <c r="M202" i="17" s="1"/>
  <c r="I202" i="17"/>
  <c r="N202" i="17" s="1" a="1"/>
  <c r="N202" i="17" s="1"/>
  <c r="J202" i="17"/>
  <c r="K202" i="17"/>
  <c r="L202" i="17" s="1"/>
  <c r="H203" i="17"/>
  <c r="M203" i="17" s="1" a="1"/>
  <c r="M203" i="17" s="1"/>
  <c r="I203" i="17"/>
  <c r="N203" i="17" s="1" a="1"/>
  <c r="N203" i="17" s="1"/>
  <c r="J203" i="17"/>
  <c r="K203" i="17"/>
  <c r="L203" i="17" s="1"/>
  <c r="H204" i="17"/>
  <c r="M204" i="17" s="1" a="1"/>
  <c r="M204" i="17" s="1"/>
  <c r="I204" i="17"/>
  <c r="N204" i="17" s="1" a="1"/>
  <c r="N204" i="17" s="1"/>
  <c r="J204" i="17"/>
  <c r="K204" i="17"/>
  <c r="L204" i="17" s="1"/>
  <c r="H205" i="17"/>
  <c r="M205" i="17" s="1" a="1"/>
  <c r="M205" i="17" s="1"/>
  <c r="I205" i="17"/>
  <c r="N205" i="17" s="1" a="1"/>
  <c r="N205" i="17" s="1"/>
  <c r="J205" i="17"/>
  <c r="K205" i="17"/>
  <c r="L205" i="17" s="1"/>
  <c r="H206" i="17"/>
  <c r="M206" i="17" s="1" a="1"/>
  <c r="M206" i="17" s="1"/>
  <c r="I206" i="17"/>
  <c r="N206" i="17" s="1" a="1"/>
  <c r="N206" i="17" s="1"/>
  <c r="J206" i="17"/>
  <c r="K206" i="17"/>
  <c r="L206" i="17" s="1"/>
  <c r="H207" i="17"/>
  <c r="M207" i="17" s="1" a="1"/>
  <c r="M207" i="17" s="1"/>
  <c r="I207" i="17"/>
  <c r="N207" i="17" s="1" a="1"/>
  <c r="N207" i="17" s="1"/>
  <c r="J207" i="17"/>
  <c r="K207" i="17"/>
  <c r="L207" i="17" s="1"/>
  <c r="H208" i="17"/>
  <c r="M208" i="17" s="1" a="1"/>
  <c r="M208" i="17" s="1"/>
  <c r="I208" i="17"/>
  <c r="N208" i="17" s="1" a="1"/>
  <c r="N208" i="17" s="1"/>
  <c r="J208" i="17"/>
  <c r="K208" i="17"/>
  <c r="L208" i="17" s="1"/>
  <c r="H209" i="17"/>
  <c r="M209" i="17" s="1" a="1"/>
  <c r="M209" i="17" s="1"/>
  <c r="I209" i="17"/>
  <c r="N209" i="17" s="1" a="1"/>
  <c r="N209" i="17" s="1"/>
  <c r="J209" i="17"/>
  <c r="K209" i="17"/>
  <c r="L209" i="17" s="1"/>
  <c r="H210" i="17"/>
  <c r="M210" i="17" s="1" a="1"/>
  <c r="M210" i="17" s="1"/>
  <c r="I210" i="17"/>
  <c r="N210" i="17" s="1" a="1"/>
  <c r="N210" i="17" s="1"/>
  <c r="J210" i="17"/>
  <c r="K210" i="17"/>
  <c r="L210" i="17" s="1"/>
  <c r="H211" i="17"/>
  <c r="M211" i="17" s="1" a="1"/>
  <c r="M211" i="17" s="1"/>
  <c r="I211" i="17"/>
  <c r="N211" i="17" s="1" a="1"/>
  <c r="N211" i="17" s="1"/>
  <c r="J211" i="17"/>
  <c r="K211" i="17"/>
  <c r="L211" i="17" s="1"/>
  <c r="H212" i="17"/>
  <c r="M212" i="17" s="1" a="1"/>
  <c r="M212" i="17" s="1"/>
  <c r="I212" i="17"/>
  <c r="N212" i="17" s="1" a="1"/>
  <c r="N212" i="17" s="1"/>
  <c r="J212" i="17"/>
  <c r="K212" i="17"/>
  <c r="L212" i="17" s="1"/>
  <c r="H213" i="17"/>
  <c r="M213" i="17" s="1" a="1"/>
  <c r="M213" i="17" s="1"/>
  <c r="I213" i="17"/>
  <c r="N213" i="17" s="1" a="1"/>
  <c r="N213" i="17" s="1"/>
  <c r="J213" i="17"/>
  <c r="K213" i="17"/>
  <c r="L213" i="17" s="1"/>
  <c r="H214" i="17"/>
  <c r="M214" i="17" s="1" a="1"/>
  <c r="M214" i="17" s="1"/>
  <c r="I214" i="17"/>
  <c r="N214" i="17" s="1" a="1"/>
  <c r="N214" i="17" s="1"/>
  <c r="J214" i="17"/>
  <c r="K214" i="17"/>
  <c r="L214" i="17" s="1"/>
  <c r="H215" i="17"/>
  <c r="M215" i="17" s="1" a="1"/>
  <c r="M215" i="17" s="1"/>
  <c r="I215" i="17"/>
  <c r="N215" i="17" s="1" a="1"/>
  <c r="N215" i="17" s="1"/>
  <c r="J215" i="17"/>
  <c r="K215" i="17"/>
  <c r="L215" i="17" s="1"/>
  <c r="H216" i="17"/>
  <c r="M216" i="17" s="1" a="1"/>
  <c r="M216" i="17" s="1"/>
  <c r="I216" i="17"/>
  <c r="N216" i="17" s="1" a="1"/>
  <c r="N216" i="17" s="1"/>
  <c r="J216" i="17"/>
  <c r="K216" i="17"/>
  <c r="L216" i="17" s="1"/>
  <c r="H217" i="17"/>
  <c r="M217" i="17" s="1" a="1"/>
  <c r="M217" i="17" s="1"/>
  <c r="I217" i="17"/>
  <c r="N217" i="17" s="1" a="1"/>
  <c r="N217" i="17" s="1"/>
  <c r="J217" i="17"/>
  <c r="K217" i="17"/>
  <c r="L217" i="17" s="1"/>
  <c r="H218" i="17"/>
  <c r="M218" i="17" s="1" a="1"/>
  <c r="M218" i="17" s="1"/>
  <c r="I218" i="17"/>
  <c r="N218" i="17" s="1" a="1"/>
  <c r="N218" i="17" s="1"/>
  <c r="J218" i="17"/>
  <c r="K218" i="17"/>
  <c r="L218" i="17" s="1"/>
  <c r="H219" i="17"/>
  <c r="M219" i="17" s="1" a="1"/>
  <c r="M219" i="17" s="1"/>
  <c r="I219" i="17"/>
  <c r="N219" i="17" s="1" a="1"/>
  <c r="N219" i="17" s="1"/>
  <c r="J219" i="17"/>
  <c r="K219" i="17"/>
  <c r="L219" i="17" s="1"/>
  <c r="H220" i="17"/>
  <c r="M220" i="17" s="1" a="1"/>
  <c r="M220" i="17" s="1"/>
  <c r="I220" i="17"/>
  <c r="N220" i="17" s="1" a="1"/>
  <c r="N220" i="17" s="1"/>
  <c r="J220" i="17"/>
  <c r="K220" i="17"/>
  <c r="L220" i="17" s="1"/>
  <c r="H221" i="17"/>
  <c r="M221" i="17" s="1" a="1"/>
  <c r="M221" i="17" s="1"/>
  <c r="I221" i="17"/>
  <c r="N221" i="17" s="1" a="1"/>
  <c r="N221" i="17" s="1"/>
  <c r="J221" i="17"/>
  <c r="K221" i="17"/>
  <c r="L221" i="17" s="1"/>
  <c r="H222" i="17"/>
  <c r="M222" i="17" s="1" a="1"/>
  <c r="M222" i="17" s="1"/>
  <c r="I222" i="17"/>
  <c r="N222" i="17" s="1" a="1"/>
  <c r="N222" i="17" s="1"/>
  <c r="J222" i="17"/>
  <c r="K222" i="17"/>
  <c r="L222" i="17" s="1"/>
  <c r="H223" i="17"/>
  <c r="M223" i="17" s="1" a="1"/>
  <c r="M223" i="17" s="1"/>
  <c r="I223" i="17"/>
  <c r="N223" i="17" s="1" a="1"/>
  <c r="N223" i="17" s="1"/>
  <c r="J223" i="17"/>
  <c r="K223" i="17"/>
  <c r="L223" i="17" s="1"/>
  <c r="H224" i="17"/>
  <c r="M224" i="17" s="1" a="1"/>
  <c r="M224" i="17" s="1"/>
  <c r="I224" i="17"/>
  <c r="N224" i="17" s="1" a="1"/>
  <c r="N224" i="17" s="1"/>
  <c r="J224" i="17"/>
  <c r="K224" i="17"/>
  <c r="L224" i="17" s="1"/>
  <c r="H225" i="17"/>
  <c r="M225" i="17" s="1" a="1"/>
  <c r="M225" i="17" s="1"/>
  <c r="I225" i="17"/>
  <c r="N225" i="17" s="1" a="1"/>
  <c r="N225" i="17" s="1"/>
  <c r="J225" i="17"/>
  <c r="K225" i="17"/>
  <c r="L225" i="17" s="1"/>
  <c r="H226" i="17"/>
  <c r="M226" i="17" s="1" a="1"/>
  <c r="M226" i="17" s="1"/>
  <c r="I226" i="17"/>
  <c r="N226" i="17" s="1" a="1"/>
  <c r="N226" i="17" s="1"/>
  <c r="J226" i="17"/>
  <c r="K226" i="17"/>
  <c r="L226" i="17" s="1"/>
  <c r="H227" i="17"/>
  <c r="M227" i="17" s="1" a="1"/>
  <c r="M227" i="17" s="1"/>
  <c r="I227" i="17"/>
  <c r="N227" i="17" s="1" a="1"/>
  <c r="N227" i="17" s="1"/>
  <c r="J227" i="17"/>
  <c r="K227" i="17"/>
  <c r="L227" i="17" s="1"/>
  <c r="H228" i="17"/>
  <c r="M228" i="17" s="1" a="1"/>
  <c r="M228" i="17" s="1"/>
  <c r="I228" i="17"/>
  <c r="N228" i="17" s="1" a="1"/>
  <c r="N228" i="17" s="1"/>
  <c r="J228" i="17"/>
  <c r="K228" i="17"/>
  <c r="L228" i="17" s="1"/>
  <c r="H229" i="17"/>
  <c r="M229" i="17" s="1" a="1"/>
  <c r="M229" i="17" s="1"/>
  <c r="I229" i="17"/>
  <c r="N229" i="17" s="1" a="1"/>
  <c r="N229" i="17" s="1"/>
  <c r="J229" i="17"/>
  <c r="K229" i="17"/>
  <c r="L229" i="17" s="1"/>
  <c r="H230" i="17"/>
  <c r="M230" i="17" s="1" a="1"/>
  <c r="M230" i="17" s="1"/>
  <c r="I230" i="17"/>
  <c r="N230" i="17" s="1" a="1"/>
  <c r="N230" i="17" s="1"/>
  <c r="J230" i="17"/>
  <c r="K230" i="17"/>
  <c r="L230" i="17" s="1"/>
  <c r="H231" i="17"/>
  <c r="M231" i="17" s="1" a="1"/>
  <c r="M231" i="17" s="1"/>
  <c r="I231" i="17"/>
  <c r="N231" i="17" s="1" a="1"/>
  <c r="N231" i="17" s="1"/>
  <c r="J231" i="17"/>
  <c r="K231" i="17"/>
  <c r="L231" i="17" s="1"/>
  <c r="H232" i="17"/>
  <c r="M232" i="17" s="1" a="1"/>
  <c r="M232" i="17" s="1"/>
  <c r="I232" i="17"/>
  <c r="N232" i="17" s="1" a="1"/>
  <c r="N232" i="17" s="1"/>
  <c r="J232" i="17"/>
  <c r="K232" i="17"/>
  <c r="L232" i="17" s="1"/>
  <c r="H233" i="17"/>
  <c r="M233" i="17" s="1" a="1"/>
  <c r="M233" i="17" s="1"/>
  <c r="I233" i="17"/>
  <c r="N233" i="17" s="1" a="1"/>
  <c r="N233" i="17" s="1"/>
  <c r="J233" i="17"/>
  <c r="K233" i="17"/>
  <c r="L233" i="17" s="1"/>
  <c r="H234" i="17"/>
  <c r="M234" i="17" s="1" a="1"/>
  <c r="M234" i="17" s="1"/>
  <c r="I234" i="17"/>
  <c r="N234" i="17" s="1" a="1"/>
  <c r="N234" i="17" s="1"/>
  <c r="J234" i="17"/>
  <c r="K234" i="17"/>
  <c r="L234" i="17" s="1"/>
  <c r="H235" i="17"/>
  <c r="M235" i="17" s="1" a="1"/>
  <c r="M235" i="17" s="1"/>
  <c r="I235" i="17"/>
  <c r="N235" i="17" s="1" a="1"/>
  <c r="N235" i="17" s="1"/>
  <c r="J235" i="17"/>
  <c r="K235" i="17"/>
  <c r="L235" i="17" s="1"/>
  <c r="H236" i="17"/>
  <c r="M236" i="17" s="1" a="1"/>
  <c r="M236" i="17" s="1"/>
  <c r="I236" i="17"/>
  <c r="N236" i="17" s="1" a="1"/>
  <c r="N236" i="17" s="1"/>
  <c r="J236" i="17"/>
  <c r="K236" i="17"/>
  <c r="L236" i="17" s="1"/>
  <c r="H237" i="17"/>
  <c r="M237" i="17" s="1" a="1"/>
  <c r="M237" i="17" s="1"/>
  <c r="I237" i="17"/>
  <c r="N237" i="17" s="1" a="1"/>
  <c r="N237" i="17" s="1"/>
  <c r="J237" i="17"/>
  <c r="K237" i="17"/>
  <c r="L237" i="17" s="1"/>
  <c r="H238" i="17"/>
  <c r="M238" i="17" s="1" a="1"/>
  <c r="M238" i="17" s="1"/>
  <c r="I238" i="17"/>
  <c r="N238" i="17" s="1" a="1"/>
  <c r="N238" i="17" s="1"/>
  <c r="J238" i="17"/>
  <c r="K238" i="17"/>
  <c r="L238" i="17" s="1"/>
  <c r="H239" i="17"/>
  <c r="M239" i="17" s="1" a="1"/>
  <c r="M239" i="17" s="1"/>
  <c r="I239" i="17"/>
  <c r="N239" i="17" s="1" a="1"/>
  <c r="N239" i="17" s="1"/>
  <c r="J239" i="17"/>
  <c r="K239" i="17"/>
  <c r="L239" i="17" s="1"/>
  <c r="H240" i="17"/>
  <c r="M240" i="17" s="1" a="1"/>
  <c r="M240" i="17" s="1"/>
  <c r="I240" i="17"/>
  <c r="N240" i="17" s="1" a="1"/>
  <c r="N240" i="17" s="1"/>
  <c r="J240" i="17"/>
  <c r="K240" i="17"/>
  <c r="L240" i="17" s="1"/>
  <c r="H241" i="17"/>
  <c r="M241" i="17" s="1" a="1"/>
  <c r="M241" i="17" s="1"/>
  <c r="I241" i="17"/>
  <c r="N241" i="17" s="1" a="1"/>
  <c r="N241" i="17" s="1"/>
  <c r="J241" i="17"/>
  <c r="K241" i="17"/>
  <c r="L241" i="17" s="1"/>
  <c r="H242" i="17"/>
  <c r="M242" i="17" s="1" a="1"/>
  <c r="M242" i="17" s="1"/>
  <c r="I242" i="17"/>
  <c r="N242" i="17" s="1" a="1"/>
  <c r="N242" i="17" s="1"/>
  <c r="J242" i="17"/>
  <c r="K242" i="17"/>
  <c r="L242" i="17" s="1"/>
  <c r="H243" i="17"/>
  <c r="M243" i="17" s="1" a="1"/>
  <c r="M243" i="17" s="1"/>
  <c r="I243" i="17"/>
  <c r="N243" i="17" s="1" a="1"/>
  <c r="N243" i="17" s="1"/>
  <c r="J243" i="17"/>
  <c r="K243" i="17"/>
  <c r="L243" i="17" s="1"/>
  <c r="H244" i="17"/>
  <c r="M244" i="17" s="1" a="1"/>
  <c r="M244" i="17" s="1"/>
  <c r="I244" i="17"/>
  <c r="N244" i="17" s="1" a="1"/>
  <c r="N244" i="17" s="1"/>
  <c r="J244" i="17"/>
  <c r="K244" i="17"/>
  <c r="L244" i="17" s="1"/>
  <c r="H245" i="17"/>
  <c r="M245" i="17" s="1" a="1"/>
  <c r="M245" i="17" s="1"/>
  <c r="I245" i="17"/>
  <c r="N245" i="17" s="1" a="1"/>
  <c r="N245" i="17" s="1"/>
  <c r="J245" i="17"/>
  <c r="K245" i="17"/>
  <c r="L245" i="17" s="1"/>
  <c r="H246" i="17"/>
  <c r="M246" i="17" s="1" a="1"/>
  <c r="M246" i="17" s="1"/>
  <c r="I246" i="17"/>
  <c r="N246" i="17" s="1" a="1"/>
  <c r="N246" i="17" s="1"/>
  <c r="J246" i="17"/>
  <c r="K246" i="17"/>
  <c r="L246" i="17" s="1"/>
  <c r="H247" i="17"/>
  <c r="M247" i="17" s="1" a="1"/>
  <c r="M247" i="17" s="1"/>
  <c r="I247" i="17"/>
  <c r="N247" i="17" s="1" a="1"/>
  <c r="N247" i="17" s="1"/>
  <c r="J247" i="17"/>
  <c r="K247" i="17"/>
  <c r="L247" i="17" s="1"/>
  <c r="H248" i="17"/>
  <c r="M248" i="17" s="1" a="1"/>
  <c r="M248" i="17" s="1"/>
  <c r="I248" i="17"/>
  <c r="N248" i="17" s="1" a="1"/>
  <c r="N248" i="17" s="1"/>
  <c r="J248" i="17"/>
  <c r="K248" i="17"/>
  <c r="L248" i="17" s="1"/>
  <c r="H249" i="17"/>
  <c r="M249" i="17" s="1" a="1"/>
  <c r="M249" i="17" s="1"/>
  <c r="I249" i="17"/>
  <c r="N249" i="17" s="1" a="1"/>
  <c r="N249" i="17" s="1"/>
  <c r="J249" i="17"/>
  <c r="K249" i="17"/>
  <c r="L249" i="17" s="1"/>
  <c r="H250" i="17"/>
  <c r="M250" i="17" s="1" a="1"/>
  <c r="M250" i="17" s="1"/>
  <c r="I250" i="17"/>
  <c r="N250" i="17" s="1" a="1"/>
  <c r="N250" i="17" s="1"/>
  <c r="J250" i="17"/>
  <c r="K250" i="17"/>
  <c r="L250" i="17" s="1"/>
  <c r="H251" i="17"/>
  <c r="M251" i="17" s="1" a="1"/>
  <c r="M251" i="17" s="1"/>
  <c r="I251" i="17"/>
  <c r="N251" i="17" s="1" a="1"/>
  <c r="N251" i="17" s="1"/>
  <c r="J251" i="17"/>
  <c r="K251" i="17"/>
  <c r="L251" i="17" s="1"/>
  <c r="H252" i="17"/>
  <c r="M252" i="17" s="1" a="1"/>
  <c r="M252" i="17" s="1"/>
  <c r="I252" i="17"/>
  <c r="N252" i="17" s="1" a="1"/>
  <c r="N252" i="17" s="1"/>
  <c r="J252" i="17"/>
  <c r="K252" i="17"/>
  <c r="L252" i="17" s="1"/>
  <c r="H253" i="17"/>
  <c r="M253" i="17" s="1" a="1"/>
  <c r="M253" i="17" s="1"/>
  <c r="I253" i="17"/>
  <c r="N253" i="17" s="1" a="1"/>
  <c r="N253" i="17" s="1"/>
  <c r="J253" i="17"/>
  <c r="K253" i="17"/>
  <c r="L253" i="17" s="1"/>
  <c r="H254" i="17"/>
  <c r="M254" i="17" s="1" a="1"/>
  <c r="M254" i="17" s="1"/>
  <c r="I254" i="17"/>
  <c r="N254" i="17" s="1" a="1"/>
  <c r="N254" i="17" s="1"/>
  <c r="J254" i="17"/>
  <c r="K254" i="17"/>
  <c r="L254" i="17" s="1"/>
  <c r="H255" i="17"/>
  <c r="M255" i="17" s="1" a="1"/>
  <c r="M255" i="17" s="1"/>
  <c r="I255" i="17"/>
  <c r="N255" i="17" s="1" a="1"/>
  <c r="N255" i="17" s="1"/>
  <c r="J255" i="17"/>
  <c r="K255" i="17"/>
  <c r="L255" i="17" s="1"/>
  <c r="H256" i="17"/>
  <c r="M256" i="17" s="1" a="1"/>
  <c r="M256" i="17" s="1"/>
  <c r="I256" i="17"/>
  <c r="N256" i="17" s="1" a="1"/>
  <c r="N256" i="17" s="1"/>
  <c r="J256" i="17"/>
  <c r="K256" i="17"/>
  <c r="L256" i="17" s="1"/>
  <c r="H257" i="17"/>
  <c r="M257" i="17" s="1" a="1"/>
  <c r="M257" i="17" s="1"/>
  <c r="I257" i="17"/>
  <c r="N257" i="17" s="1" a="1"/>
  <c r="N257" i="17" s="1"/>
  <c r="J257" i="17"/>
  <c r="K257" i="17"/>
  <c r="L257" i="17" s="1"/>
  <c r="H258" i="17"/>
  <c r="M258" i="17" s="1" a="1"/>
  <c r="M258" i="17" s="1"/>
  <c r="I258" i="17"/>
  <c r="N258" i="17" s="1" a="1"/>
  <c r="N258" i="17" s="1"/>
  <c r="J258" i="17"/>
  <c r="K258" i="17"/>
  <c r="L258" i="17" s="1"/>
  <c r="H259" i="17"/>
  <c r="M259" i="17" s="1" a="1"/>
  <c r="M259" i="17" s="1"/>
  <c r="I259" i="17"/>
  <c r="N259" i="17" s="1" a="1"/>
  <c r="N259" i="17" s="1"/>
  <c r="J259" i="17"/>
  <c r="K259" i="17"/>
  <c r="L259" i="17" s="1"/>
  <c r="H260" i="17"/>
  <c r="M260" i="17" s="1" a="1"/>
  <c r="M260" i="17" s="1"/>
  <c r="I260" i="17"/>
  <c r="N260" i="17" s="1" a="1"/>
  <c r="N260" i="17" s="1"/>
  <c r="J260" i="17"/>
  <c r="K260" i="17"/>
  <c r="L260" i="17" s="1"/>
  <c r="H261" i="17"/>
  <c r="M261" i="17" s="1" a="1"/>
  <c r="M261" i="17" s="1"/>
  <c r="I261" i="17"/>
  <c r="N261" i="17" s="1" a="1"/>
  <c r="N261" i="17" s="1"/>
  <c r="J261" i="17"/>
  <c r="K261" i="17"/>
  <c r="L261" i="17" s="1"/>
  <c r="H262" i="17"/>
  <c r="M262" i="17" s="1" a="1"/>
  <c r="M262" i="17" s="1"/>
  <c r="I262" i="17"/>
  <c r="N262" i="17" s="1" a="1"/>
  <c r="N262" i="17" s="1"/>
  <c r="J262" i="17"/>
  <c r="K262" i="17"/>
  <c r="L262" i="17" s="1"/>
  <c r="H263" i="17"/>
  <c r="M263" i="17" s="1" a="1"/>
  <c r="M263" i="17" s="1"/>
  <c r="I263" i="17"/>
  <c r="N263" i="17" s="1" a="1"/>
  <c r="N263" i="17" s="1"/>
  <c r="J263" i="17"/>
  <c r="K263" i="17"/>
  <c r="L263" i="17" s="1"/>
  <c r="H264" i="17"/>
  <c r="M264" i="17" s="1" a="1"/>
  <c r="M264" i="17" s="1"/>
  <c r="I264" i="17"/>
  <c r="N264" i="17" s="1" a="1"/>
  <c r="N264" i="17" s="1"/>
  <c r="J264" i="17"/>
  <c r="K264" i="17"/>
  <c r="L264" i="17" s="1"/>
  <c r="H265" i="17"/>
  <c r="M265" i="17" s="1" a="1"/>
  <c r="M265" i="17" s="1"/>
  <c r="I265" i="17"/>
  <c r="N265" i="17" s="1" a="1"/>
  <c r="N265" i="17" s="1"/>
  <c r="J265" i="17"/>
  <c r="K265" i="17"/>
  <c r="L265" i="17" s="1"/>
  <c r="H266" i="17"/>
  <c r="M266" i="17" s="1" a="1"/>
  <c r="M266" i="17" s="1"/>
  <c r="I266" i="17"/>
  <c r="N266" i="17" s="1" a="1"/>
  <c r="N266" i="17" s="1"/>
  <c r="J266" i="17"/>
  <c r="K266" i="17"/>
  <c r="L266" i="17" s="1"/>
  <c r="H267" i="17"/>
  <c r="M267" i="17" s="1" a="1"/>
  <c r="M267" i="17" s="1"/>
  <c r="I267" i="17"/>
  <c r="N267" i="17" s="1" a="1"/>
  <c r="N267" i="17" s="1"/>
  <c r="J267" i="17"/>
  <c r="K267" i="17"/>
  <c r="L267" i="17" s="1"/>
  <c r="H268" i="17"/>
  <c r="M268" i="17" s="1" a="1"/>
  <c r="M268" i="17" s="1"/>
  <c r="I268" i="17"/>
  <c r="N268" i="17" s="1" a="1"/>
  <c r="N268" i="17" s="1"/>
  <c r="J268" i="17"/>
  <c r="K268" i="17"/>
  <c r="L268" i="17" s="1"/>
  <c r="H269" i="17"/>
  <c r="M269" i="17" s="1" a="1"/>
  <c r="M269" i="17" s="1"/>
  <c r="I269" i="17"/>
  <c r="N269" i="17" s="1" a="1"/>
  <c r="N269" i="17" s="1"/>
  <c r="J269" i="17"/>
  <c r="K269" i="17"/>
  <c r="L269" i="17" s="1"/>
  <c r="H270" i="17"/>
  <c r="M270" i="17" s="1" a="1"/>
  <c r="M270" i="17" s="1"/>
  <c r="I270" i="17"/>
  <c r="N270" i="17" s="1" a="1"/>
  <c r="N270" i="17" s="1"/>
  <c r="J270" i="17"/>
  <c r="K270" i="17"/>
  <c r="L270" i="17" s="1"/>
  <c r="H271" i="17"/>
  <c r="M271" i="17" s="1" a="1"/>
  <c r="M271" i="17" s="1"/>
  <c r="I271" i="17"/>
  <c r="N271" i="17" s="1" a="1"/>
  <c r="N271" i="17" s="1"/>
  <c r="J271" i="17"/>
  <c r="K271" i="17"/>
  <c r="L271" i="17" s="1"/>
  <c r="H272" i="17"/>
  <c r="M272" i="17" s="1" a="1"/>
  <c r="M272" i="17" s="1"/>
  <c r="I272" i="17"/>
  <c r="N272" i="17" s="1" a="1"/>
  <c r="N272" i="17" s="1"/>
  <c r="J272" i="17"/>
  <c r="K272" i="17"/>
  <c r="L272" i="17" s="1"/>
  <c r="H273" i="17"/>
  <c r="M273" i="17" s="1" a="1"/>
  <c r="M273" i="17" s="1"/>
  <c r="I273" i="17"/>
  <c r="N273" i="17" s="1" a="1"/>
  <c r="N273" i="17" s="1"/>
  <c r="J273" i="17"/>
  <c r="K273" i="17"/>
  <c r="L273" i="17" s="1"/>
  <c r="H274" i="17"/>
  <c r="M274" i="17" s="1" a="1"/>
  <c r="M274" i="17" s="1"/>
  <c r="I274" i="17"/>
  <c r="N274" i="17" s="1" a="1"/>
  <c r="N274" i="17" s="1"/>
  <c r="J274" i="17"/>
  <c r="K274" i="17"/>
  <c r="L274" i="17" s="1"/>
  <c r="H275" i="17"/>
  <c r="M275" i="17" s="1" a="1"/>
  <c r="M275" i="17" s="1"/>
  <c r="I275" i="17"/>
  <c r="N275" i="17" s="1" a="1"/>
  <c r="N275" i="17" s="1"/>
  <c r="J275" i="17"/>
  <c r="K275" i="17"/>
  <c r="L275" i="17" s="1"/>
  <c r="H276" i="17"/>
  <c r="M276" i="17" s="1" a="1"/>
  <c r="M276" i="17" s="1"/>
  <c r="I276" i="17"/>
  <c r="N276" i="17" s="1" a="1"/>
  <c r="N276" i="17" s="1"/>
  <c r="J276" i="17"/>
  <c r="K276" i="17"/>
  <c r="L276" i="17" s="1"/>
  <c r="H277" i="17"/>
  <c r="M277" i="17" s="1" a="1"/>
  <c r="M277" i="17" s="1"/>
  <c r="I277" i="17"/>
  <c r="N277" i="17" s="1" a="1"/>
  <c r="N277" i="17" s="1"/>
  <c r="J277" i="17"/>
  <c r="K277" i="17"/>
  <c r="L277" i="17" s="1"/>
  <c r="H278" i="17"/>
  <c r="M278" i="17" s="1" a="1"/>
  <c r="M278" i="17" s="1"/>
  <c r="I278" i="17"/>
  <c r="N278" i="17" s="1" a="1"/>
  <c r="N278" i="17" s="1"/>
  <c r="J278" i="17"/>
  <c r="K278" i="17"/>
  <c r="L278" i="17" s="1"/>
  <c r="H279" i="17"/>
  <c r="M279" i="17" s="1" a="1"/>
  <c r="M279" i="17" s="1"/>
  <c r="I279" i="17"/>
  <c r="N279" i="17" s="1" a="1"/>
  <c r="N279" i="17" s="1"/>
  <c r="J279" i="17"/>
  <c r="K279" i="17"/>
  <c r="L279" i="17" s="1"/>
  <c r="H280" i="17"/>
  <c r="M280" i="17" s="1" a="1"/>
  <c r="M280" i="17" s="1"/>
  <c r="I280" i="17"/>
  <c r="N280" i="17" s="1" a="1"/>
  <c r="N280" i="17" s="1"/>
  <c r="J280" i="17"/>
  <c r="K280" i="17"/>
  <c r="L280" i="17" s="1"/>
  <c r="H281" i="17"/>
  <c r="M281" i="17" s="1" a="1"/>
  <c r="M281" i="17" s="1"/>
  <c r="I281" i="17"/>
  <c r="N281" i="17" s="1" a="1"/>
  <c r="N281" i="17" s="1"/>
  <c r="J281" i="17"/>
  <c r="K281" i="17"/>
  <c r="L281" i="17" s="1"/>
  <c r="H282" i="17"/>
  <c r="M282" i="17" s="1" a="1"/>
  <c r="M282" i="17" s="1"/>
  <c r="I282" i="17"/>
  <c r="N282" i="17" s="1" a="1"/>
  <c r="N282" i="17" s="1"/>
  <c r="J282" i="17"/>
  <c r="K282" i="17"/>
  <c r="L282" i="17" s="1"/>
  <c r="H283" i="17"/>
  <c r="M283" i="17" s="1" a="1"/>
  <c r="M283" i="17" s="1"/>
  <c r="I283" i="17"/>
  <c r="N283" i="17" s="1" a="1"/>
  <c r="N283" i="17" s="1"/>
  <c r="J283" i="17"/>
  <c r="K283" i="17"/>
  <c r="L283" i="17" s="1"/>
  <c r="H284" i="17"/>
  <c r="M284" i="17" s="1" a="1"/>
  <c r="M284" i="17" s="1"/>
  <c r="I284" i="17"/>
  <c r="N284" i="17" s="1" a="1"/>
  <c r="N284" i="17" s="1"/>
  <c r="J284" i="17"/>
  <c r="K284" i="17"/>
  <c r="L284" i="17" s="1"/>
  <c r="H285" i="17"/>
  <c r="M285" i="17" s="1" a="1"/>
  <c r="M285" i="17" s="1"/>
  <c r="I285" i="17"/>
  <c r="N285" i="17" s="1" a="1"/>
  <c r="N285" i="17" s="1"/>
  <c r="J285" i="17"/>
  <c r="K285" i="17"/>
  <c r="L285" i="17" s="1"/>
  <c r="H286" i="17"/>
  <c r="M286" i="17" s="1" a="1"/>
  <c r="M286" i="17" s="1"/>
  <c r="I286" i="17"/>
  <c r="N286" i="17" s="1" a="1"/>
  <c r="N286" i="17" s="1"/>
  <c r="J286" i="17"/>
  <c r="K286" i="17"/>
  <c r="L286" i="17" s="1"/>
  <c r="H287" i="17"/>
  <c r="M287" i="17" s="1" a="1"/>
  <c r="M287" i="17" s="1"/>
  <c r="I287" i="17"/>
  <c r="N287" i="17" s="1" a="1"/>
  <c r="N287" i="17" s="1"/>
  <c r="J287" i="17"/>
  <c r="K287" i="17"/>
  <c r="L287" i="17" s="1"/>
  <c r="H288" i="17"/>
  <c r="M288" i="17" s="1" a="1"/>
  <c r="M288" i="17" s="1"/>
  <c r="I288" i="17"/>
  <c r="N288" i="17" s="1" a="1"/>
  <c r="N288" i="17" s="1"/>
  <c r="J288" i="17"/>
  <c r="K288" i="17"/>
  <c r="L288" i="17" s="1"/>
  <c r="H289" i="17"/>
  <c r="M289" i="17" s="1" a="1"/>
  <c r="M289" i="17" s="1"/>
  <c r="I289" i="17"/>
  <c r="N289" i="17" s="1" a="1"/>
  <c r="N289" i="17" s="1"/>
  <c r="J289" i="17"/>
  <c r="K289" i="17"/>
  <c r="L289" i="17" s="1"/>
  <c r="H290" i="17"/>
  <c r="M290" i="17" s="1" a="1"/>
  <c r="M290" i="17" s="1"/>
  <c r="I290" i="17"/>
  <c r="N290" i="17" s="1" a="1"/>
  <c r="N290" i="17" s="1"/>
  <c r="J290" i="17"/>
  <c r="K290" i="17"/>
  <c r="L290" i="17" s="1"/>
  <c r="H291" i="17"/>
  <c r="M291" i="17" s="1" a="1"/>
  <c r="M291" i="17" s="1"/>
  <c r="I291" i="17"/>
  <c r="N291" i="17" s="1" a="1"/>
  <c r="N291" i="17" s="1"/>
  <c r="J291" i="17"/>
  <c r="K291" i="17"/>
  <c r="L291" i="17" s="1"/>
  <c r="H292" i="17"/>
  <c r="M292" i="17" s="1" a="1"/>
  <c r="M292" i="17" s="1"/>
  <c r="I292" i="17"/>
  <c r="N292" i="17" s="1" a="1"/>
  <c r="N292" i="17" s="1"/>
  <c r="J292" i="17"/>
  <c r="K292" i="17"/>
  <c r="L292" i="17" s="1"/>
  <c r="H293" i="17"/>
  <c r="M293" i="17" s="1" a="1"/>
  <c r="M293" i="17" s="1"/>
  <c r="I293" i="17"/>
  <c r="N293" i="17" s="1" a="1"/>
  <c r="N293" i="17" s="1"/>
  <c r="J293" i="17"/>
  <c r="K293" i="17"/>
  <c r="L293" i="17" s="1"/>
  <c r="H294" i="17"/>
  <c r="M294" i="17" s="1" a="1"/>
  <c r="M294" i="17" s="1"/>
  <c r="I294" i="17"/>
  <c r="N294" i="17" s="1" a="1"/>
  <c r="N294" i="17" s="1"/>
  <c r="J294" i="17"/>
  <c r="K294" i="17"/>
  <c r="L294" i="17" s="1"/>
  <c r="H295" i="17"/>
  <c r="M295" i="17" s="1" a="1"/>
  <c r="M295" i="17" s="1"/>
  <c r="I295" i="17"/>
  <c r="N295" i="17" s="1" a="1"/>
  <c r="N295" i="17" s="1"/>
  <c r="J295" i="17"/>
  <c r="K295" i="17"/>
  <c r="L295" i="17" s="1"/>
  <c r="H296" i="17"/>
  <c r="M296" i="17" s="1" a="1"/>
  <c r="M296" i="17" s="1"/>
  <c r="I296" i="17"/>
  <c r="N296" i="17" s="1" a="1"/>
  <c r="N296" i="17" s="1"/>
  <c r="J296" i="17"/>
  <c r="K296" i="17"/>
  <c r="L296" i="17" s="1"/>
  <c r="H297" i="17"/>
  <c r="M297" i="17" s="1" a="1"/>
  <c r="M297" i="17" s="1"/>
  <c r="I297" i="17"/>
  <c r="N297" i="17" s="1" a="1"/>
  <c r="N297" i="17" s="1"/>
  <c r="J297" i="17"/>
  <c r="K297" i="17"/>
  <c r="L297" i="17" s="1"/>
  <c r="H298" i="17"/>
  <c r="M298" i="17" s="1" a="1"/>
  <c r="M298" i="17" s="1"/>
  <c r="I298" i="17"/>
  <c r="N298" i="17" s="1" a="1"/>
  <c r="N298" i="17" s="1"/>
  <c r="J298" i="17"/>
  <c r="K298" i="17"/>
  <c r="L298" i="17" s="1"/>
  <c r="H299" i="17"/>
  <c r="M299" i="17" s="1" a="1"/>
  <c r="M299" i="17" s="1"/>
  <c r="I299" i="17"/>
  <c r="N299" i="17" s="1" a="1"/>
  <c r="N299" i="17" s="1"/>
  <c r="J299" i="17"/>
  <c r="K299" i="17"/>
  <c r="L299" i="17" s="1"/>
  <c r="H300" i="17"/>
  <c r="M300" i="17" s="1" a="1"/>
  <c r="M300" i="17" s="1"/>
  <c r="I300" i="17"/>
  <c r="N300" i="17" s="1" a="1"/>
  <c r="N300" i="17" s="1"/>
  <c r="J300" i="17"/>
  <c r="K300" i="17"/>
  <c r="L300" i="17" s="1"/>
  <c r="H301" i="17"/>
  <c r="M301" i="17" s="1" a="1"/>
  <c r="M301" i="17" s="1"/>
  <c r="I301" i="17"/>
  <c r="N301" i="17" s="1" a="1"/>
  <c r="N301" i="17" s="1"/>
  <c r="J301" i="17"/>
  <c r="K301" i="17"/>
  <c r="L301" i="17" s="1"/>
  <c r="H302" i="17"/>
  <c r="M302" i="17" s="1" a="1"/>
  <c r="M302" i="17" s="1"/>
  <c r="I302" i="17"/>
  <c r="N302" i="17" s="1" a="1"/>
  <c r="N302" i="17" s="1"/>
  <c r="J302" i="17"/>
  <c r="K302" i="17"/>
  <c r="L302" i="17" s="1"/>
  <c r="H303" i="17"/>
  <c r="M303" i="17" s="1" a="1"/>
  <c r="M303" i="17" s="1"/>
  <c r="I303" i="17"/>
  <c r="N303" i="17" s="1" a="1"/>
  <c r="N303" i="17" s="1"/>
  <c r="J303" i="17"/>
  <c r="K303" i="17"/>
  <c r="L303" i="17" s="1"/>
  <c r="H304" i="17"/>
  <c r="M304" i="17" s="1" a="1"/>
  <c r="M304" i="17" s="1"/>
  <c r="I304" i="17"/>
  <c r="N304" i="17" s="1" a="1"/>
  <c r="N304" i="17" s="1"/>
  <c r="J304" i="17"/>
  <c r="K304" i="17"/>
  <c r="L304" i="17" s="1"/>
  <c r="H305" i="17"/>
  <c r="M305" i="17" s="1" a="1"/>
  <c r="M305" i="17" s="1"/>
  <c r="I305" i="17"/>
  <c r="N305" i="17" s="1" a="1"/>
  <c r="N305" i="17" s="1"/>
  <c r="J305" i="17"/>
  <c r="K305" i="17"/>
  <c r="L305" i="17" s="1"/>
  <c r="H306" i="17"/>
  <c r="M306" i="17" s="1" a="1"/>
  <c r="M306" i="17" s="1"/>
  <c r="I306" i="17"/>
  <c r="N306" i="17" s="1" a="1"/>
  <c r="N306" i="17" s="1"/>
  <c r="J306" i="17"/>
  <c r="K306" i="17"/>
  <c r="L306" i="17" s="1"/>
  <c r="H307" i="17"/>
  <c r="M307" i="17" s="1" a="1"/>
  <c r="M307" i="17" s="1"/>
  <c r="I307" i="17"/>
  <c r="N307" i="17" s="1" a="1"/>
  <c r="N307" i="17" s="1"/>
  <c r="J307" i="17"/>
  <c r="K307" i="17"/>
  <c r="L307" i="17" s="1"/>
  <c r="H308" i="17"/>
  <c r="M308" i="17" s="1" a="1"/>
  <c r="M308" i="17" s="1"/>
  <c r="I308" i="17"/>
  <c r="N308" i="17" s="1" a="1"/>
  <c r="N308" i="17" s="1"/>
  <c r="J308" i="17"/>
  <c r="K308" i="17"/>
  <c r="L308" i="17" s="1"/>
  <c r="H309" i="17"/>
  <c r="M309" i="17" s="1" a="1"/>
  <c r="M309" i="17" s="1"/>
  <c r="I309" i="17"/>
  <c r="N309" i="17" s="1" a="1"/>
  <c r="N309" i="17" s="1"/>
  <c r="J309" i="17"/>
  <c r="K309" i="17"/>
  <c r="L309" i="17" s="1"/>
  <c r="H310" i="17"/>
  <c r="M310" i="17" s="1" a="1"/>
  <c r="M310" i="17" s="1"/>
  <c r="I310" i="17"/>
  <c r="N310" i="17" s="1" a="1"/>
  <c r="N310" i="17" s="1"/>
  <c r="J310" i="17"/>
  <c r="K310" i="17"/>
  <c r="L310" i="17" s="1"/>
  <c r="H311" i="17"/>
  <c r="M311" i="17" s="1" a="1"/>
  <c r="M311" i="17" s="1"/>
  <c r="I311" i="17"/>
  <c r="N311" i="17" s="1" a="1"/>
  <c r="N311" i="17" s="1"/>
  <c r="J311" i="17"/>
  <c r="K311" i="17"/>
  <c r="L311" i="17" s="1"/>
  <c r="H312" i="17"/>
  <c r="M312" i="17" s="1" a="1"/>
  <c r="M312" i="17" s="1"/>
  <c r="I312" i="17"/>
  <c r="N312" i="17" s="1" a="1"/>
  <c r="N312" i="17" s="1"/>
  <c r="J312" i="17"/>
  <c r="K312" i="17"/>
  <c r="L312" i="17" s="1"/>
  <c r="H313" i="17"/>
  <c r="M313" i="17" s="1" a="1"/>
  <c r="M313" i="17" s="1"/>
  <c r="I313" i="17"/>
  <c r="N313" i="17" s="1" a="1"/>
  <c r="N313" i="17" s="1"/>
  <c r="J313" i="17"/>
  <c r="K313" i="17"/>
  <c r="L313" i="17" s="1"/>
  <c r="H314" i="17"/>
  <c r="M314" i="17" s="1" a="1"/>
  <c r="M314" i="17" s="1"/>
  <c r="I314" i="17"/>
  <c r="N314" i="17" s="1" a="1"/>
  <c r="N314" i="17" s="1"/>
  <c r="J314" i="17"/>
  <c r="K314" i="17"/>
  <c r="L314" i="17" s="1"/>
  <c r="H315" i="17"/>
  <c r="M315" i="17" s="1" a="1"/>
  <c r="M315" i="17" s="1"/>
  <c r="I315" i="17"/>
  <c r="N315" i="17" s="1" a="1"/>
  <c r="N315" i="17" s="1"/>
  <c r="J315" i="17"/>
  <c r="K315" i="17"/>
  <c r="L315" i="17" s="1"/>
  <c r="H316" i="17"/>
  <c r="M316" i="17" s="1" a="1"/>
  <c r="M316" i="17" s="1"/>
  <c r="I316" i="17"/>
  <c r="N316" i="17" s="1" a="1"/>
  <c r="N316" i="17" s="1"/>
  <c r="J316" i="17"/>
  <c r="K316" i="17"/>
  <c r="L316" i="17" s="1"/>
  <c r="H317" i="17"/>
  <c r="M317" i="17" s="1" a="1"/>
  <c r="M317" i="17" s="1"/>
  <c r="I317" i="17"/>
  <c r="N317" i="17" s="1" a="1"/>
  <c r="N317" i="17" s="1"/>
  <c r="J317" i="17"/>
  <c r="K317" i="17"/>
  <c r="L317" i="17" s="1"/>
  <c r="H318" i="17"/>
  <c r="M318" i="17" s="1" a="1"/>
  <c r="M318" i="17" s="1"/>
  <c r="I318" i="17"/>
  <c r="N318" i="17" s="1" a="1"/>
  <c r="N318" i="17" s="1"/>
  <c r="J318" i="17"/>
  <c r="K318" i="17"/>
  <c r="L318" i="17" s="1"/>
  <c r="H319" i="17"/>
  <c r="M319" i="17" s="1" a="1"/>
  <c r="M319" i="17" s="1"/>
  <c r="I319" i="17"/>
  <c r="N319" i="17" s="1" a="1"/>
  <c r="N319" i="17" s="1"/>
  <c r="J319" i="17"/>
  <c r="K319" i="17"/>
  <c r="L319" i="17" s="1"/>
  <c r="H320" i="17"/>
  <c r="M320" i="17" s="1" a="1"/>
  <c r="M320" i="17" s="1"/>
  <c r="I320" i="17"/>
  <c r="N320" i="17" s="1" a="1"/>
  <c r="N320" i="17" s="1"/>
  <c r="J320" i="17"/>
  <c r="K320" i="17"/>
  <c r="L320" i="17" s="1"/>
  <c r="H321" i="17"/>
  <c r="M321" i="17" s="1" a="1"/>
  <c r="M321" i="17" s="1"/>
  <c r="I321" i="17"/>
  <c r="N321" i="17" s="1" a="1"/>
  <c r="N321" i="17" s="1"/>
  <c r="J321" i="17"/>
  <c r="K321" i="17"/>
  <c r="L321" i="17" s="1"/>
  <c r="H322" i="17"/>
  <c r="M322" i="17" s="1" a="1"/>
  <c r="M322" i="17" s="1"/>
  <c r="I322" i="17"/>
  <c r="N322" i="17" s="1" a="1"/>
  <c r="N322" i="17" s="1"/>
  <c r="J322" i="17"/>
  <c r="K322" i="17"/>
  <c r="L322" i="17" s="1"/>
  <c r="H323" i="17"/>
  <c r="M323" i="17" s="1" a="1"/>
  <c r="M323" i="17" s="1"/>
  <c r="I323" i="17"/>
  <c r="N323" i="17" s="1" a="1"/>
  <c r="N323" i="17" s="1"/>
  <c r="J323" i="17"/>
  <c r="K323" i="17"/>
  <c r="L323" i="17" s="1"/>
  <c r="H324" i="17"/>
  <c r="M324" i="17" s="1" a="1"/>
  <c r="M324" i="17" s="1"/>
  <c r="I324" i="17"/>
  <c r="N324" i="17" s="1" a="1"/>
  <c r="N324" i="17" s="1"/>
  <c r="J324" i="17"/>
  <c r="K324" i="17"/>
  <c r="L324" i="17" s="1"/>
  <c r="H325" i="17"/>
  <c r="M325" i="17" s="1" a="1"/>
  <c r="M325" i="17" s="1"/>
  <c r="I325" i="17"/>
  <c r="N325" i="17" s="1" a="1"/>
  <c r="N325" i="17" s="1"/>
  <c r="J325" i="17"/>
  <c r="K325" i="17"/>
  <c r="L325" i="17" s="1"/>
  <c r="H326" i="17"/>
  <c r="M326" i="17" s="1" a="1"/>
  <c r="M326" i="17" s="1"/>
  <c r="I326" i="17"/>
  <c r="N326" i="17" s="1" a="1"/>
  <c r="N326" i="17" s="1"/>
  <c r="J326" i="17"/>
  <c r="K326" i="17"/>
  <c r="L326" i="17" s="1"/>
  <c r="H327" i="17"/>
  <c r="M327" i="17" s="1" a="1"/>
  <c r="M327" i="17" s="1"/>
  <c r="I327" i="17"/>
  <c r="N327" i="17" s="1" a="1"/>
  <c r="N327" i="17" s="1"/>
  <c r="J327" i="17"/>
  <c r="K327" i="17"/>
  <c r="L327" i="17" s="1"/>
  <c r="H328" i="17"/>
  <c r="M328" i="17" s="1" a="1"/>
  <c r="M328" i="17" s="1"/>
  <c r="I328" i="17"/>
  <c r="N328" i="17" s="1" a="1"/>
  <c r="N328" i="17" s="1"/>
  <c r="J328" i="17"/>
  <c r="K328" i="17"/>
  <c r="L328" i="17" s="1"/>
  <c r="H329" i="17"/>
  <c r="M329" i="17" s="1" a="1"/>
  <c r="M329" i="17" s="1"/>
  <c r="I329" i="17"/>
  <c r="N329" i="17" s="1" a="1"/>
  <c r="N329" i="17" s="1"/>
  <c r="J329" i="17"/>
  <c r="K329" i="17"/>
  <c r="L329" i="17" s="1"/>
  <c r="H330" i="17"/>
  <c r="M330" i="17" s="1" a="1"/>
  <c r="M330" i="17" s="1"/>
  <c r="I330" i="17"/>
  <c r="N330" i="17" s="1" a="1"/>
  <c r="N330" i="17" s="1"/>
  <c r="J330" i="17"/>
  <c r="K330" i="17"/>
  <c r="L330" i="17" s="1"/>
  <c r="H331" i="17"/>
  <c r="M331" i="17" s="1" a="1"/>
  <c r="M331" i="17" s="1"/>
  <c r="I331" i="17"/>
  <c r="N331" i="17" s="1" a="1"/>
  <c r="N331" i="17" s="1"/>
  <c r="J331" i="17"/>
  <c r="K331" i="17"/>
  <c r="L331" i="17" s="1"/>
  <c r="H332" i="17"/>
  <c r="M332" i="17" s="1" a="1"/>
  <c r="M332" i="17" s="1"/>
  <c r="I332" i="17"/>
  <c r="N332" i="17" s="1" a="1"/>
  <c r="N332" i="17" s="1"/>
  <c r="J332" i="17"/>
  <c r="K332" i="17"/>
  <c r="L332" i="17" s="1"/>
  <c r="H333" i="17"/>
  <c r="M333" i="17" s="1" a="1"/>
  <c r="M333" i="17" s="1"/>
  <c r="I333" i="17"/>
  <c r="N333" i="17" s="1" a="1"/>
  <c r="N333" i="17" s="1"/>
  <c r="J333" i="17"/>
  <c r="K333" i="17"/>
  <c r="L333" i="17" s="1"/>
  <c r="H334" i="17"/>
  <c r="M334" i="17" s="1" a="1"/>
  <c r="M334" i="17" s="1"/>
  <c r="I334" i="17"/>
  <c r="N334" i="17" s="1" a="1"/>
  <c r="N334" i="17" s="1"/>
  <c r="J334" i="17"/>
  <c r="K334" i="17"/>
  <c r="L334" i="17" s="1"/>
  <c r="H335" i="17"/>
  <c r="M335" i="17" s="1" a="1"/>
  <c r="M335" i="17" s="1"/>
  <c r="I335" i="17"/>
  <c r="N335" i="17" s="1" a="1"/>
  <c r="N335" i="17" s="1"/>
  <c r="J335" i="17"/>
  <c r="K335" i="17"/>
  <c r="L335" i="17" s="1"/>
  <c r="H336" i="17"/>
  <c r="M336" i="17" s="1" a="1"/>
  <c r="M336" i="17" s="1"/>
  <c r="I336" i="17"/>
  <c r="N336" i="17" s="1" a="1"/>
  <c r="N336" i="17" s="1"/>
  <c r="J336" i="17"/>
  <c r="K336" i="17"/>
  <c r="L336" i="17" s="1"/>
  <c r="H337" i="17"/>
  <c r="M337" i="17" s="1" a="1"/>
  <c r="M337" i="17" s="1"/>
  <c r="I337" i="17"/>
  <c r="N337" i="17" s="1" a="1"/>
  <c r="N337" i="17" s="1"/>
  <c r="J337" i="17"/>
  <c r="K337" i="17"/>
  <c r="L337" i="17" s="1"/>
  <c r="H338" i="17"/>
  <c r="M338" i="17" s="1" a="1"/>
  <c r="M338" i="17" s="1"/>
  <c r="I338" i="17"/>
  <c r="N338" i="17" s="1" a="1"/>
  <c r="N338" i="17" s="1"/>
  <c r="J338" i="17"/>
  <c r="K338" i="17"/>
  <c r="L338" i="17" s="1"/>
  <c r="H339" i="17"/>
  <c r="M339" i="17" s="1" a="1"/>
  <c r="M339" i="17" s="1"/>
  <c r="I339" i="17"/>
  <c r="N339" i="17" s="1" a="1"/>
  <c r="N339" i="17" s="1"/>
  <c r="J339" i="17"/>
  <c r="K339" i="17"/>
  <c r="L339" i="17" s="1"/>
  <c r="H340" i="17"/>
  <c r="M340" i="17" s="1" a="1"/>
  <c r="M340" i="17" s="1"/>
  <c r="I340" i="17"/>
  <c r="N340" i="17" s="1" a="1"/>
  <c r="N340" i="17" s="1"/>
  <c r="J340" i="17"/>
  <c r="K340" i="17"/>
  <c r="L340" i="17" s="1"/>
  <c r="H341" i="17"/>
  <c r="M341" i="17" s="1" a="1"/>
  <c r="M341" i="17" s="1"/>
  <c r="I341" i="17"/>
  <c r="N341" i="17" s="1" a="1"/>
  <c r="N341" i="17" s="1"/>
  <c r="J341" i="17"/>
  <c r="K341" i="17"/>
  <c r="L341" i="17" s="1"/>
  <c r="H342" i="17"/>
  <c r="M342" i="17" s="1" a="1"/>
  <c r="M342" i="17" s="1"/>
  <c r="I342" i="17"/>
  <c r="N342" i="17" s="1" a="1"/>
  <c r="N342" i="17" s="1"/>
  <c r="J342" i="17"/>
  <c r="K342" i="17"/>
  <c r="L342" i="17" s="1"/>
  <c r="H343" i="17"/>
  <c r="M343" i="17" s="1" a="1"/>
  <c r="M343" i="17" s="1"/>
  <c r="I343" i="17"/>
  <c r="N343" i="17" s="1" a="1"/>
  <c r="N343" i="17" s="1"/>
  <c r="J343" i="17"/>
  <c r="K343" i="17"/>
  <c r="L343" i="17" s="1"/>
  <c r="H344" i="17"/>
  <c r="M344" i="17" s="1" a="1"/>
  <c r="M344" i="17" s="1"/>
  <c r="I344" i="17"/>
  <c r="N344" i="17" s="1" a="1"/>
  <c r="N344" i="17" s="1"/>
  <c r="J344" i="17"/>
  <c r="K344" i="17"/>
  <c r="L344" i="17" s="1"/>
  <c r="H345" i="17"/>
  <c r="M345" i="17" s="1" a="1"/>
  <c r="M345" i="17" s="1"/>
  <c r="I345" i="17"/>
  <c r="N345" i="17" s="1" a="1"/>
  <c r="N345" i="17" s="1"/>
  <c r="J345" i="17"/>
  <c r="K345" i="17"/>
  <c r="L345" i="17" s="1"/>
  <c r="H346" i="17"/>
  <c r="M346" i="17" s="1" a="1"/>
  <c r="M346" i="17" s="1"/>
  <c r="I346" i="17"/>
  <c r="N346" i="17" s="1" a="1"/>
  <c r="N346" i="17" s="1"/>
  <c r="J346" i="17"/>
  <c r="K346" i="17"/>
  <c r="L346" i="17" s="1"/>
  <c r="H347" i="17"/>
  <c r="M347" i="17" s="1" a="1"/>
  <c r="M347" i="17" s="1"/>
  <c r="I347" i="17"/>
  <c r="N347" i="17" s="1" a="1"/>
  <c r="N347" i="17" s="1"/>
  <c r="J347" i="17"/>
  <c r="K347" i="17"/>
  <c r="L347" i="17" s="1"/>
  <c r="H348" i="17"/>
  <c r="M348" i="17" s="1" a="1"/>
  <c r="M348" i="17" s="1"/>
  <c r="I348" i="17"/>
  <c r="N348" i="17" s="1" a="1"/>
  <c r="N348" i="17" s="1"/>
  <c r="J348" i="17"/>
  <c r="K348" i="17"/>
  <c r="L348" i="17" s="1"/>
  <c r="H349" i="17"/>
  <c r="M349" i="17" s="1" a="1"/>
  <c r="M349" i="17" s="1"/>
  <c r="I349" i="17"/>
  <c r="N349" i="17" s="1" a="1"/>
  <c r="N349" i="17" s="1"/>
  <c r="J349" i="17"/>
  <c r="K349" i="17"/>
  <c r="L349" i="17" s="1"/>
  <c r="H350" i="17"/>
  <c r="M350" i="17" s="1" a="1"/>
  <c r="M350" i="17" s="1"/>
  <c r="I350" i="17"/>
  <c r="N350" i="17" s="1" a="1"/>
  <c r="N350" i="17" s="1"/>
  <c r="J350" i="17"/>
  <c r="K350" i="17"/>
  <c r="L350" i="17" s="1"/>
  <c r="H351" i="17"/>
  <c r="M351" i="17" s="1" a="1"/>
  <c r="M351" i="17" s="1"/>
  <c r="I351" i="17"/>
  <c r="N351" i="17" s="1" a="1"/>
  <c r="N351" i="17" s="1"/>
  <c r="J351" i="17"/>
  <c r="K351" i="17"/>
  <c r="L351" i="17" s="1"/>
  <c r="H352" i="17"/>
  <c r="M352" i="17" s="1" a="1"/>
  <c r="M352" i="17" s="1"/>
  <c r="I352" i="17"/>
  <c r="N352" i="17" s="1" a="1"/>
  <c r="N352" i="17" s="1"/>
  <c r="J352" i="17"/>
  <c r="K352" i="17"/>
  <c r="L352" i="17" s="1"/>
  <c r="H353" i="17"/>
  <c r="M353" i="17" s="1" a="1"/>
  <c r="M353" i="17" s="1"/>
  <c r="I353" i="17"/>
  <c r="N353" i="17" s="1" a="1"/>
  <c r="N353" i="17" s="1"/>
  <c r="J353" i="17"/>
  <c r="K353" i="17"/>
  <c r="L353" i="17" s="1"/>
  <c r="H354" i="17"/>
  <c r="M354" i="17" s="1" a="1"/>
  <c r="M354" i="17" s="1"/>
  <c r="I354" i="17"/>
  <c r="N354" i="17" s="1" a="1"/>
  <c r="N354" i="17" s="1"/>
  <c r="J354" i="17"/>
  <c r="K354" i="17"/>
  <c r="L354" i="17" s="1"/>
  <c r="H355" i="17"/>
  <c r="M355" i="17" s="1" a="1"/>
  <c r="M355" i="17" s="1"/>
  <c r="I355" i="17"/>
  <c r="N355" i="17" s="1" a="1"/>
  <c r="N355" i="17" s="1"/>
  <c r="J355" i="17"/>
  <c r="K355" i="17"/>
  <c r="L355" i="17" s="1"/>
  <c r="H356" i="17"/>
  <c r="M356" i="17" s="1" a="1"/>
  <c r="M356" i="17" s="1"/>
  <c r="I356" i="17"/>
  <c r="N356" i="17" s="1" a="1"/>
  <c r="N356" i="17" s="1"/>
  <c r="J356" i="17"/>
  <c r="K356" i="17"/>
  <c r="L356" i="17" s="1"/>
  <c r="H357" i="17"/>
  <c r="M357" i="17" s="1" a="1"/>
  <c r="M357" i="17" s="1"/>
  <c r="I357" i="17"/>
  <c r="N357" i="17" s="1" a="1"/>
  <c r="N357" i="17" s="1"/>
  <c r="J357" i="17"/>
  <c r="K357" i="17"/>
  <c r="L357" i="17" s="1"/>
  <c r="H358" i="17"/>
  <c r="M358" i="17" s="1" a="1"/>
  <c r="M358" i="17" s="1"/>
  <c r="I358" i="17"/>
  <c r="N358" i="17" s="1" a="1"/>
  <c r="N358" i="17" s="1"/>
  <c r="J358" i="17"/>
  <c r="K358" i="17"/>
  <c r="L358" i="17" s="1"/>
  <c r="H359" i="17"/>
  <c r="M359" i="17" s="1" a="1"/>
  <c r="M359" i="17" s="1"/>
  <c r="I359" i="17"/>
  <c r="N359" i="17" s="1" a="1"/>
  <c r="N359" i="17" s="1"/>
  <c r="J359" i="17"/>
  <c r="K359" i="17"/>
  <c r="L359" i="17" s="1"/>
  <c r="H360" i="17"/>
  <c r="M360" i="17" s="1" a="1"/>
  <c r="M360" i="17" s="1"/>
  <c r="I360" i="17"/>
  <c r="N360" i="17" s="1" a="1"/>
  <c r="N360" i="17" s="1"/>
  <c r="J360" i="17"/>
  <c r="K360" i="17"/>
  <c r="L360" i="17" s="1"/>
  <c r="H361" i="17"/>
  <c r="M361" i="17" s="1" a="1"/>
  <c r="M361" i="17" s="1"/>
  <c r="I361" i="17"/>
  <c r="N361" i="17" s="1" a="1"/>
  <c r="N361" i="17" s="1"/>
  <c r="J361" i="17"/>
  <c r="K361" i="17"/>
  <c r="L361" i="17" s="1"/>
  <c r="H362" i="17"/>
  <c r="M362" i="17" s="1" a="1"/>
  <c r="M362" i="17" s="1"/>
  <c r="I362" i="17"/>
  <c r="N362" i="17" s="1" a="1"/>
  <c r="N362" i="17" s="1"/>
  <c r="J362" i="17"/>
  <c r="K362" i="17"/>
  <c r="L362" i="17" s="1"/>
  <c r="H363" i="17"/>
  <c r="M363" i="17" s="1" a="1"/>
  <c r="M363" i="17" s="1"/>
  <c r="I363" i="17"/>
  <c r="N363" i="17" s="1" a="1"/>
  <c r="N363" i="17" s="1"/>
  <c r="J363" i="17"/>
  <c r="K363" i="17"/>
  <c r="L363" i="17" s="1"/>
  <c r="H364" i="17"/>
  <c r="M364" i="17" s="1" a="1"/>
  <c r="M364" i="17" s="1"/>
  <c r="I364" i="17"/>
  <c r="N364" i="17" s="1" a="1"/>
  <c r="N364" i="17" s="1"/>
  <c r="J364" i="17"/>
  <c r="K364" i="17"/>
  <c r="L364" i="17" s="1"/>
  <c r="H365" i="17"/>
  <c r="M365" i="17" s="1" a="1"/>
  <c r="M365" i="17" s="1"/>
  <c r="I365" i="17"/>
  <c r="N365" i="17" s="1" a="1"/>
  <c r="N365" i="17" s="1"/>
  <c r="J365" i="17"/>
  <c r="K365" i="17"/>
  <c r="L365" i="17" s="1"/>
  <c r="H366" i="17"/>
  <c r="M366" i="17" s="1" a="1"/>
  <c r="M366" i="17" s="1"/>
  <c r="I366" i="17"/>
  <c r="N366" i="17" s="1" a="1"/>
  <c r="N366" i="17" s="1"/>
  <c r="J366" i="17"/>
  <c r="K366" i="17"/>
  <c r="L366" i="17" s="1"/>
  <c r="H367" i="17"/>
  <c r="M367" i="17" s="1" a="1"/>
  <c r="M367" i="17" s="1"/>
  <c r="I367" i="17"/>
  <c r="N367" i="17" s="1" a="1"/>
  <c r="N367" i="17" s="1"/>
  <c r="J367" i="17"/>
  <c r="K367" i="17"/>
  <c r="L367" i="17" s="1"/>
  <c r="H368" i="17"/>
  <c r="M368" i="17" s="1" a="1"/>
  <c r="M368" i="17" s="1"/>
  <c r="I368" i="17"/>
  <c r="N368" i="17" s="1" a="1"/>
  <c r="N368" i="17" s="1"/>
  <c r="J368" i="17"/>
  <c r="K368" i="17"/>
  <c r="L368" i="17" s="1"/>
  <c r="H369" i="17"/>
  <c r="M369" i="17" s="1" a="1"/>
  <c r="M369" i="17" s="1"/>
  <c r="I369" i="17"/>
  <c r="N369" i="17" s="1" a="1"/>
  <c r="N369" i="17" s="1"/>
  <c r="J369" i="17"/>
  <c r="K369" i="17"/>
  <c r="L369" i="17" s="1"/>
  <c r="H370" i="17"/>
  <c r="M370" i="17" s="1" a="1"/>
  <c r="M370" i="17" s="1"/>
  <c r="I370" i="17"/>
  <c r="N370" i="17" s="1" a="1"/>
  <c r="N370" i="17" s="1"/>
  <c r="J370" i="17"/>
  <c r="K370" i="17"/>
  <c r="L370" i="17" s="1"/>
  <c r="H371" i="17"/>
  <c r="M371" i="17" s="1" a="1"/>
  <c r="M371" i="17" s="1"/>
  <c r="I371" i="17"/>
  <c r="N371" i="17" s="1" a="1"/>
  <c r="N371" i="17" s="1"/>
  <c r="J371" i="17"/>
  <c r="K371" i="17"/>
  <c r="L371" i="17" s="1"/>
  <c r="H372" i="17"/>
  <c r="M372" i="17" s="1" a="1"/>
  <c r="M372" i="17" s="1"/>
  <c r="I372" i="17"/>
  <c r="N372" i="17" s="1" a="1"/>
  <c r="N372" i="17" s="1"/>
  <c r="J372" i="17"/>
  <c r="K372" i="17"/>
  <c r="L372" i="17" s="1"/>
  <c r="H373" i="17"/>
  <c r="M373" i="17" s="1" a="1"/>
  <c r="M373" i="17" s="1"/>
  <c r="I373" i="17"/>
  <c r="N373" i="17" s="1" a="1"/>
  <c r="N373" i="17" s="1"/>
  <c r="J373" i="17"/>
  <c r="K373" i="17"/>
  <c r="L373" i="17" s="1"/>
  <c r="H374" i="17"/>
  <c r="M374" i="17" s="1" a="1"/>
  <c r="M374" i="17" s="1"/>
  <c r="I374" i="17"/>
  <c r="N374" i="17" s="1" a="1"/>
  <c r="N374" i="17" s="1"/>
  <c r="J374" i="17"/>
  <c r="K374" i="17"/>
  <c r="L374" i="17" s="1"/>
  <c r="H375" i="17"/>
  <c r="M375" i="17" s="1" a="1"/>
  <c r="M375" i="17" s="1"/>
  <c r="I375" i="17"/>
  <c r="N375" i="17" s="1" a="1"/>
  <c r="N375" i="17" s="1"/>
  <c r="J375" i="17"/>
  <c r="K375" i="17"/>
  <c r="L375" i="17" s="1"/>
  <c r="H376" i="17"/>
  <c r="M376" i="17" s="1" a="1"/>
  <c r="M376" i="17" s="1"/>
  <c r="I376" i="17"/>
  <c r="N376" i="17" s="1" a="1"/>
  <c r="N376" i="17" s="1"/>
  <c r="J376" i="17"/>
  <c r="K376" i="17"/>
  <c r="L376" i="17" s="1"/>
  <c r="H377" i="17"/>
  <c r="M377" i="17" s="1" a="1"/>
  <c r="M377" i="17" s="1"/>
  <c r="I377" i="17"/>
  <c r="N377" i="17" s="1" a="1"/>
  <c r="N377" i="17" s="1"/>
  <c r="J377" i="17"/>
  <c r="K377" i="17"/>
  <c r="L377" i="17" s="1"/>
  <c r="H378" i="17"/>
  <c r="M378" i="17" s="1" a="1"/>
  <c r="M378" i="17" s="1"/>
  <c r="I378" i="17"/>
  <c r="N378" i="17" s="1" a="1"/>
  <c r="N378" i="17" s="1"/>
  <c r="J378" i="17"/>
  <c r="K378" i="17"/>
  <c r="L378" i="17" s="1"/>
  <c r="H379" i="17"/>
  <c r="M379" i="17" s="1" a="1"/>
  <c r="M379" i="17" s="1"/>
  <c r="I379" i="17"/>
  <c r="N379" i="17" s="1" a="1"/>
  <c r="N379" i="17" s="1"/>
  <c r="J379" i="17"/>
  <c r="K379" i="17"/>
  <c r="L379" i="17" s="1"/>
  <c r="H380" i="17"/>
  <c r="M380" i="17" s="1" a="1"/>
  <c r="M380" i="17" s="1"/>
  <c r="I380" i="17"/>
  <c r="N380" i="17" s="1" a="1"/>
  <c r="N380" i="17" s="1"/>
  <c r="J380" i="17"/>
  <c r="K380" i="17"/>
  <c r="L380" i="17" s="1"/>
  <c r="H381" i="17"/>
  <c r="M381" i="17" s="1" a="1"/>
  <c r="M381" i="17" s="1"/>
  <c r="I381" i="17"/>
  <c r="N381" i="17" s="1" a="1"/>
  <c r="N381" i="17" s="1"/>
  <c r="J381" i="17"/>
  <c r="K381" i="17"/>
  <c r="L381" i="17" s="1"/>
  <c r="H382" i="17"/>
  <c r="M382" i="17" s="1" a="1"/>
  <c r="M382" i="17" s="1"/>
  <c r="I382" i="17"/>
  <c r="N382" i="17" s="1" a="1"/>
  <c r="N382" i="17" s="1"/>
  <c r="J382" i="17"/>
  <c r="K382" i="17"/>
  <c r="L382" i="17" s="1"/>
  <c r="H383" i="17"/>
  <c r="M383" i="17" s="1" a="1"/>
  <c r="M383" i="17" s="1"/>
  <c r="I383" i="17"/>
  <c r="N383" i="17" s="1" a="1"/>
  <c r="N383" i="17" s="1"/>
  <c r="J383" i="17"/>
  <c r="K383" i="17"/>
  <c r="L383" i="17" s="1"/>
  <c r="H384" i="17"/>
  <c r="M384" i="17" s="1" a="1"/>
  <c r="M384" i="17" s="1"/>
  <c r="I384" i="17"/>
  <c r="N384" i="17" s="1" a="1"/>
  <c r="N384" i="17" s="1"/>
  <c r="J384" i="17"/>
  <c r="K384" i="17"/>
  <c r="L384" i="17" s="1"/>
  <c r="H385" i="17"/>
  <c r="M385" i="17" s="1" a="1"/>
  <c r="M385" i="17" s="1"/>
  <c r="I385" i="17"/>
  <c r="N385" i="17" s="1" a="1"/>
  <c r="N385" i="17" s="1"/>
  <c r="J385" i="17"/>
  <c r="K385" i="17"/>
  <c r="L385" i="17" s="1"/>
  <c r="H386" i="17"/>
  <c r="M386" i="17" s="1" a="1"/>
  <c r="M386" i="17" s="1"/>
  <c r="I386" i="17"/>
  <c r="N386" i="17" s="1" a="1"/>
  <c r="N386" i="17" s="1"/>
  <c r="J386" i="17"/>
  <c r="K386" i="17"/>
  <c r="L386" i="17" s="1"/>
  <c r="H387" i="17"/>
  <c r="M387" i="17" s="1" a="1"/>
  <c r="M387" i="17" s="1"/>
  <c r="I387" i="17"/>
  <c r="N387" i="17" s="1" a="1"/>
  <c r="N387" i="17" s="1"/>
  <c r="J387" i="17"/>
  <c r="K387" i="17"/>
  <c r="L387" i="17" s="1"/>
  <c r="H388" i="17"/>
  <c r="M388" i="17" s="1" a="1"/>
  <c r="M388" i="17" s="1"/>
  <c r="I388" i="17"/>
  <c r="N388" i="17" s="1" a="1"/>
  <c r="N388" i="17" s="1"/>
  <c r="J388" i="17"/>
  <c r="K388" i="17"/>
  <c r="L388" i="17" s="1"/>
  <c r="H389" i="17"/>
  <c r="M389" i="17" s="1" a="1"/>
  <c r="M389" i="17" s="1"/>
  <c r="I389" i="17"/>
  <c r="N389" i="17" s="1" a="1"/>
  <c r="N389" i="17" s="1"/>
  <c r="J389" i="17"/>
  <c r="K389" i="17"/>
  <c r="L389" i="17" s="1"/>
  <c r="H390" i="17"/>
  <c r="M390" i="17" s="1" a="1"/>
  <c r="M390" i="17" s="1"/>
  <c r="I390" i="17"/>
  <c r="N390" i="17" s="1" a="1"/>
  <c r="N390" i="17" s="1"/>
  <c r="J390" i="17"/>
  <c r="K390" i="17"/>
  <c r="L390" i="17" s="1"/>
  <c r="H391" i="17"/>
  <c r="M391" i="17" s="1" a="1"/>
  <c r="M391" i="17" s="1"/>
  <c r="I391" i="17"/>
  <c r="N391" i="17" s="1" a="1"/>
  <c r="N391" i="17" s="1"/>
  <c r="J391" i="17"/>
  <c r="K391" i="17"/>
  <c r="L391" i="17" s="1"/>
  <c r="H392" i="17"/>
  <c r="M392" i="17" s="1" a="1"/>
  <c r="M392" i="17" s="1"/>
  <c r="I392" i="17"/>
  <c r="N392" i="17" s="1" a="1"/>
  <c r="N392" i="17" s="1"/>
  <c r="J392" i="17"/>
  <c r="K392" i="17"/>
  <c r="L392" i="17" s="1"/>
  <c r="H393" i="17"/>
  <c r="M393" i="17" s="1" a="1"/>
  <c r="M393" i="17" s="1"/>
  <c r="I393" i="17"/>
  <c r="N393" i="17" s="1" a="1"/>
  <c r="N393" i="17" s="1"/>
  <c r="J393" i="17"/>
  <c r="K393" i="17"/>
  <c r="L393" i="17" s="1"/>
  <c r="H394" i="17"/>
  <c r="M394" i="17" s="1" a="1"/>
  <c r="M394" i="17" s="1"/>
  <c r="I394" i="17"/>
  <c r="N394" i="17" s="1" a="1"/>
  <c r="N394" i="17" s="1"/>
  <c r="J394" i="17"/>
  <c r="K394" i="17"/>
  <c r="L394" i="17" s="1"/>
  <c r="H395" i="17"/>
  <c r="M395" i="17" s="1" a="1"/>
  <c r="M395" i="17" s="1"/>
  <c r="I395" i="17"/>
  <c r="N395" i="17" s="1" a="1"/>
  <c r="N395" i="17" s="1"/>
  <c r="J395" i="17"/>
  <c r="K395" i="17"/>
  <c r="L395" i="17" s="1"/>
  <c r="H396" i="17"/>
  <c r="M396" i="17" s="1" a="1"/>
  <c r="M396" i="17" s="1"/>
  <c r="I396" i="17"/>
  <c r="N396" i="17" s="1" a="1"/>
  <c r="N396" i="17" s="1"/>
  <c r="J396" i="17"/>
  <c r="K396" i="17"/>
  <c r="L396" i="17" s="1"/>
  <c r="H397" i="17"/>
  <c r="M397" i="17" s="1" a="1"/>
  <c r="M397" i="17" s="1"/>
  <c r="I397" i="17"/>
  <c r="N397" i="17" s="1" a="1"/>
  <c r="N397" i="17" s="1"/>
  <c r="J397" i="17"/>
  <c r="K397" i="17"/>
  <c r="L397" i="17" s="1"/>
  <c r="H398" i="17"/>
  <c r="M398" i="17" s="1" a="1"/>
  <c r="M398" i="17" s="1"/>
  <c r="I398" i="17"/>
  <c r="N398" i="17" s="1" a="1"/>
  <c r="N398" i="17" s="1"/>
  <c r="J398" i="17"/>
  <c r="K398" i="17"/>
  <c r="L398" i="17" s="1"/>
  <c r="H399" i="17"/>
  <c r="M399" i="17" s="1" a="1"/>
  <c r="M399" i="17" s="1"/>
  <c r="I399" i="17"/>
  <c r="N399" i="17" s="1" a="1"/>
  <c r="N399" i="17" s="1"/>
  <c r="J399" i="17"/>
  <c r="K399" i="17"/>
  <c r="L399" i="17" s="1"/>
  <c r="H400" i="17"/>
  <c r="M400" i="17" s="1" a="1"/>
  <c r="M400" i="17" s="1"/>
  <c r="I400" i="17"/>
  <c r="N400" i="17" s="1" a="1"/>
  <c r="N400" i="17" s="1"/>
  <c r="J400" i="17"/>
  <c r="K400" i="17"/>
  <c r="L400" i="17" s="1"/>
  <c r="H401" i="17"/>
  <c r="M401" i="17" s="1" a="1"/>
  <c r="M401" i="17" s="1"/>
  <c r="I401" i="17"/>
  <c r="N401" i="17" s="1" a="1"/>
  <c r="N401" i="17" s="1"/>
  <c r="J401" i="17"/>
  <c r="K401" i="17"/>
  <c r="L401" i="17" s="1"/>
  <c r="H402" i="17"/>
  <c r="M402" i="17" s="1" a="1"/>
  <c r="M402" i="17" s="1"/>
  <c r="I402" i="17"/>
  <c r="N402" i="17" s="1" a="1"/>
  <c r="N402" i="17" s="1"/>
  <c r="J402" i="17"/>
  <c r="K402" i="17"/>
  <c r="L402" i="17" s="1"/>
  <c r="H403" i="17"/>
  <c r="M403" i="17" s="1" a="1"/>
  <c r="M403" i="17" s="1"/>
  <c r="I403" i="17"/>
  <c r="N403" i="17" s="1" a="1"/>
  <c r="N403" i="17" s="1"/>
  <c r="J403" i="17"/>
  <c r="K403" i="17"/>
  <c r="L403" i="17" s="1"/>
  <c r="H404" i="17"/>
  <c r="M404" i="17" s="1" a="1"/>
  <c r="M404" i="17" s="1"/>
  <c r="I404" i="17"/>
  <c r="N404" i="17" s="1" a="1"/>
  <c r="N404" i="17" s="1"/>
  <c r="J404" i="17"/>
  <c r="K404" i="17"/>
  <c r="L404" i="17" s="1"/>
  <c r="H405" i="17"/>
  <c r="M405" i="17" s="1" a="1"/>
  <c r="M405" i="17" s="1"/>
  <c r="I405" i="17"/>
  <c r="N405" i="17" s="1" a="1"/>
  <c r="N405" i="17" s="1"/>
  <c r="J405" i="17"/>
  <c r="K405" i="17"/>
  <c r="L405" i="17" s="1"/>
  <c r="H406" i="17"/>
  <c r="M406" i="17" s="1" a="1"/>
  <c r="M406" i="17" s="1"/>
  <c r="I406" i="17"/>
  <c r="N406" i="17" s="1" a="1"/>
  <c r="N406" i="17" s="1"/>
  <c r="J406" i="17"/>
  <c r="K406" i="17"/>
  <c r="L406" i="17" s="1"/>
  <c r="H407" i="17"/>
  <c r="M407" i="17" s="1" a="1"/>
  <c r="M407" i="17" s="1"/>
  <c r="I407" i="17"/>
  <c r="N407" i="17" s="1" a="1"/>
  <c r="N407" i="17" s="1"/>
  <c r="J407" i="17"/>
  <c r="K407" i="17"/>
  <c r="L407" i="17" s="1"/>
  <c r="H408" i="17"/>
  <c r="M408" i="17" s="1" a="1"/>
  <c r="M408" i="17" s="1"/>
  <c r="I408" i="17"/>
  <c r="N408" i="17" s="1" a="1"/>
  <c r="N408" i="17" s="1"/>
  <c r="J408" i="17"/>
  <c r="K408" i="17"/>
  <c r="L408" i="17" s="1"/>
  <c r="H409" i="17"/>
  <c r="M409" i="17" s="1" a="1"/>
  <c r="M409" i="17" s="1"/>
  <c r="I409" i="17"/>
  <c r="N409" i="17" s="1" a="1"/>
  <c r="N409" i="17" s="1"/>
  <c r="J409" i="17"/>
  <c r="K409" i="17"/>
  <c r="L409" i="17" s="1"/>
  <c r="H410" i="17"/>
  <c r="M410" i="17" s="1" a="1"/>
  <c r="M410" i="17" s="1"/>
  <c r="I410" i="17"/>
  <c r="N410" i="17" s="1" a="1"/>
  <c r="N410" i="17" s="1"/>
  <c r="J410" i="17"/>
  <c r="K410" i="17"/>
  <c r="L410" i="17" s="1"/>
  <c r="H411" i="17"/>
  <c r="M411" i="17" s="1" a="1"/>
  <c r="M411" i="17" s="1"/>
  <c r="I411" i="17"/>
  <c r="N411" i="17" s="1" a="1"/>
  <c r="N411" i="17" s="1"/>
  <c r="J411" i="17"/>
  <c r="K411" i="17"/>
  <c r="L411" i="17" s="1"/>
  <c r="H412" i="17"/>
  <c r="M412" i="17" s="1" a="1"/>
  <c r="M412" i="17" s="1"/>
  <c r="I412" i="17"/>
  <c r="N412" i="17" s="1" a="1"/>
  <c r="N412" i="17" s="1"/>
  <c r="J412" i="17"/>
  <c r="K412" i="17"/>
  <c r="L412" i="17" s="1"/>
  <c r="H413" i="17"/>
  <c r="M413" i="17" s="1" a="1"/>
  <c r="M413" i="17" s="1"/>
  <c r="I413" i="17"/>
  <c r="N413" i="17" s="1" a="1"/>
  <c r="N413" i="17" s="1"/>
  <c r="J413" i="17"/>
  <c r="K413" i="17"/>
  <c r="L413" i="17" s="1"/>
  <c r="H414" i="17"/>
  <c r="M414" i="17" s="1" a="1"/>
  <c r="M414" i="17" s="1"/>
  <c r="I414" i="17"/>
  <c r="N414" i="17" s="1" a="1"/>
  <c r="N414" i="17" s="1"/>
  <c r="J414" i="17"/>
  <c r="K414" i="17"/>
  <c r="L414" i="17" s="1"/>
  <c r="H415" i="17"/>
  <c r="M415" i="17" s="1" a="1"/>
  <c r="M415" i="17" s="1"/>
  <c r="I415" i="17"/>
  <c r="N415" i="17" s="1" a="1"/>
  <c r="N415" i="17" s="1"/>
  <c r="J415" i="17"/>
  <c r="K415" i="17"/>
  <c r="L415" i="17" s="1"/>
  <c r="H416" i="17"/>
  <c r="M416" i="17" s="1" a="1"/>
  <c r="M416" i="17" s="1"/>
  <c r="I416" i="17"/>
  <c r="N416" i="17" s="1" a="1"/>
  <c r="N416" i="17" s="1"/>
  <c r="J416" i="17"/>
  <c r="K416" i="17"/>
  <c r="L416" i="17" s="1"/>
  <c r="H417" i="17"/>
  <c r="M417" i="17" s="1" a="1"/>
  <c r="M417" i="17" s="1"/>
  <c r="I417" i="17"/>
  <c r="N417" i="17" s="1" a="1"/>
  <c r="N417" i="17" s="1"/>
  <c r="J417" i="17"/>
  <c r="K417" i="17"/>
  <c r="L417" i="17" s="1"/>
  <c r="H418" i="17"/>
  <c r="M418" i="17" s="1" a="1"/>
  <c r="M418" i="17" s="1"/>
  <c r="I418" i="17"/>
  <c r="N418" i="17" s="1" a="1"/>
  <c r="N418" i="17" s="1"/>
  <c r="J418" i="17"/>
  <c r="K418" i="17"/>
  <c r="L418" i="17" s="1"/>
  <c r="H419" i="17"/>
  <c r="M419" i="17" s="1" a="1"/>
  <c r="M419" i="17" s="1"/>
  <c r="I419" i="17"/>
  <c r="N419" i="17" s="1" a="1"/>
  <c r="N419" i="17" s="1"/>
  <c r="J419" i="17"/>
  <c r="K419" i="17"/>
  <c r="L419" i="17" s="1"/>
  <c r="H420" i="17"/>
  <c r="M420" i="17" s="1" a="1"/>
  <c r="M420" i="17" s="1"/>
  <c r="I420" i="17"/>
  <c r="N420" i="17" s="1" a="1"/>
  <c r="N420" i="17" s="1"/>
  <c r="J420" i="17"/>
  <c r="K420" i="17"/>
  <c r="L420" i="17" s="1"/>
  <c r="H421" i="17"/>
  <c r="M421" i="17" s="1" a="1"/>
  <c r="M421" i="17" s="1"/>
  <c r="I421" i="17"/>
  <c r="N421" i="17" s="1" a="1"/>
  <c r="N421" i="17" s="1"/>
  <c r="J421" i="17"/>
  <c r="K421" i="17"/>
  <c r="L421" i="17" s="1"/>
  <c r="H422" i="17"/>
  <c r="M422" i="17" s="1" a="1"/>
  <c r="M422" i="17" s="1"/>
  <c r="I422" i="17"/>
  <c r="N422" i="17" s="1" a="1"/>
  <c r="N422" i="17" s="1"/>
  <c r="J422" i="17"/>
  <c r="K422" i="17"/>
  <c r="L422" i="17" s="1"/>
  <c r="H423" i="17"/>
  <c r="M423" i="17" s="1" a="1"/>
  <c r="M423" i="17" s="1"/>
  <c r="I423" i="17"/>
  <c r="N423" i="17" s="1" a="1"/>
  <c r="N423" i="17" s="1"/>
  <c r="J423" i="17"/>
  <c r="K423" i="17"/>
  <c r="L423" i="17" s="1"/>
  <c r="H424" i="17"/>
  <c r="M424" i="17" s="1" a="1"/>
  <c r="M424" i="17" s="1"/>
  <c r="I424" i="17"/>
  <c r="N424" i="17" s="1" a="1"/>
  <c r="N424" i="17" s="1"/>
  <c r="J424" i="17"/>
  <c r="K424" i="17"/>
  <c r="L424" i="17" s="1"/>
  <c r="H425" i="17"/>
  <c r="M425" i="17" s="1" a="1"/>
  <c r="M425" i="17" s="1"/>
  <c r="I425" i="17"/>
  <c r="N425" i="17" s="1" a="1"/>
  <c r="N425" i="17" s="1"/>
  <c r="J425" i="17"/>
  <c r="K425" i="17"/>
  <c r="L425" i="17" s="1"/>
  <c r="H426" i="17"/>
  <c r="M426" i="17" s="1" a="1"/>
  <c r="M426" i="17" s="1"/>
  <c r="I426" i="17"/>
  <c r="N426" i="17" s="1" a="1"/>
  <c r="N426" i="17" s="1"/>
  <c r="J426" i="17"/>
  <c r="K426" i="17"/>
  <c r="L426" i="17" s="1"/>
  <c r="H427" i="17"/>
  <c r="M427" i="17" s="1" a="1"/>
  <c r="M427" i="17" s="1"/>
  <c r="I427" i="17"/>
  <c r="N427" i="17" s="1" a="1"/>
  <c r="N427" i="17" s="1"/>
  <c r="J427" i="17"/>
  <c r="K427" i="17"/>
  <c r="L427" i="17" s="1"/>
  <c r="H428" i="17"/>
  <c r="M428" i="17" s="1" a="1"/>
  <c r="M428" i="17" s="1"/>
  <c r="I428" i="17"/>
  <c r="N428" i="17" s="1" a="1"/>
  <c r="N428" i="17" s="1"/>
  <c r="J428" i="17"/>
  <c r="K428" i="17"/>
  <c r="L428" i="17" s="1"/>
  <c r="H429" i="17"/>
  <c r="M429" i="17" s="1" a="1"/>
  <c r="M429" i="17" s="1"/>
  <c r="I429" i="17"/>
  <c r="N429" i="17" s="1" a="1"/>
  <c r="N429" i="17" s="1"/>
  <c r="J429" i="17"/>
  <c r="K429" i="17"/>
  <c r="L429" i="17" s="1"/>
  <c r="H430" i="17"/>
  <c r="M430" i="17" s="1" a="1"/>
  <c r="M430" i="17" s="1"/>
  <c r="I430" i="17"/>
  <c r="N430" i="17" s="1" a="1"/>
  <c r="N430" i="17" s="1"/>
  <c r="J430" i="17"/>
  <c r="K430" i="17"/>
  <c r="L430" i="17" s="1"/>
  <c r="H431" i="17"/>
  <c r="M431" i="17" s="1" a="1"/>
  <c r="M431" i="17" s="1"/>
  <c r="I431" i="17"/>
  <c r="N431" i="17" s="1" a="1"/>
  <c r="N431" i="17" s="1"/>
  <c r="J431" i="17"/>
  <c r="K431" i="17"/>
  <c r="L431" i="17" s="1"/>
  <c r="H432" i="17"/>
  <c r="M432" i="17" s="1" a="1"/>
  <c r="M432" i="17" s="1"/>
  <c r="I432" i="17"/>
  <c r="N432" i="17" s="1" a="1"/>
  <c r="N432" i="17" s="1"/>
  <c r="J432" i="17"/>
  <c r="K432" i="17"/>
  <c r="L432" i="17" s="1"/>
  <c r="H433" i="17"/>
  <c r="M433" i="17" s="1" a="1"/>
  <c r="M433" i="17" s="1"/>
  <c r="I433" i="17"/>
  <c r="N433" i="17" s="1" a="1"/>
  <c r="N433" i="17" s="1"/>
  <c r="J433" i="17"/>
  <c r="K433" i="17"/>
  <c r="L433" i="17" s="1"/>
  <c r="H434" i="17"/>
  <c r="M434" i="17" s="1" a="1"/>
  <c r="M434" i="17" s="1"/>
  <c r="I434" i="17"/>
  <c r="N434" i="17" s="1" a="1"/>
  <c r="N434" i="17" s="1"/>
  <c r="J434" i="17"/>
  <c r="K434" i="17"/>
  <c r="L434" i="17" s="1"/>
  <c r="H435" i="17"/>
  <c r="M435" i="17" s="1" a="1"/>
  <c r="M435" i="17" s="1"/>
  <c r="I435" i="17"/>
  <c r="N435" i="17" s="1" a="1"/>
  <c r="N435" i="17" s="1"/>
  <c r="J435" i="17"/>
  <c r="K435" i="17"/>
  <c r="L435" i="17" s="1"/>
  <c r="H436" i="17"/>
  <c r="M436" i="17" s="1" a="1"/>
  <c r="M436" i="17" s="1"/>
  <c r="I436" i="17"/>
  <c r="N436" i="17" s="1" a="1"/>
  <c r="N436" i="17" s="1"/>
  <c r="J436" i="17"/>
  <c r="K436" i="17"/>
  <c r="L436" i="17" s="1"/>
  <c r="H437" i="17"/>
  <c r="M437" i="17" s="1" a="1"/>
  <c r="M437" i="17" s="1"/>
  <c r="I437" i="17"/>
  <c r="N437" i="17" s="1" a="1"/>
  <c r="N437" i="17" s="1"/>
  <c r="J437" i="17"/>
  <c r="K437" i="17"/>
  <c r="L437" i="17" s="1"/>
  <c r="H438" i="17"/>
  <c r="M438" i="17" s="1" a="1"/>
  <c r="M438" i="17" s="1"/>
  <c r="I438" i="17"/>
  <c r="N438" i="17" s="1" a="1"/>
  <c r="N438" i="17" s="1"/>
  <c r="J438" i="17"/>
  <c r="K438" i="17"/>
  <c r="L438" i="17" s="1"/>
  <c r="H439" i="17"/>
  <c r="M439" i="17" s="1" a="1"/>
  <c r="M439" i="17" s="1"/>
  <c r="I439" i="17"/>
  <c r="N439" i="17" s="1" a="1"/>
  <c r="N439" i="17" s="1"/>
  <c r="J439" i="17"/>
  <c r="K439" i="17"/>
  <c r="L439" i="17" s="1"/>
  <c r="H440" i="17"/>
  <c r="M440" i="17" s="1" a="1"/>
  <c r="M440" i="17" s="1"/>
  <c r="I440" i="17"/>
  <c r="N440" i="17" s="1" a="1"/>
  <c r="N440" i="17" s="1"/>
  <c r="J440" i="17"/>
  <c r="K440" i="17"/>
  <c r="L440" i="17" s="1"/>
  <c r="H441" i="17"/>
  <c r="M441" i="17" s="1" a="1"/>
  <c r="M441" i="17" s="1"/>
  <c r="I441" i="17"/>
  <c r="N441" i="17" s="1" a="1"/>
  <c r="N441" i="17" s="1"/>
  <c r="J441" i="17"/>
  <c r="K441" i="17"/>
  <c r="L441" i="17" s="1"/>
  <c r="H442" i="17"/>
  <c r="M442" i="17" s="1" a="1"/>
  <c r="M442" i="17" s="1"/>
  <c r="I442" i="17"/>
  <c r="N442" i="17" s="1" a="1"/>
  <c r="N442" i="17" s="1"/>
  <c r="J442" i="17"/>
  <c r="K442" i="17"/>
  <c r="L442" i="17" s="1"/>
  <c r="H443" i="17"/>
  <c r="M443" i="17" s="1" a="1"/>
  <c r="M443" i="17" s="1"/>
  <c r="I443" i="17"/>
  <c r="N443" i="17" s="1" a="1"/>
  <c r="N443" i="17" s="1"/>
  <c r="J443" i="17"/>
  <c r="K443" i="17"/>
  <c r="L443" i="17" s="1"/>
  <c r="H444" i="17"/>
  <c r="M444" i="17" s="1" a="1"/>
  <c r="M444" i="17" s="1"/>
  <c r="I444" i="17"/>
  <c r="N444" i="17" s="1" a="1"/>
  <c r="N444" i="17" s="1"/>
  <c r="J444" i="17"/>
  <c r="K444" i="17"/>
  <c r="L444" i="17" s="1"/>
  <c r="H445" i="17"/>
  <c r="M445" i="17" s="1" a="1"/>
  <c r="M445" i="17" s="1"/>
  <c r="I445" i="17"/>
  <c r="N445" i="17" s="1" a="1"/>
  <c r="N445" i="17" s="1"/>
  <c r="J445" i="17"/>
  <c r="K445" i="17"/>
  <c r="L445" i="17" s="1"/>
  <c r="H446" i="17"/>
  <c r="M446" i="17" s="1" a="1"/>
  <c r="M446" i="17" s="1"/>
  <c r="I446" i="17"/>
  <c r="N446" i="17" s="1" a="1"/>
  <c r="N446" i="17" s="1"/>
  <c r="J446" i="17"/>
  <c r="K446" i="17"/>
  <c r="L446" i="17" s="1"/>
  <c r="H447" i="17"/>
  <c r="M447" i="17" s="1" a="1"/>
  <c r="M447" i="17" s="1"/>
  <c r="I447" i="17"/>
  <c r="N447" i="17" s="1" a="1"/>
  <c r="N447" i="17" s="1"/>
  <c r="J447" i="17"/>
  <c r="K447" i="17"/>
  <c r="L447" i="17" s="1"/>
  <c r="H448" i="17"/>
  <c r="M448" i="17" s="1" a="1"/>
  <c r="M448" i="17" s="1"/>
  <c r="I448" i="17"/>
  <c r="N448" i="17" s="1" a="1"/>
  <c r="N448" i="17" s="1"/>
  <c r="J448" i="17"/>
  <c r="K448" i="17"/>
  <c r="L448" i="17" s="1"/>
  <c r="H449" i="17"/>
  <c r="M449" i="17" s="1" a="1"/>
  <c r="M449" i="17" s="1"/>
  <c r="I449" i="17"/>
  <c r="N449" i="17" s="1" a="1"/>
  <c r="N449" i="17" s="1"/>
  <c r="J449" i="17"/>
  <c r="K449" i="17"/>
  <c r="L449" i="17" s="1"/>
  <c r="H450" i="17"/>
  <c r="M450" i="17" s="1" a="1"/>
  <c r="M450" i="17" s="1"/>
  <c r="I450" i="17"/>
  <c r="N450" i="17" s="1" a="1"/>
  <c r="N450" i="17" s="1"/>
  <c r="J450" i="17"/>
  <c r="K450" i="17"/>
  <c r="L450" i="17" s="1"/>
  <c r="H451" i="17"/>
  <c r="M451" i="17" s="1" a="1"/>
  <c r="M451" i="17" s="1"/>
  <c r="I451" i="17"/>
  <c r="N451" i="17" s="1" a="1"/>
  <c r="N451" i="17" s="1"/>
  <c r="J451" i="17"/>
  <c r="K451" i="17"/>
  <c r="L451" i="17" s="1"/>
  <c r="H452" i="17"/>
  <c r="M452" i="17" s="1" a="1"/>
  <c r="M452" i="17" s="1"/>
  <c r="I452" i="17"/>
  <c r="N452" i="17" s="1" a="1"/>
  <c r="N452" i="17" s="1"/>
  <c r="J452" i="17"/>
  <c r="K452" i="17"/>
  <c r="L452" i="17" s="1"/>
  <c r="H453" i="17"/>
  <c r="M453" i="17" s="1" a="1"/>
  <c r="M453" i="17" s="1"/>
  <c r="I453" i="17"/>
  <c r="N453" i="17" s="1" a="1"/>
  <c r="N453" i="17" s="1"/>
  <c r="J453" i="17"/>
  <c r="K453" i="17"/>
  <c r="L453" i="17" s="1"/>
  <c r="H454" i="17"/>
  <c r="M454" i="17" s="1" a="1"/>
  <c r="M454" i="17" s="1"/>
  <c r="I454" i="17"/>
  <c r="N454" i="17" s="1" a="1"/>
  <c r="N454" i="17" s="1"/>
  <c r="J454" i="17"/>
  <c r="K454" i="17"/>
  <c r="L454" i="17" s="1"/>
  <c r="H455" i="17"/>
  <c r="M455" i="17" s="1" a="1"/>
  <c r="M455" i="17" s="1"/>
  <c r="I455" i="17"/>
  <c r="N455" i="17" s="1" a="1"/>
  <c r="N455" i="17" s="1"/>
  <c r="J455" i="17"/>
  <c r="K455" i="17"/>
  <c r="L455" i="17" s="1"/>
  <c r="H456" i="17"/>
  <c r="M456" i="17" s="1" a="1"/>
  <c r="M456" i="17" s="1"/>
  <c r="I456" i="17"/>
  <c r="N456" i="17" s="1" a="1"/>
  <c r="N456" i="17" s="1"/>
  <c r="J456" i="17"/>
  <c r="K456" i="17"/>
  <c r="L456" i="17" s="1"/>
  <c r="H457" i="17"/>
  <c r="M457" i="17" s="1" a="1"/>
  <c r="M457" i="17" s="1"/>
  <c r="I457" i="17"/>
  <c r="N457" i="17" s="1" a="1"/>
  <c r="N457" i="17" s="1"/>
  <c r="J457" i="17"/>
  <c r="K457" i="17"/>
  <c r="L457" i="17" s="1"/>
  <c r="H458" i="17"/>
  <c r="M458" i="17" s="1" a="1"/>
  <c r="M458" i="17" s="1"/>
  <c r="I458" i="17"/>
  <c r="N458" i="17" s="1" a="1"/>
  <c r="N458" i="17" s="1"/>
  <c r="J458" i="17"/>
  <c r="K458" i="17"/>
  <c r="L458" i="17" s="1"/>
  <c r="H459" i="17"/>
  <c r="M459" i="17" s="1" a="1"/>
  <c r="M459" i="17" s="1"/>
  <c r="I459" i="17"/>
  <c r="N459" i="17" s="1" a="1"/>
  <c r="N459" i="17" s="1"/>
  <c r="J459" i="17"/>
  <c r="K459" i="17"/>
  <c r="L459" i="17" s="1"/>
  <c r="H460" i="17"/>
  <c r="M460" i="17" s="1" a="1"/>
  <c r="M460" i="17" s="1"/>
  <c r="I460" i="17"/>
  <c r="N460" i="17" s="1" a="1"/>
  <c r="N460" i="17" s="1"/>
  <c r="J460" i="17"/>
  <c r="K460" i="17"/>
  <c r="L460" i="17" s="1"/>
  <c r="H461" i="17"/>
  <c r="M461" i="17" s="1" a="1"/>
  <c r="M461" i="17" s="1"/>
  <c r="I461" i="17"/>
  <c r="N461" i="17" s="1" a="1"/>
  <c r="N461" i="17" s="1"/>
  <c r="J461" i="17"/>
  <c r="K461" i="17"/>
  <c r="L461" i="17" s="1"/>
  <c r="H462" i="17"/>
  <c r="M462" i="17" s="1" a="1"/>
  <c r="M462" i="17" s="1"/>
  <c r="I462" i="17"/>
  <c r="N462" i="17" s="1" a="1"/>
  <c r="N462" i="17" s="1"/>
  <c r="J462" i="17"/>
  <c r="K462" i="17"/>
  <c r="L462" i="17" s="1"/>
  <c r="H463" i="17"/>
  <c r="M463" i="17" s="1" a="1"/>
  <c r="M463" i="17" s="1"/>
  <c r="I463" i="17"/>
  <c r="N463" i="17" s="1" a="1"/>
  <c r="N463" i="17" s="1"/>
  <c r="J463" i="17"/>
  <c r="K463" i="17"/>
  <c r="L463" i="17" s="1"/>
  <c r="H464" i="17"/>
  <c r="M464" i="17" s="1" a="1"/>
  <c r="M464" i="17" s="1"/>
  <c r="I464" i="17"/>
  <c r="N464" i="17" s="1" a="1"/>
  <c r="N464" i="17" s="1"/>
  <c r="J464" i="17"/>
  <c r="K464" i="17"/>
  <c r="L464" i="17" s="1"/>
  <c r="H465" i="17"/>
  <c r="M465" i="17" s="1" a="1"/>
  <c r="M465" i="17" s="1"/>
  <c r="I465" i="17"/>
  <c r="N465" i="17" s="1" a="1"/>
  <c r="N465" i="17" s="1"/>
  <c r="J465" i="17"/>
  <c r="K465" i="17"/>
  <c r="L465" i="17" s="1"/>
  <c r="H466" i="17"/>
  <c r="M466" i="17" s="1" a="1"/>
  <c r="M466" i="17" s="1"/>
  <c r="I466" i="17"/>
  <c r="N466" i="17" s="1" a="1"/>
  <c r="N466" i="17" s="1"/>
  <c r="J466" i="17"/>
  <c r="K466" i="17"/>
  <c r="L466" i="17" s="1"/>
  <c r="H467" i="17"/>
  <c r="M467" i="17" s="1" a="1"/>
  <c r="M467" i="17" s="1"/>
  <c r="I467" i="17"/>
  <c r="N467" i="17" s="1" a="1"/>
  <c r="N467" i="17" s="1"/>
  <c r="J467" i="17"/>
  <c r="K467" i="17"/>
  <c r="L467" i="17" s="1"/>
  <c r="H468" i="17"/>
  <c r="M468" i="17" s="1" a="1"/>
  <c r="M468" i="17" s="1"/>
  <c r="I468" i="17"/>
  <c r="N468" i="17" s="1" a="1"/>
  <c r="N468" i="17" s="1"/>
  <c r="J468" i="17"/>
  <c r="K468" i="17"/>
  <c r="L468" i="17" s="1"/>
  <c r="H469" i="17"/>
  <c r="M469" i="17" s="1" a="1"/>
  <c r="M469" i="17" s="1"/>
  <c r="I469" i="17"/>
  <c r="N469" i="17" s="1" a="1"/>
  <c r="N469" i="17" s="1"/>
  <c r="J469" i="17"/>
  <c r="K469" i="17"/>
  <c r="L469" i="17" s="1"/>
  <c r="H470" i="17"/>
  <c r="M470" i="17" s="1" a="1"/>
  <c r="M470" i="17" s="1"/>
  <c r="I470" i="17"/>
  <c r="N470" i="17" s="1" a="1"/>
  <c r="N470" i="17" s="1"/>
  <c r="J470" i="17"/>
  <c r="K470" i="17"/>
  <c r="L470" i="17" s="1"/>
  <c r="H471" i="17"/>
  <c r="M471" i="17" s="1" a="1"/>
  <c r="M471" i="17" s="1"/>
  <c r="I471" i="17"/>
  <c r="N471" i="17" s="1" a="1"/>
  <c r="N471" i="17" s="1"/>
  <c r="J471" i="17"/>
  <c r="K471" i="17"/>
  <c r="L471" i="17" s="1"/>
  <c r="H472" i="17"/>
  <c r="M472" i="17" s="1" a="1"/>
  <c r="M472" i="17" s="1"/>
  <c r="I472" i="17"/>
  <c r="N472" i="17" s="1" a="1"/>
  <c r="N472" i="17" s="1"/>
  <c r="J472" i="17"/>
  <c r="K472" i="17"/>
  <c r="L472" i="17" s="1"/>
  <c r="H473" i="17"/>
  <c r="M473" i="17" s="1" a="1"/>
  <c r="M473" i="17" s="1"/>
  <c r="I473" i="17"/>
  <c r="N473" i="17" s="1" a="1"/>
  <c r="N473" i="17" s="1"/>
  <c r="J473" i="17"/>
  <c r="K473" i="17"/>
  <c r="L473" i="17" s="1"/>
  <c r="H474" i="17"/>
  <c r="M474" i="17" s="1" a="1"/>
  <c r="M474" i="17" s="1"/>
  <c r="I474" i="17"/>
  <c r="N474" i="17" s="1" a="1"/>
  <c r="N474" i="17" s="1"/>
  <c r="J474" i="17"/>
  <c r="K474" i="17"/>
  <c r="L474" i="17" s="1"/>
  <c r="H475" i="17"/>
  <c r="M475" i="17" s="1" a="1"/>
  <c r="M475" i="17" s="1"/>
  <c r="I475" i="17"/>
  <c r="N475" i="17" s="1" a="1"/>
  <c r="N475" i="17" s="1"/>
  <c r="J475" i="17"/>
  <c r="K475" i="17"/>
  <c r="L475" i="17" s="1"/>
  <c r="H476" i="17"/>
  <c r="M476" i="17" s="1" a="1"/>
  <c r="M476" i="17" s="1"/>
  <c r="I476" i="17"/>
  <c r="N476" i="17" s="1" a="1"/>
  <c r="N476" i="17" s="1"/>
  <c r="J476" i="17"/>
  <c r="K476" i="17"/>
  <c r="L476" i="17" s="1"/>
  <c r="H477" i="17"/>
  <c r="M477" i="17" s="1" a="1"/>
  <c r="M477" i="17" s="1"/>
  <c r="I477" i="17"/>
  <c r="N477" i="17" s="1" a="1"/>
  <c r="N477" i="17" s="1"/>
  <c r="J477" i="17"/>
  <c r="K477" i="17"/>
  <c r="L477" i="17" s="1"/>
  <c r="H478" i="17"/>
  <c r="M478" i="17" s="1" a="1"/>
  <c r="M478" i="17" s="1"/>
  <c r="I478" i="17"/>
  <c r="N478" i="17" s="1" a="1"/>
  <c r="N478" i="17" s="1"/>
  <c r="J478" i="17"/>
  <c r="K478" i="17"/>
  <c r="L478" i="17" s="1"/>
  <c r="H479" i="17"/>
  <c r="M479" i="17" s="1" a="1"/>
  <c r="M479" i="17" s="1"/>
  <c r="I479" i="17"/>
  <c r="N479" i="17" s="1" a="1"/>
  <c r="N479" i="17" s="1"/>
  <c r="J479" i="17"/>
  <c r="K479" i="17"/>
  <c r="L479" i="17" s="1"/>
  <c r="H480" i="17"/>
  <c r="M480" i="17" s="1" a="1"/>
  <c r="M480" i="17" s="1"/>
  <c r="I480" i="17"/>
  <c r="N480" i="17" s="1" a="1"/>
  <c r="N480" i="17" s="1"/>
  <c r="J480" i="17"/>
  <c r="K480" i="17"/>
  <c r="L480" i="17" s="1"/>
  <c r="H481" i="17"/>
  <c r="M481" i="17" s="1" a="1"/>
  <c r="M481" i="17" s="1"/>
  <c r="I481" i="17"/>
  <c r="N481" i="17" s="1" a="1"/>
  <c r="N481" i="17" s="1"/>
  <c r="J481" i="17"/>
  <c r="K481" i="17"/>
  <c r="L481" i="17" s="1"/>
  <c r="H482" i="17"/>
  <c r="M482" i="17" s="1" a="1"/>
  <c r="M482" i="17" s="1"/>
  <c r="I482" i="17"/>
  <c r="N482" i="17" s="1" a="1"/>
  <c r="N482" i="17" s="1"/>
  <c r="J482" i="17"/>
  <c r="K482" i="17"/>
  <c r="L482" i="17" s="1"/>
  <c r="H483" i="17"/>
  <c r="M483" i="17" s="1" a="1"/>
  <c r="M483" i="17" s="1"/>
  <c r="I483" i="17"/>
  <c r="N483" i="17" s="1" a="1"/>
  <c r="N483" i="17" s="1"/>
  <c r="J483" i="17"/>
  <c r="K483" i="17"/>
  <c r="L483" i="17" s="1"/>
  <c r="H484" i="17"/>
  <c r="M484" i="17" s="1" a="1"/>
  <c r="M484" i="17" s="1"/>
  <c r="I484" i="17"/>
  <c r="N484" i="17" s="1" a="1"/>
  <c r="N484" i="17" s="1"/>
  <c r="J484" i="17"/>
  <c r="K484" i="17"/>
  <c r="L484" i="17" s="1"/>
  <c r="H485" i="17"/>
  <c r="M485" i="17" s="1" a="1"/>
  <c r="M485" i="17" s="1"/>
  <c r="I485" i="17"/>
  <c r="N485" i="17" s="1" a="1"/>
  <c r="N485" i="17" s="1"/>
  <c r="J485" i="17"/>
  <c r="K485" i="17"/>
  <c r="L485" i="17" s="1"/>
  <c r="H486" i="17"/>
  <c r="M486" i="17" s="1" a="1"/>
  <c r="M486" i="17" s="1"/>
  <c r="I486" i="17"/>
  <c r="N486" i="17" s="1" a="1"/>
  <c r="N486" i="17" s="1"/>
  <c r="J486" i="17"/>
  <c r="K486" i="17"/>
  <c r="L486" i="17" s="1"/>
  <c r="H487" i="17"/>
  <c r="M487" i="17" s="1" a="1"/>
  <c r="M487" i="17" s="1"/>
  <c r="I487" i="17"/>
  <c r="N487" i="17" s="1" a="1"/>
  <c r="N487" i="17" s="1"/>
  <c r="J487" i="17"/>
  <c r="K487" i="17"/>
  <c r="L487" i="17" s="1"/>
  <c r="H488" i="17"/>
  <c r="M488" i="17" s="1" a="1"/>
  <c r="M488" i="17" s="1"/>
  <c r="I488" i="17"/>
  <c r="N488" i="17" s="1" a="1"/>
  <c r="N488" i="17" s="1"/>
  <c r="J488" i="17"/>
  <c r="K488" i="17"/>
  <c r="L488" i="17" s="1"/>
  <c r="H489" i="17"/>
  <c r="M489" i="17" s="1" a="1"/>
  <c r="M489" i="17" s="1"/>
  <c r="I489" i="17"/>
  <c r="N489" i="17" s="1" a="1"/>
  <c r="N489" i="17" s="1"/>
  <c r="J489" i="17"/>
  <c r="K489" i="17"/>
  <c r="L489" i="17" s="1"/>
  <c r="H490" i="17"/>
  <c r="M490" i="17" s="1" a="1"/>
  <c r="M490" i="17" s="1"/>
  <c r="I490" i="17"/>
  <c r="N490" i="17" s="1" a="1"/>
  <c r="N490" i="17" s="1"/>
  <c r="J490" i="17"/>
  <c r="K490" i="17"/>
  <c r="L490" i="17" s="1"/>
  <c r="H491" i="17"/>
  <c r="M491" i="17" s="1" a="1"/>
  <c r="M491" i="17" s="1"/>
  <c r="I491" i="17"/>
  <c r="N491" i="17" s="1" a="1"/>
  <c r="N491" i="17" s="1"/>
  <c r="J491" i="17"/>
  <c r="K491" i="17"/>
  <c r="L491" i="17" s="1"/>
  <c r="H492" i="17"/>
  <c r="M492" i="17" s="1" a="1"/>
  <c r="M492" i="17" s="1"/>
  <c r="I492" i="17"/>
  <c r="N492" i="17" s="1" a="1"/>
  <c r="N492" i="17" s="1"/>
  <c r="J492" i="17"/>
  <c r="K492" i="17"/>
  <c r="L492" i="17" s="1"/>
  <c r="H493" i="17"/>
  <c r="M493" i="17" s="1" a="1"/>
  <c r="M493" i="17" s="1"/>
  <c r="I493" i="17"/>
  <c r="N493" i="17" s="1" a="1"/>
  <c r="N493" i="17" s="1"/>
  <c r="J493" i="17"/>
  <c r="K493" i="17"/>
  <c r="L493" i="17" s="1"/>
  <c r="H494" i="17"/>
  <c r="M494" i="17" s="1" a="1"/>
  <c r="M494" i="17" s="1"/>
  <c r="I494" i="17"/>
  <c r="N494" i="17" s="1" a="1"/>
  <c r="N494" i="17" s="1"/>
  <c r="J494" i="17"/>
  <c r="K494" i="17"/>
  <c r="L494" i="17" s="1"/>
  <c r="H495" i="17"/>
  <c r="M495" i="17" s="1" a="1"/>
  <c r="M495" i="17" s="1"/>
  <c r="I495" i="17"/>
  <c r="N495" i="17" s="1" a="1"/>
  <c r="N495" i="17" s="1"/>
  <c r="J495" i="17"/>
  <c r="K495" i="17"/>
  <c r="L495" i="17" s="1"/>
  <c r="H496" i="17"/>
  <c r="M496" i="17" s="1" a="1"/>
  <c r="M496" i="17" s="1"/>
  <c r="I496" i="17"/>
  <c r="N496" i="17" s="1" a="1"/>
  <c r="N496" i="17" s="1"/>
  <c r="J496" i="17"/>
  <c r="K496" i="17"/>
  <c r="L496" i="17" s="1"/>
  <c r="H497" i="17"/>
  <c r="M497" i="17" s="1" a="1"/>
  <c r="M497" i="17" s="1"/>
  <c r="I497" i="17"/>
  <c r="N497" i="17" s="1" a="1"/>
  <c r="N497" i="17" s="1"/>
  <c r="J497" i="17"/>
  <c r="K497" i="17"/>
  <c r="L497" i="17" s="1"/>
  <c r="H498" i="17"/>
  <c r="M498" i="17" s="1" a="1"/>
  <c r="M498" i="17" s="1"/>
  <c r="I498" i="17"/>
  <c r="N498" i="17" s="1" a="1"/>
  <c r="N498" i="17" s="1"/>
  <c r="J498" i="17"/>
  <c r="K498" i="17"/>
  <c r="L498" i="17" s="1"/>
  <c r="H499" i="17"/>
  <c r="M499" i="17" s="1" a="1"/>
  <c r="M499" i="17" s="1"/>
  <c r="I499" i="17"/>
  <c r="N499" i="17" s="1" a="1"/>
  <c r="N499" i="17" s="1"/>
  <c r="J499" i="17"/>
  <c r="K499" i="17"/>
  <c r="L499" i="17" s="1"/>
  <c r="H500" i="17"/>
  <c r="M500" i="17" s="1" a="1"/>
  <c r="M500" i="17" s="1"/>
  <c r="I500" i="17"/>
  <c r="N500" i="17" s="1" a="1"/>
  <c r="N500" i="17" s="1"/>
  <c r="J500" i="17"/>
  <c r="K500" i="17"/>
  <c r="L500" i="17" s="1"/>
  <c r="H501" i="17"/>
  <c r="M501" i="17" s="1" a="1"/>
  <c r="M501" i="17" s="1"/>
  <c r="I501" i="17"/>
  <c r="N501" i="17" s="1" a="1"/>
  <c r="N501" i="17" s="1"/>
  <c r="J501" i="17"/>
  <c r="K501" i="17"/>
  <c r="L501" i="17" s="1"/>
  <c r="H502" i="17"/>
  <c r="M502" i="17" s="1" a="1"/>
  <c r="M502" i="17" s="1"/>
  <c r="I502" i="17"/>
  <c r="N502" i="17" s="1" a="1"/>
  <c r="N502" i="17" s="1"/>
  <c r="J502" i="17"/>
  <c r="K502" i="17"/>
  <c r="L502" i="17" s="1"/>
  <c r="H503" i="17"/>
  <c r="M503" i="17" s="1" a="1"/>
  <c r="M503" i="17" s="1"/>
  <c r="I503" i="17"/>
  <c r="N503" i="17" s="1" a="1"/>
  <c r="N503" i="17" s="1"/>
  <c r="J503" i="17"/>
  <c r="K503" i="17"/>
  <c r="L503" i="17" s="1"/>
  <c r="H504" i="17"/>
  <c r="M504" i="17" s="1" a="1"/>
  <c r="M504" i="17" s="1"/>
  <c r="I504" i="17"/>
  <c r="N504" i="17" s="1" a="1"/>
  <c r="N504" i="17" s="1"/>
  <c r="J504" i="17"/>
  <c r="K504" i="17"/>
  <c r="L504" i="17" s="1"/>
  <c r="H505" i="17"/>
  <c r="M505" i="17" s="1" a="1"/>
  <c r="M505" i="17" s="1"/>
  <c r="I505" i="17"/>
  <c r="N505" i="17" s="1" a="1"/>
  <c r="N505" i="17" s="1"/>
  <c r="J505" i="17"/>
  <c r="K505" i="17"/>
  <c r="L505" i="17" s="1"/>
  <c r="H506" i="17"/>
  <c r="M506" i="17" s="1" a="1"/>
  <c r="M506" i="17" s="1"/>
  <c r="I506" i="17"/>
  <c r="N506" i="17" s="1" a="1"/>
  <c r="N506" i="17" s="1"/>
  <c r="J506" i="17"/>
  <c r="K506" i="17"/>
  <c r="L506" i="17" s="1"/>
  <c r="H507" i="17"/>
  <c r="M507" i="17" s="1" a="1"/>
  <c r="M507" i="17" s="1"/>
  <c r="I507" i="17"/>
  <c r="N507" i="17" s="1" a="1"/>
  <c r="N507" i="17" s="1"/>
  <c r="J507" i="17"/>
  <c r="K507" i="17"/>
  <c r="L507" i="17" s="1"/>
  <c r="H508" i="17"/>
  <c r="M508" i="17" s="1" a="1"/>
  <c r="M508" i="17" s="1"/>
  <c r="I508" i="17"/>
  <c r="N508" i="17" s="1" a="1"/>
  <c r="N508" i="17" s="1"/>
  <c r="J508" i="17"/>
  <c r="K508" i="17"/>
  <c r="L508" i="17" s="1"/>
  <c r="H509" i="17"/>
  <c r="M509" i="17" s="1" a="1"/>
  <c r="M509" i="17" s="1"/>
  <c r="I509" i="17"/>
  <c r="N509" i="17" s="1" a="1"/>
  <c r="N509" i="17" s="1"/>
  <c r="J509" i="17"/>
  <c r="K509" i="17"/>
  <c r="L509" i="17" s="1"/>
  <c r="H510" i="17"/>
  <c r="M510" i="17" s="1" a="1"/>
  <c r="M510" i="17" s="1"/>
  <c r="I510" i="17"/>
  <c r="N510" i="17" s="1" a="1"/>
  <c r="N510" i="17" s="1"/>
  <c r="J510" i="17"/>
  <c r="K510" i="17"/>
  <c r="L510" i="17" s="1"/>
  <c r="H511" i="17"/>
  <c r="M511" i="17" s="1" a="1"/>
  <c r="M511" i="17" s="1"/>
  <c r="I511" i="17"/>
  <c r="N511" i="17" s="1" a="1"/>
  <c r="N511" i="17" s="1"/>
  <c r="J511" i="17"/>
  <c r="K511" i="17"/>
  <c r="L511" i="17" s="1"/>
  <c r="H512" i="17"/>
  <c r="M512" i="17" s="1" a="1"/>
  <c r="M512" i="17" s="1"/>
  <c r="I512" i="17"/>
  <c r="N512" i="17" s="1" a="1"/>
  <c r="N512" i="17" s="1"/>
  <c r="J512" i="17"/>
  <c r="K512" i="17"/>
  <c r="L512" i="17" s="1"/>
  <c r="H513" i="17"/>
  <c r="M513" i="17" s="1" a="1"/>
  <c r="M513" i="17" s="1"/>
  <c r="I513" i="17"/>
  <c r="N513" i="17" s="1" a="1"/>
  <c r="N513" i="17" s="1"/>
  <c r="J513" i="17"/>
  <c r="K513" i="17"/>
  <c r="L513" i="17" s="1"/>
  <c r="H514" i="17"/>
  <c r="M514" i="17" s="1" a="1"/>
  <c r="M514" i="17" s="1"/>
  <c r="I514" i="17"/>
  <c r="N514" i="17" s="1" a="1"/>
  <c r="N514" i="17" s="1"/>
  <c r="J514" i="17"/>
  <c r="K514" i="17"/>
  <c r="L514" i="17" s="1"/>
  <c r="H515" i="17"/>
  <c r="M515" i="17" s="1" a="1"/>
  <c r="M515" i="17" s="1"/>
  <c r="I515" i="17"/>
  <c r="N515" i="17" s="1" a="1"/>
  <c r="N515" i="17" s="1"/>
  <c r="J515" i="17"/>
  <c r="K515" i="17"/>
  <c r="L515" i="17" s="1"/>
  <c r="H516" i="17"/>
  <c r="M516" i="17" s="1" a="1"/>
  <c r="M516" i="17" s="1"/>
  <c r="I516" i="17"/>
  <c r="N516" i="17" s="1" a="1"/>
  <c r="N516" i="17" s="1"/>
  <c r="J516" i="17"/>
  <c r="K516" i="17"/>
  <c r="L516" i="17" s="1"/>
  <c r="H517" i="17"/>
  <c r="M517" i="17" s="1" a="1"/>
  <c r="M517" i="17" s="1"/>
  <c r="I517" i="17"/>
  <c r="N517" i="17" s="1" a="1"/>
  <c r="N517" i="17" s="1"/>
  <c r="J517" i="17"/>
  <c r="K517" i="17"/>
  <c r="L517" i="17" s="1"/>
  <c r="H518" i="17"/>
  <c r="M518" i="17" s="1" a="1"/>
  <c r="M518" i="17" s="1"/>
  <c r="I518" i="17"/>
  <c r="N518" i="17" s="1" a="1"/>
  <c r="N518" i="17" s="1"/>
  <c r="J518" i="17"/>
  <c r="K518" i="17"/>
  <c r="L518" i="17" s="1"/>
  <c r="H519" i="17"/>
  <c r="M519" i="17" s="1" a="1"/>
  <c r="M519" i="17" s="1"/>
  <c r="I519" i="17"/>
  <c r="N519" i="17" s="1" a="1"/>
  <c r="N519" i="17" s="1"/>
  <c r="J519" i="17"/>
  <c r="K519" i="17"/>
  <c r="L519" i="17" s="1"/>
  <c r="H520" i="17"/>
  <c r="M520" i="17" s="1" a="1"/>
  <c r="M520" i="17" s="1"/>
  <c r="I520" i="17"/>
  <c r="N520" i="17" s="1" a="1"/>
  <c r="N520" i="17" s="1"/>
  <c r="J520" i="17"/>
  <c r="K520" i="17"/>
  <c r="L520" i="17" s="1"/>
  <c r="H521" i="17"/>
  <c r="M521" i="17" s="1" a="1"/>
  <c r="M521" i="17" s="1"/>
  <c r="I521" i="17"/>
  <c r="N521" i="17" s="1" a="1"/>
  <c r="N521" i="17" s="1"/>
  <c r="J521" i="17"/>
  <c r="K521" i="17"/>
  <c r="L521" i="17" s="1"/>
  <c r="H522" i="17"/>
  <c r="M522" i="17" s="1" a="1"/>
  <c r="M522" i="17" s="1"/>
  <c r="I522" i="17"/>
  <c r="N522" i="17" s="1" a="1"/>
  <c r="N522" i="17" s="1"/>
  <c r="J522" i="17"/>
  <c r="K522" i="17"/>
  <c r="L522" i="17" s="1"/>
  <c r="H523" i="17"/>
  <c r="M523" i="17" s="1" a="1"/>
  <c r="M523" i="17" s="1"/>
  <c r="I523" i="17"/>
  <c r="N523" i="17" s="1" a="1"/>
  <c r="N523" i="17" s="1"/>
  <c r="J523" i="17"/>
  <c r="K523" i="17"/>
  <c r="L523" i="17" s="1"/>
  <c r="H524" i="17"/>
  <c r="M524" i="17" s="1" a="1"/>
  <c r="M524" i="17" s="1"/>
  <c r="I524" i="17"/>
  <c r="N524" i="17" s="1" a="1"/>
  <c r="N524" i="17" s="1"/>
  <c r="J524" i="17"/>
  <c r="K524" i="17"/>
  <c r="L524" i="17" s="1"/>
  <c r="H525" i="17"/>
  <c r="M525" i="17" s="1" a="1"/>
  <c r="M525" i="17" s="1"/>
  <c r="I525" i="17"/>
  <c r="N525" i="17" s="1" a="1"/>
  <c r="N525" i="17" s="1"/>
  <c r="J525" i="17"/>
  <c r="K525" i="17"/>
  <c r="L525" i="17" s="1"/>
  <c r="H526" i="17"/>
  <c r="M526" i="17" s="1" a="1"/>
  <c r="M526" i="17" s="1"/>
  <c r="I526" i="17"/>
  <c r="N526" i="17" s="1" a="1"/>
  <c r="N526" i="17" s="1"/>
  <c r="J526" i="17"/>
  <c r="K526" i="17"/>
  <c r="L526" i="17" s="1"/>
  <c r="H527" i="17"/>
  <c r="M527" i="17" s="1" a="1"/>
  <c r="M527" i="17" s="1"/>
  <c r="I527" i="17"/>
  <c r="N527" i="17" s="1" a="1"/>
  <c r="N527" i="17" s="1"/>
  <c r="J527" i="17"/>
  <c r="K527" i="17"/>
  <c r="L527" i="17" s="1"/>
  <c r="H528" i="17"/>
  <c r="M528" i="17" s="1" a="1"/>
  <c r="M528" i="17" s="1"/>
  <c r="I528" i="17"/>
  <c r="N528" i="17" s="1" a="1"/>
  <c r="N528" i="17" s="1"/>
  <c r="J528" i="17"/>
  <c r="K528" i="17"/>
  <c r="L528" i="17" s="1"/>
  <c r="H529" i="17"/>
  <c r="M529" i="17" s="1" a="1"/>
  <c r="M529" i="17" s="1"/>
  <c r="I529" i="17"/>
  <c r="N529" i="17" s="1" a="1"/>
  <c r="N529" i="17" s="1"/>
  <c r="J529" i="17"/>
  <c r="K529" i="17"/>
  <c r="L529" i="17" s="1"/>
  <c r="H530" i="17"/>
  <c r="M530" i="17" s="1" a="1"/>
  <c r="M530" i="17" s="1"/>
  <c r="I530" i="17"/>
  <c r="N530" i="17" s="1" a="1"/>
  <c r="N530" i="17" s="1"/>
  <c r="J530" i="17"/>
  <c r="K530" i="17"/>
  <c r="L530" i="17" s="1"/>
  <c r="H531" i="17"/>
  <c r="M531" i="17" s="1" a="1"/>
  <c r="M531" i="17" s="1"/>
  <c r="I531" i="17"/>
  <c r="N531" i="17" s="1" a="1"/>
  <c r="N531" i="17" s="1"/>
  <c r="J531" i="17"/>
  <c r="K531" i="17"/>
  <c r="L531" i="17" s="1"/>
  <c r="H532" i="17"/>
  <c r="M532" i="17" s="1" a="1"/>
  <c r="M532" i="17" s="1"/>
  <c r="I532" i="17"/>
  <c r="N532" i="17" s="1" a="1"/>
  <c r="N532" i="17" s="1"/>
  <c r="J532" i="17"/>
  <c r="K532" i="17"/>
  <c r="L532" i="17" s="1"/>
  <c r="H533" i="17"/>
  <c r="M533" i="17" s="1" a="1"/>
  <c r="M533" i="17" s="1"/>
  <c r="I533" i="17"/>
  <c r="N533" i="17" s="1" a="1"/>
  <c r="N533" i="17" s="1"/>
  <c r="J533" i="17"/>
  <c r="K533" i="17"/>
  <c r="L533" i="17" s="1"/>
  <c r="H534" i="17"/>
  <c r="M534" i="17" s="1" a="1"/>
  <c r="M534" i="17" s="1"/>
  <c r="I534" i="17"/>
  <c r="N534" i="17" s="1" a="1"/>
  <c r="N534" i="17" s="1"/>
  <c r="J534" i="17"/>
  <c r="K534" i="17"/>
  <c r="L534" i="17" s="1"/>
  <c r="H535" i="17"/>
  <c r="M535" i="17" s="1" a="1"/>
  <c r="M535" i="17" s="1"/>
  <c r="I535" i="17"/>
  <c r="N535" i="17" s="1" a="1"/>
  <c r="N535" i="17" s="1"/>
  <c r="J535" i="17"/>
  <c r="K535" i="17"/>
  <c r="L535" i="17" s="1"/>
  <c r="H536" i="17"/>
  <c r="M536" i="17" s="1" a="1"/>
  <c r="M536" i="17" s="1"/>
  <c r="I536" i="17"/>
  <c r="N536" i="17" s="1" a="1"/>
  <c r="N536" i="17" s="1"/>
  <c r="J536" i="17"/>
  <c r="K536" i="17"/>
  <c r="L536" i="17" s="1"/>
  <c r="H537" i="17"/>
  <c r="M537" i="17" s="1" a="1"/>
  <c r="M537" i="17" s="1"/>
  <c r="I537" i="17"/>
  <c r="N537" i="17" s="1" a="1"/>
  <c r="N537" i="17" s="1"/>
  <c r="J537" i="17"/>
  <c r="K537" i="17"/>
  <c r="L537" i="17" s="1"/>
  <c r="H538" i="17"/>
  <c r="M538" i="17" s="1" a="1"/>
  <c r="M538" i="17" s="1"/>
  <c r="I538" i="17"/>
  <c r="N538" i="17" s="1" a="1"/>
  <c r="N538" i="17" s="1"/>
  <c r="J538" i="17"/>
  <c r="K538" i="17"/>
  <c r="L538" i="17" s="1"/>
  <c r="H539" i="17"/>
  <c r="M539" i="17" s="1" a="1"/>
  <c r="M539" i="17" s="1"/>
  <c r="I539" i="17"/>
  <c r="N539" i="17" s="1" a="1"/>
  <c r="N539" i="17" s="1"/>
  <c r="J539" i="17"/>
  <c r="K539" i="17"/>
  <c r="L539" i="17" s="1"/>
  <c r="H540" i="17"/>
  <c r="M540" i="17" s="1" a="1"/>
  <c r="M540" i="17" s="1"/>
  <c r="I540" i="17"/>
  <c r="N540" i="17" s="1" a="1"/>
  <c r="N540" i="17" s="1"/>
  <c r="J540" i="17"/>
  <c r="K540" i="17"/>
  <c r="L540" i="17" s="1"/>
  <c r="H541" i="17"/>
  <c r="M541" i="17" s="1" a="1"/>
  <c r="M541" i="17" s="1"/>
  <c r="I541" i="17"/>
  <c r="N541" i="17" s="1" a="1"/>
  <c r="N541" i="17" s="1"/>
  <c r="J541" i="17"/>
  <c r="K541" i="17"/>
  <c r="L541" i="17" s="1"/>
  <c r="H542" i="17"/>
  <c r="M542" i="17" s="1" a="1"/>
  <c r="M542" i="17" s="1"/>
  <c r="I542" i="17"/>
  <c r="N542" i="17" s="1" a="1"/>
  <c r="N542" i="17" s="1"/>
  <c r="J542" i="17"/>
  <c r="K542" i="17"/>
  <c r="L542" i="17" s="1"/>
  <c r="H543" i="17"/>
  <c r="M543" i="17" s="1" a="1"/>
  <c r="M543" i="17" s="1"/>
  <c r="I543" i="17"/>
  <c r="N543" i="17" s="1" a="1"/>
  <c r="N543" i="17" s="1"/>
  <c r="J543" i="17"/>
  <c r="K543" i="17"/>
  <c r="L543" i="17" s="1"/>
  <c r="H544" i="17"/>
  <c r="M544" i="17" s="1" a="1"/>
  <c r="M544" i="17" s="1"/>
  <c r="I544" i="17"/>
  <c r="N544" i="17" s="1" a="1"/>
  <c r="N544" i="17" s="1"/>
  <c r="J544" i="17"/>
  <c r="K544" i="17"/>
  <c r="L544" i="17" s="1"/>
  <c r="H545" i="17"/>
  <c r="M545" i="17" s="1" a="1"/>
  <c r="M545" i="17" s="1"/>
  <c r="I545" i="17"/>
  <c r="N545" i="17" s="1" a="1"/>
  <c r="N545" i="17" s="1"/>
  <c r="J545" i="17"/>
  <c r="K545" i="17"/>
  <c r="L545" i="17" s="1"/>
  <c r="H546" i="17"/>
  <c r="M546" i="17" s="1" a="1"/>
  <c r="M546" i="17" s="1"/>
  <c r="I546" i="17"/>
  <c r="N546" i="17" s="1" a="1"/>
  <c r="N546" i="17" s="1"/>
  <c r="J546" i="17"/>
  <c r="K546" i="17"/>
  <c r="L546" i="17" s="1"/>
  <c r="H547" i="17"/>
  <c r="M547" i="17" s="1" a="1"/>
  <c r="M547" i="17" s="1"/>
  <c r="I547" i="17"/>
  <c r="N547" i="17" s="1" a="1"/>
  <c r="N547" i="17" s="1"/>
  <c r="J547" i="17"/>
  <c r="K547" i="17"/>
  <c r="L547" i="17" s="1"/>
  <c r="H548" i="17"/>
  <c r="M548" i="17" s="1" a="1"/>
  <c r="M548" i="17" s="1"/>
  <c r="I548" i="17"/>
  <c r="N548" i="17" s="1" a="1"/>
  <c r="N548" i="17" s="1"/>
  <c r="J548" i="17"/>
  <c r="K548" i="17"/>
  <c r="L548" i="17" s="1"/>
  <c r="H549" i="17"/>
  <c r="M549" i="17" s="1" a="1"/>
  <c r="M549" i="17" s="1"/>
  <c r="I549" i="17"/>
  <c r="N549" i="17" s="1" a="1"/>
  <c r="N549" i="17" s="1"/>
  <c r="J549" i="17"/>
  <c r="K549" i="17"/>
  <c r="L549" i="17" s="1"/>
  <c r="H550" i="17"/>
  <c r="M550" i="17" s="1" a="1"/>
  <c r="M550" i="17" s="1"/>
  <c r="I550" i="17"/>
  <c r="N550" i="17" s="1" a="1"/>
  <c r="N550" i="17" s="1"/>
  <c r="J550" i="17"/>
  <c r="K550" i="17"/>
  <c r="L550" i="17" s="1"/>
  <c r="H551" i="17"/>
  <c r="M551" i="17" s="1" a="1"/>
  <c r="M551" i="17" s="1"/>
  <c r="I551" i="17"/>
  <c r="N551" i="17" s="1" a="1"/>
  <c r="N551" i="17" s="1"/>
  <c r="J551" i="17"/>
  <c r="K551" i="17"/>
  <c r="L551" i="17" s="1"/>
  <c r="H552" i="17"/>
  <c r="M552" i="17" s="1" a="1"/>
  <c r="M552" i="17" s="1"/>
  <c r="I552" i="17"/>
  <c r="N552" i="17" s="1" a="1"/>
  <c r="N552" i="17" s="1"/>
  <c r="J552" i="17"/>
  <c r="K552" i="17"/>
  <c r="L552" i="17" s="1"/>
  <c r="H553" i="17"/>
  <c r="M553" i="17" s="1" a="1"/>
  <c r="M553" i="17" s="1"/>
  <c r="I553" i="17"/>
  <c r="N553" i="17" s="1" a="1"/>
  <c r="N553" i="17" s="1"/>
  <c r="J553" i="17"/>
  <c r="K553" i="17"/>
  <c r="L553" i="17" s="1"/>
  <c r="H554" i="17"/>
  <c r="M554" i="17" s="1" a="1"/>
  <c r="M554" i="17" s="1"/>
  <c r="I554" i="17"/>
  <c r="N554" i="17" s="1" a="1"/>
  <c r="N554" i="17" s="1"/>
  <c r="J554" i="17"/>
  <c r="K554" i="17"/>
  <c r="L554" i="17" s="1"/>
  <c r="H555" i="17"/>
  <c r="M555" i="17" s="1" a="1"/>
  <c r="M555" i="17" s="1"/>
  <c r="I555" i="17"/>
  <c r="N555" i="17" s="1" a="1"/>
  <c r="N555" i="17" s="1"/>
  <c r="J555" i="17"/>
  <c r="K555" i="17"/>
  <c r="L555" i="17" s="1"/>
  <c r="H556" i="17"/>
  <c r="M556" i="17" s="1" a="1"/>
  <c r="M556" i="17" s="1"/>
  <c r="I556" i="17"/>
  <c r="N556" i="17" s="1" a="1"/>
  <c r="N556" i="17" s="1"/>
  <c r="J556" i="17"/>
  <c r="K556" i="17"/>
  <c r="L556" i="17" s="1"/>
  <c r="H557" i="17"/>
  <c r="M557" i="17" s="1" a="1"/>
  <c r="M557" i="17" s="1"/>
  <c r="I557" i="17"/>
  <c r="N557" i="17" s="1" a="1"/>
  <c r="N557" i="17" s="1"/>
  <c r="J557" i="17"/>
  <c r="K557" i="17"/>
  <c r="L557" i="17" s="1"/>
  <c r="H558" i="17"/>
  <c r="M558" i="17" s="1" a="1"/>
  <c r="M558" i="17" s="1"/>
  <c r="I558" i="17"/>
  <c r="N558" i="17" s="1" a="1"/>
  <c r="N558" i="17" s="1"/>
  <c r="J558" i="17"/>
  <c r="K558" i="17"/>
  <c r="L558" i="17" s="1"/>
  <c r="H559" i="17"/>
  <c r="M559" i="17" s="1" a="1"/>
  <c r="M559" i="17" s="1"/>
  <c r="I559" i="17"/>
  <c r="N559" i="17" s="1" a="1"/>
  <c r="N559" i="17" s="1"/>
  <c r="J559" i="17"/>
  <c r="K559" i="17"/>
  <c r="L559" i="17" s="1"/>
  <c r="H560" i="17"/>
  <c r="M560" i="17" s="1" a="1"/>
  <c r="M560" i="17" s="1"/>
  <c r="I560" i="17"/>
  <c r="N560" i="17" s="1" a="1"/>
  <c r="N560" i="17" s="1"/>
  <c r="J560" i="17"/>
  <c r="K560" i="17"/>
  <c r="L560" i="17" s="1"/>
  <c r="H561" i="17"/>
  <c r="M561" i="17" s="1" a="1"/>
  <c r="M561" i="17" s="1"/>
  <c r="I561" i="17"/>
  <c r="N561" i="17" s="1" a="1"/>
  <c r="N561" i="17" s="1"/>
  <c r="J561" i="17"/>
  <c r="K561" i="17"/>
  <c r="L561" i="17" s="1"/>
  <c r="H562" i="17"/>
  <c r="M562" i="17" s="1" a="1"/>
  <c r="M562" i="17" s="1"/>
  <c r="I562" i="17"/>
  <c r="N562" i="17" s="1" a="1"/>
  <c r="N562" i="17" s="1"/>
  <c r="J562" i="17"/>
  <c r="K562" i="17"/>
  <c r="L562" i="17" s="1"/>
  <c r="H563" i="17"/>
  <c r="M563" i="17" s="1" a="1"/>
  <c r="M563" i="17" s="1"/>
  <c r="I563" i="17"/>
  <c r="N563" i="17" s="1" a="1"/>
  <c r="N563" i="17" s="1"/>
  <c r="J563" i="17"/>
  <c r="K563" i="17"/>
  <c r="L563" i="17" s="1"/>
  <c r="H564" i="17"/>
  <c r="M564" i="17" s="1" a="1"/>
  <c r="M564" i="17" s="1"/>
  <c r="I564" i="17"/>
  <c r="N564" i="17" s="1" a="1"/>
  <c r="N564" i="17" s="1"/>
  <c r="J564" i="17"/>
  <c r="K564" i="17"/>
  <c r="L564" i="17" s="1"/>
  <c r="H565" i="17"/>
  <c r="M565" i="17" s="1" a="1"/>
  <c r="M565" i="17" s="1"/>
  <c r="I565" i="17"/>
  <c r="N565" i="17" s="1" a="1"/>
  <c r="N565" i="17" s="1"/>
  <c r="J565" i="17"/>
  <c r="K565" i="17"/>
  <c r="L565" i="17" s="1"/>
  <c r="H566" i="17"/>
  <c r="M566" i="17" s="1" a="1"/>
  <c r="M566" i="17" s="1"/>
  <c r="I566" i="17"/>
  <c r="N566" i="17" s="1" a="1"/>
  <c r="N566" i="17" s="1"/>
  <c r="J566" i="17"/>
  <c r="K566" i="17"/>
  <c r="L566" i="17" s="1"/>
  <c r="H567" i="17"/>
  <c r="M567" i="17" s="1" a="1"/>
  <c r="M567" i="17" s="1"/>
  <c r="I567" i="17"/>
  <c r="N567" i="17" s="1" a="1"/>
  <c r="N567" i="17" s="1"/>
  <c r="J567" i="17"/>
  <c r="K567" i="17"/>
  <c r="L567" i="17" s="1"/>
  <c r="H568" i="17"/>
  <c r="M568" i="17" s="1" a="1"/>
  <c r="M568" i="17" s="1"/>
  <c r="I568" i="17"/>
  <c r="N568" i="17" s="1" a="1"/>
  <c r="N568" i="17" s="1"/>
  <c r="J568" i="17"/>
  <c r="K568" i="17"/>
  <c r="L568" i="17" s="1"/>
  <c r="H569" i="17"/>
  <c r="M569" i="17" s="1" a="1"/>
  <c r="M569" i="17" s="1"/>
  <c r="I569" i="17"/>
  <c r="N569" i="17" s="1" a="1"/>
  <c r="N569" i="17" s="1"/>
  <c r="J569" i="17"/>
  <c r="K569" i="17"/>
  <c r="L569" i="17" s="1"/>
  <c r="H570" i="17"/>
  <c r="M570" i="17" s="1" a="1"/>
  <c r="M570" i="17" s="1"/>
  <c r="I570" i="17"/>
  <c r="N570" i="17" s="1" a="1"/>
  <c r="N570" i="17" s="1"/>
  <c r="J570" i="17"/>
  <c r="K570" i="17"/>
  <c r="L570" i="17" s="1"/>
  <c r="H571" i="17"/>
  <c r="M571" i="17" s="1" a="1"/>
  <c r="M571" i="17" s="1"/>
  <c r="I571" i="17"/>
  <c r="N571" i="17" s="1" a="1"/>
  <c r="N571" i="17" s="1"/>
  <c r="J571" i="17"/>
  <c r="K571" i="17"/>
  <c r="L571" i="17" s="1"/>
  <c r="H572" i="17"/>
  <c r="M572" i="17" s="1" a="1"/>
  <c r="M572" i="17" s="1"/>
  <c r="I572" i="17"/>
  <c r="N572" i="17" s="1" a="1"/>
  <c r="N572" i="17" s="1"/>
  <c r="J572" i="17"/>
  <c r="K572" i="17"/>
  <c r="L572" i="17" s="1"/>
  <c r="H573" i="17"/>
  <c r="M573" i="17" s="1" a="1"/>
  <c r="M573" i="17" s="1"/>
  <c r="I573" i="17"/>
  <c r="N573" i="17" s="1" a="1"/>
  <c r="N573" i="17" s="1"/>
  <c r="J573" i="17"/>
  <c r="K573" i="17"/>
  <c r="L573" i="17" s="1"/>
  <c r="H574" i="17"/>
  <c r="M574" i="17" s="1" a="1"/>
  <c r="M574" i="17" s="1"/>
  <c r="I574" i="17"/>
  <c r="N574" i="17" s="1" a="1"/>
  <c r="N574" i="17" s="1"/>
  <c r="J574" i="17"/>
  <c r="K574" i="17"/>
  <c r="L574" i="17" s="1"/>
  <c r="H575" i="17"/>
  <c r="M575" i="17" s="1" a="1"/>
  <c r="M575" i="17" s="1"/>
  <c r="I575" i="17"/>
  <c r="N575" i="17" s="1" a="1"/>
  <c r="N575" i="17" s="1"/>
  <c r="J575" i="17"/>
  <c r="K575" i="17"/>
  <c r="L575" i="17" s="1"/>
  <c r="H576" i="17"/>
  <c r="M576" i="17" s="1" a="1"/>
  <c r="M576" i="17" s="1"/>
  <c r="I576" i="17"/>
  <c r="N576" i="17" s="1" a="1"/>
  <c r="N576" i="17" s="1"/>
  <c r="J576" i="17"/>
  <c r="K576" i="17"/>
  <c r="L576" i="17" s="1"/>
  <c r="H577" i="17"/>
  <c r="M577" i="17" s="1" a="1"/>
  <c r="M577" i="17" s="1"/>
  <c r="I577" i="17"/>
  <c r="N577" i="17" s="1" a="1"/>
  <c r="N577" i="17" s="1"/>
  <c r="J577" i="17"/>
  <c r="K577" i="17"/>
  <c r="L577" i="17" s="1"/>
  <c r="H578" i="17"/>
  <c r="M578" i="17" s="1" a="1"/>
  <c r="M578" i="17" s="1"/>
  <c r="I578" i="17"/>
  <c r="N578" i="17" s="1" a="1"/>
  <c r="N578" i="17" s="1"/>
  <c r="J578" i="17"/>
  <c r="K578" i="17"/>
  <c r="L578" i="17" s="1"/>
  <c r="H579" i="17"/>
  <c r="M579" i="17" s="1" a="1"/>
  <c r="M579" i="17" s="1"/>
  <c r="I579" i="17"/>
  <c r="N579" i="17" s="1" a="1"/>
  <c r="N579" i="17" s="1"/>
  <c r="J579" i="17"/>
  <c r="K579" i="17"/>
  <c r="L579" i="17" s="1"/>
  <c r="H580" i="17"/>
  <c r="M580" i="17" s="1" a="1"/>
  <c r="M580" i="17" s="1"/>
  <c r="I580" i="17"/>
  <c r="N580" i="17" s="1" a="1"/>
  <c r="N580" i="17" s="1"/>
  <c r="J580" i="17"/>
  <c r="K580" i="17"/>
  <c r="L580" i="17" s="1"/>
  <c r="H581" i="17"/>
  <c r="M581" i="17" s="1" a="1"/>
  <c r="M581" i="17" s="1"/>
  <c r="I581" i="17"/>
  <c r="N581" i="17" s="1" a="1"/>
  <c r="N581" i="17" s="1"/>
  <c r="J581" i="17"/>
  <c r="K581" i="17"/>
  <c r="L581" i="17" s="1"/>
  <c r="H582" i="17"/>
  <c r="M582" i="17" s="1" a="1"/>
  <c r="M582" i="17" s="1"/>
  <c r="I582" i="17"/>
  <c r="N582" i="17" s="1" a="1"/>
  <c r="N582" i="17" s="1"/>
  <c r="J582" i="17"/>
  <c r="K582" i="17"/>
  <c r="L582" i="17" s="1"/>
  <c r="H583" i="17"/>
  <c r="M583" i="17" s="1" a="1"/>
  <c r="M583" i="17" s="1"/>
  <c r="I583" i="17"/>
  <c r="N583" i="17" s="1" a="1"/>
  <c r="N583" i="17" s="1"/>
  <c r="J583" i="17"/>
  <c r="K583" i="17"/>
  <c r="L583" i="17" s="1"/>
  <c r="H584" i="17"/>
  <c r="M584" i="17" s="1" a="1"/>
  <c r="M584" i="17" s="1"/>
  <c r="I584" i="17"/>
  <c r="N584" i="17" s="1" a="1"/>
  <c r="N584" i="17" s="1"/>
  <c r="J584" i="17"/>
  <c r="K584" i="17"/>
  <c r="L584" i="17" s="1"/>
  <c r="H585" i="17"/>
  <c r="M585" i="17" s="1" a="1"/>
  <c r="M585" i="17" s="1"/>
  <c r="I585" i="17"/>
  <c r="N585" i="17" s="1" a="1"/>
  <c r="N585" i="17" s="1"/>
  <c r="J585" i="17"/>
  <c r="K585" i="17"/>
  <c r="L585" i="17" s="1"/>
  <c r="H586" i="17"/>
  <c r="M586" i="17" s="1" a="1"/>
  <c r="M586" i="17" s="1"/>
  <c r="I586" i="17"/>
  <c r="N586" i="17" s="1" a="1"/>
  <c r="N586" i="17" s="1"/>
  <c r="J586" i="17"/>
  <c r="K586" i="17"/>
  <c r="L586" i="17" s="1"/>
  <c r="H587" i="17"/>
  <c r="M587" i="17" s="1" a="1"/>
  <c r="M587" i="17" s="1"/>
  <c r="I587" i="17"/>
  <c r="N587" i="17" s="1" a="1"/>
  <c r="N587" i="17" s="1"/>
  <c r="J587" i="17"/>
  <c r="K587" i="17"/>
  <c r="L587" i="17" s="1"/>
  <c r="H588" i="17"/>
  <c r="M588" i="17" s="1" a="1"/>
  <c r="M588" i="17" s="1"/>
  <c r="I588" i="17"/>
  <c r="N588" i="17" s="1" a="1"/>
  <c r="N588" i="17" s="1"/>
  <c r="J588" i="17"/>
  <c r="K588" i="17"/>
  <c r="L588" i="17" s="1"/>
  <c r="H589" i="17"/>
  <c r="M589" i="17" s="1" a="1"/>
  <c r="M589" i="17" s="1"/>
  <c r="I589" i="17"/>
  <c r="N589" i="17" s="1" a="1"/>
  <c r="N589" i="17" s="1"/>
  <c r="J589" i="17"/>
  <c r="K589" i="17"/>
  <c r="L589" i="17" s="1"/>
  <c r="H590" i="17"/>
  <c r="M590" i="17" s="1" a="1"/>
  <c r="M590" i="17" s="1"/>
  <c r="I590" i="17"/>
  <c r="N590" i="17" s="1" a="1"/>
  <c r="N590" i="17" s="1"/>
  <c r="J590" i="17"/>
  <c r="K590" i="17"/>
  <c r="L590" i="17" s="1"/>
  <c r="H591" i="17"/>
  <c r="M591" i="17" s="1" a="1"/>
  <c r="M591" i="17" s="1"/>
  <c r="I591" i="17"/>
  <c r="N591" i="17" s="1" a="1"/>
  <c r="N591" i="17" s="1"/>
  <c r="J591" i="17"/>
  <c r="K591" i="17"/>
  <c r="L591" i="17" s="1"/>
  <c r="H592" i="17"/>
  <c r="M592" i="17" s="1" a="1"/>
  <c r="M592" i="17" s="1"/>
  <c r="I592" i="17"/>
  <c r="N592" i="17" s="1" a="1"/>
  <c r="N592" i="17" s="1"/>
  <c r="J592" i="17"/>
  <c r="K592" i="17"/>
  <c r="L592" i="17" s="1"/>
  <c r="H593" i="17"/>
  <c r="M593" i="17" s="1" a="1"/>
  <c r="M593" i="17" s="1"/>
  <c r="I593" i="17"/>
  <c r="N593" i="17" s="1" a="1"/>
  <c r="N593" i="17" s="1"/>
  <c r="J593" i="17"/>
  <c r="K593" i="17"/>
  <c r="L593" i="17" s="1"/>
  <c r="H594" i="17"/>
  <c r="M594" i="17" s="1" a="1"/>
  <c r="M594" i="17" s="1"/>
  <c r="I594" i="17"/>
  <c r="N594" i="17" s="1" a="1"/>
  <c r="N594" i="17" s="1"/>
  <c r="J594" i="17"/>
  <c r="K594" i="17"/>
  <c r="L594" i="17" s="1"/>
  <c r="H595" i="17"/>
  <c r="M595" i="17" s="1" a="1"/>
  <c r="M595" i="17" s="1"/>
  <c r="I595" i="17"/>
  <c r="N595" i="17" s="1" a="1"/>
  <c r="N595" i="17" s="1"/>
  <c r="J595" i="17"/>
  <c r="K595" i="17"/>
  <c r="L595" i="17" s="1"/>
  <c r="H596" i="17"/>
  <c r="M596" i="17" s="1" a="1"/>
  <c r="M596" i="17" s="1"/>
  <c r="I596" i="17"/>
  <c r="N596" i="17" s="1" a="1"/>
  <c r="N596" i="17" s="1"/>
  <c r="J596" i="17"/>
  <c r="K596" i="17"/>
  <c r="L596" i="17" s="1"/>
  <c r="H597" i="17"/>
  <c r="M597" i="17" s="1" a="1"/>
  <c r="M597" i="17" s="1"/>
  <c r="I597" i="17"/>
  <c r="N597" i="17" s="1" a="1"/>
  <c r="N597" i="17" s="1"/>
  <c r="J597" i="17"/>
  <c r="K597" i="17"/>
  <c r="L597" i="17" s="1"/>
  <c r="H598" i="17"/>
  <c r="M598" i="17" s="1" a="1"/>
  <c r="M598" i="17" s="1"/>
  <c r="I598" i="17"/>
  <c r="N598" i="17" s="1" a="1"/>
  <c r="N598" i="17" s="1"/>
  <c r="J598" i="17"/>
  <c r="K598" i="17"/>
  <c r="L598" i="17" s="1"/>
  <c r="H599" i="17"/>
  <c r="M599" i="17" s="1" a="1"/>
  <c r="M599" i="17" s="1"/>
  <c r="I599" i="17"/>
  <c r="N599" i="17" s="1" a="1"/>
  <c r="N599" i="17" s="1"/>
  <c r="J599" i="17"/>
  <c r="K599" i="17"/>
  <c r="L599" i="17" s="1"/>
  <c r="H600" i="17"/>
  <c r="M600" i="17" s="1" a="1"/>
  <c r="M600" i="17" s="1"/>
  <c r="I600" i="17"/>
  <c r="N600" i="17" s="1" a="1"/>
  <c r="N600" i="17" s="1"/>
  <c r="J600" i="17"/>
  <c r="K600" i="17"/>
  <c r="L600" i="17" s="1"/>
  <c r="H601" i="17"/>
  <c r="M601" i="17" s="1" a="1"/>
  <c r="M601" i="17" s="1"/>
  <c r="I601" i="17"/>
  <c r="N601" i="17" s="1" a="1"/>
  <c r="N601" i="17" s="1"/>
  <c r="J601" i="17"/>
  <c r="K601" i="17"/>
  <c r="L601" i="17" s="1"/>
  <c r="H602" i="17"/>
  <c r="M602" i="17" s="1" a="1"/>
  <c r="M602" i="17" s="1"/>
  <c r="I602" i="17"/>
  <c r="N602" i="17" s="1" a="1"/>
  <c r="N602" i="17" s="1"/>
  <c r="J602" i="17"/>
  <c r="K602" i="17"/>
  <c r="L602" i="17" s="1"/>
  <c r="H603" i="17"/>
  <c r="M603" i="17" s="1" a="1"/>
  <c r="M603" i="17" s="1"/>
  <c r="I603" i="17"/>
  <c r="N603" i="17" s="1" a="1"/>
  <c r="N603" i="17" s="1"/>
  <c r="J603" i="17"/>
  <c r="K603" i="17"/>
  <c r="L603" i="17" s="1"/>
  <c r="H604" i="17"/>
  <c r="M604" i="17" s="1" a="1"/>
  <c r="M604" i="17" s="1"/>
  <c r="I604" i="17"/>
  <c r="N604" i="17" s="1" a="1"/>
  <c r="N604" i="17" s="1"/>
  <c r="J604" i="17"/>
  <c r="K604" i="17"/>
  <c r="L604" i="17" s="1"/>
  <c r="H605" i="17"/>
  <c r="M605" i="17" s="1" a="1"/>
  <c r="M605" i="17" s="1"/>
  <c r="I605" i="17"/>
  <c r="N605" i="17" s="1" a="1"/>
  <c r="N605" i="17" s="1"/>
  <c r="J605" i="17"/>
  <c r="K605" i="17"/>
  <c r="L605" i="17" s="1"/>
  <c r="H606" i="17"/>
  <c r="M606" i="17" s="1" a="1"/>
  <c r="M606" i="17" s="1"/>
  <c r="I606" i="17"/>
  <c r="N606" i="17" s="1" a="1"/>
  <c r="N606" i="17" s="1"/>
  <c r="J606" i="17"/>
  <c r="K606" i="17"/>
  <c r="L606" i="17" s="1"/>
  <c r="H607" i="17"/>
  <c r="M607" i="17" s="1" a="1"/>
  <c r="M607" i="17" s="1"/>
  <c r="I607" i="17"/>
  <c r="N607" i="17" s="1" a="1"/>
  <c r="N607" i="17" s="1"/>
  <c r="J607" i="17"/>
  <c r="K607" i="17"/>
  <c r="L607" i="17" s="1"/>
  <c r="H608" i="17"/>
  <c r="M608" i="17" s="1" a="1"/>
  <c r="M608" i="17" s="1"/>
  <c r="I608" i="17"/>
  <c r="N608" i="17" s="1" a="1"/>
  <c r="N608" i="17" s="1"/>
  <c r="J608" i="17"/>
  <c r="K608" i="17"/>
  <c r="L608" i="17" s="1"/>
  <c r="H609" i="17"/>
  <c r="M609" i="17" s="1" a="1"/>
  <c r="M609" i="17" s="1"/>
  <c r="I609" i="17"/>
  <c r="N609" i="17" s="1" a="1"/>
  <c r="N609" i="17" s="1"/>
  <c r="J609" i="17"/>
  <c r="K609" i="17"/>
  <c r="L609" i="17" s="1"/>
  <c r="H610" i="17"/>
  <c r="M610" i="17" s="1" a="1"/>
  <c r="M610" i="17" s="1"/>
  <c r="I610" i="17"/>
  <c r="N610" i="17" s="1" a="1"/>
  <c r="N610" i="17" s="1"/>
  <c r="J610" i="17"/>
  <c r="K610" i="17"/>
  <c r="L610" i="17" s="1"/>
  <c r="H611" i="17"/>
  <c r="M611" i="17" s="1" a="1"/>
  <c r="M611" i="17" s="1"/>
  <c r="I611" i="17"/>
  <c r="N611" i="17" s="1" a="1"/>
  <c r="N611" i="17" s="1"/>
  <c r="J611" i="17"/>
  <c r="K611" i="17"/>
  <c r="L611" i="17" s="1"/>
  <c r="H612" i="17"/>
  <c r="M612" i="17" s="1" a="1"/>
  <c r="M612" i="17" s="1"/>
  <c r="I612" i="17"/>
  <c r="N612" i="17" s="1" a="1"/>
  <c r="N612" i="17" s="1"/>
  <c r="J612" i="17"/>
  <c r="K612" i="17"/>
  <c r="L612" i="17" s="1"/>
  <c r="H613" i="17"/>
  <c r="M613" i="17" s="1" a="1"/>
  <c r="M613" i="17" s="1"/>
  <c r="I613" i="17"/>
  <c r="N613" i="17" s="1" a="1"/>
  <c r="N613" i="17" s="1"/>
  <c r="J613" i="17"/>
  <c r="K613" i="17"/>
  <c r="L613" i="17" s="1"/>
  <c r="H614" i="17"/>
  <c r="M614" i="17" s="1" a="1"/>
  <c r="M614" i="17" s="1"/>
  <c r="I614" i="17"/>
  <c r="N614" i="17" s="1" a="1"/>
  <c r="N614" i="17" s="1"/>
  <c r="J614" i="17"/>
  <c r="K614" i="17"/>
  <c r="L614" i="17" s="1"/>
  <c r="H615" i="17"/>
  <c r="M615" i="17" s="1" a="1"/>
  <c r="M615" i="17" s="1"/>
  <c r="I615" i="17"/>
  <c r="N615" i="17" s="1" a="1"/>
  <c r="N615" i="17" s="1"/>
  <c r="J615" i="17"/>
  <c r="K615" i="17"/>
  <c r="L615" i="17" s="1"/>
  <c r="H616" i="17"/>
  <c r="M616" i="17" s="1" a="1"/>
  <c r="M616" i="17" s="1"/>
  <c r="I616" i="17"/>
  <c r="N616" i="17" s="1" a="1"/>
  <c r="N616" i="17" s="1"/>
  <c r="J616" i="17"/>
  <c r="K616" i="17"/>
  <c r="L616" i="17" s="1"/>
  <c r="H617" i="17"/>
  <c r="M617" i="17" s="1" a="1"/>
  <c r="M617" i="17" s="1"/>
  <c r="I617" i="17"/>
  <c r="N617" i="17" s="1" a="1"/>
  <c r="N617" i="17" s="1"/>
  <c r="J617" i="17"/>
  <c r="K617" i="17"/>
  <c r="L617" i="17" s="1"/>
  <c r="H618" i="17"/>
  <c r="M618" i="17" s="1" a="1"/>
  <c r="M618" i="17" s="1"/>
  <c r="I618" i="17"/>
  <c r="N618" i="17" s="1" a="1"/>
  <c r="N618" i="17" s="1"/>
  <c r="J618" i="17"/>
  <c r="K618" i="17"/>
  <c r="L618" i="17" s="1"/>
  <c r="H619" i="17"/>
  <c r="M619" i="17" s="1" a="1"/>
  <c r="M619" i="17" s="1"/>
  <c r="I619" i="17"/>
  <c r="N619" i="17" s="1" a="1"/>
  <c r="N619" i="17" s="1"/>
  <c r="J619" i="17"/>
  <c r="K619" i="17"/>
  <c r="L619" i="17" s="1"/>
  <c r="H620" i="17"/>
  <c r="M620" i="17" s="1" a="1"/>
  <c r="M620" i="17" s="1"/>
  <c r="I620" i="17"/>
  <c r="N620" i="17" s="1" a="1"/>
  <c r="N620" i="17" s="1"/>
  <c r="J620" i="17"/>
  <c r="K620" i="17"/>
  <c r="L620" i="17" s="1"/>
  <c r="H621" i="17"/>
  <c r="M621" i="17" s="1" a="1"/>
  <c r="M621" i="17" s="1"/>
  <c r="I621" i="17"/>
  <c r="N621" i="17" s="1" a="1"/>
  <c r="N621" i="17" s="1"/>
  <c r="J621" i="17"/>
  <c r="K621" i="17"/>
  <c r="L621" i="17" s="1"/>
  <c r="H622" i="17"/>
  <c r="M622" i="17" s="1" a="1"/>
  <c r="M622" i="17" s="1"/>
  <c r="I622" i="17"/>
  <c r="N622" i="17" s="1" a="1"/>
  <c r="N622" i="17" s="1"/>
  <c r="J622" i="17"/>
  <c r="K622" i="17"/>
  <c r="L622" i="17" s="1"/>
  <c r="H623" i="17"/>
  <c r="M623" i="17" s="1" a="1"/>
  <c r="M623" i="17" s="1"/>
  <c r="I623" i="17"/>
  <c r="N623" i="17" s="1" a="1"/>
  <c r="N623" i="17" s="1"/>
  <c r="J623" i="17"/>
  <c r="K623" i="17"/>
  <c r="L623" i="17" s="1"/>
  <c r="H624" i="17"/>
  <c r="M624" i="17" s="1" a="1"/>
  <c r="M624" i="17" s="1"/>
  <c r="I624" i="17"/>
  <c r="N624" i="17" s="1" a="1"/>
  <c r="N624" i="17" s="1"/>
  <c r="J624" i="17"/>
  <c r="K624" i="17"/>
  <c r="L624" i="17" s="1"/>
  <c r="H625" i="17"/>
  <c r="M625" i="17" s="1" a="1"/>
  <c r="M625" i="17" s="1"/>
  <c r="I625" i="17"/>
  <c r="N625" i="17" s="1" a="1"/>
  <c r="N625" i="17" s="1"/>
  <c r="J625" i="17"/>
  <c r="K625" i="17"/>
  <c r="L625" i="17" s="1"/>
  <c r="H626" i="17"/>
  <c r="M626" i="17" s="1" a="1"/>
  <c r="M626" i="17" s="1"/>
  <c r="I626" i="17"/>
  <c r="N626" i="17" s="1" a="1"/>
  <c r="N626" i="17" s="1"/>
  <c r="J626" i="17"/>
  <c r="K626" i="17"/>
  <c r="L626" i="17" s="1"/>
  <c r="H627" i="17"/>
  <c r="M627" i="17" s="1" a="1"/>
  <c r="M627" i="17" s="1"/>
  <c r="I627" i="17"/>
  <c r="N627" i="17" s="1" a="1"/>
  <c r="N627" i="17" s="1"/>
  <c r="J627" i="17"/>
  <c r="K627" i="17"/>
  <c r="L627" i="17" s="1"/>
  <c r="H628" i="17"/>
  <c r="M628" i="17" s="1" a="1"/>
  <c r="M628" i="17" s="1"/>
  <c r="I628" i="17"/>
  <c r="N628" i="17" s="1" a="1"/>
  <c r="N628" i="17" s="1"/>
  <c r="J628" i="17"/>
  <c r="K628" i="17"/>
  <c r="L628" i="17" s="1"/>
  <c r="H629" i="17"/>
  <c r="M629" i="17" s="1" a="1"/>
  <c r="M629" i="17" s="1"/>
  <c r="I629" i="17"/>
  <c r="N629" i="17" s="1" a="1"/>
  <c r="N629" i="17" s="1"/>
  <c r="J629" i="17"/>
  <c r="K629" i="17"/>
  <c r="L629" i="17" s="1"/>
  <c r="H630" i="17"/>
  <c r="M630" i="17" s="1" a="1"/>
  <c r="M630" i="17" s="1"/>
  <c r="I630" i="17"/>
  <c r="N630" i="17" s="1" a="1"/>
  <c r="N630" i="17" s="1"/>
  <c r="J630" i="17"/>
  <c r="K630" i="17"/>
  <c r="L630" i="17" s="1"/>
  <c r="H631" i="17"/>
  <c r="M631" i="17" s="1" a="1"/>
  <c r="M631" i="17" s="1"/>
  <c r="I631" i="17"/>
  <c r="N631" i="17" s="1" a="1"/>
  <c r="N631" i="17" s="1"/>
  <c r="J631" i="17"/>
  <c r="K631" i="17"/>
  <c r="L631" i="17" s="1"/>
  <c r="H632" i="17"/>
  <c r="M632" i="17" s="1" a="1"/>
  <c r="M632" i="17" s="1"/>
  <c r="I632" i="17"/>
  <c r="N632" i="17" s="1" a="1"/>
  <c r="N632" i="17" s="1"/>
  <c r="J632" i="17"/>
  <c r="K632" i="17"/>
  <c r="L632" i="17" s="1"/>
  <c r="H633" i="17"/>
  <c r="M633" i="17" s="1" a="1"/>
  <c r="M633" i="17" s="1"/>
  <c r="I633" i="17"/>
  <c r="N633" i="17" s="1" a="1"/>
  <c r="N633" i="17" s="1"/>
  <c r="J633" i="17"/>
  <c r="K633" i="17"/>
  <c r="L633" i="17" s="1"/>
  <c r="H634" i="17"/>
  <c r="M634" i="17" s="1" a="1"/>
  <c r="M634" i="17" s="1"/>
  <c r="I634" i="17"/>
  <c r="N634" i="17" s="1" a="1"/>
  <c r="N634" i="17" s="1"/>
  <c r="J634" i="17"/>
  <c r="K634" i="17"/>
  <c r="L634" i="17" s="1"/>
  <c r="H635" i="17"/>
  <c r="M635" i="17" s="1" a="1"/>
  <c r="M635" i="17" s="1"/>
  <c r="I635" i="17"/>
  <c r="N635" i="17" s="1" a="1"/>
  <c r="N635" i="17" s="1"/>
  <c r="J635" i="17"/>
  <c r="K635" i="17"/>
  <c r="L635" i="17" s="1"/>
  <c r="H636" i="17"/>
  <c r="M636" i="17" s="1" a="1"/>
  <c r="M636" i="17" s="1"/>
  <c r="I636" i="17"/>
  <c r="N636" i="17" s="1" a="1"/>
  <c r="N636" i="17" s="1"/>
  <c r="J636" i="17"/>
  <c r="K636" i="17"/>
  <c r="L636" i="17" s="1"/>
  <c r="H637" i="17"/>
  <c r="M637" i="17" s="1" a="1"/>
  <c r="M637" i="17" s="1"/>
  <c r="I637" i="17"/>
  <c r="N637" i="17" s="1" a="1"/>
  <c r="N637" i="17" s="1"/>
  <c r="J637" i="17"/>
  <c r="K637" i="17"/>
  <c r="L637" i="17" s="1"/>
  <c r="H638" i="17"/>
  <c r="M638" i="17" s="1" a="1"/>
  <c r="M638" i="17" s="1"/>
  <c r="I638" i="17"/>
  <c r="N638" i="17" s="1" a="1"/>
  <c r="N638" i="17" s="1"/>
  <c r="J638" i="17"/>
  <c r="K638" i="17"/>
  <c r="L638" i="17" s="1"/>
  <c r="H639" i="17"/>
  <c r="M639" i="17" s="1" a="1"/>
  <c r="M639" i="17" s="1"/>
  <c r="I639" i="17"/>
  <c r="N639" i="17" s="1" a="1"/>
  <c r="N639" i="17" s="1"/>
  <c r="J639" i="17"/>
  <c r="K639" i="17"/>
  <c r="L639" i="17" s="1"/>
  <c r="H640" i="17"/>
  <c r="M640" i="17" s="1" a="1"/>
  <c r="M640" i="17" s="1"/>
  <c r="I640" i="17"/>
  <c r="N640" i="17" s="1" a="1"/>
  <c r="N640" i="17" s="1"/>
  <c r="J640" i="17"/>
  <c r="K640" i="17"/>
  <c r="L640" i="17" s="1"/>
  <c r="H641" i="17"/>
  <c r="M641" i="17" s="1" a="1"/>
  <c r="M641" i="17" s="1"/>
  <c r="I641" i="17"/>
  <c r="N641" i="17" s="1" a="1"/>
  <c r="N641" i="17" s="1"/>
  <c r="J641" i="17"/>
  <c r="K641" i="17"/>
  <c r="L641" i="17" s="1"/>
  <c r="H642" i="17"/>
  <c r="M642" i="17" s="1" a="1"/>
  <c r="M642" i="17" s="1"/>
  <c r="I642" i="17"/>
  <c r="N642" i="17" s="1" a="1"/>
  <c r="N642" i="17" s="1"/>
  <c r="J642" i="17"/>
  <c r="K642" i="17"/>
  <c r="L642" i="17" s="1"/>
  <c r="H643" i="17"/>
  <c r="M643" i="17" s="1" a="1"/>
  <c r="M643" i="17" s="1"/>
  <c r="I643" i="17"/>
  <c r="N643" i="17" s="1" a="1"/>
  <c r="N643" i="17" s="1"/>
  <c r="J643" i="17"/>
  <c r="K643" i="17"/>
  <c r="L643" i="17" s="1"/>
  <c r="H644" i="17"/>
  <c r="M644" i="17" s="1" a="1"/>
  <c r="M644" i="17" s="1"/>
  <c r="I644" i="17"/>
  <c r="N644" i="17" s="1" a="1"/>
  <c r="N644" i="17" s="1"/>
  <c r="J644" i="17"/>
  <c r="K644" i="17"/>
  <c r="L644" i="17" s="1"/>
  <c r="H645" i="17"/>
  <c r="M645" i="17" s="1" a="1"/>
  <c r="M645" i="17" s="1"/>
  <c r="I645" i="17"/>
  <c r="N645" i="17" s="1" a="1"/>
  <c r="N645" i="17" s="1"/>
  <c r="J645" i="17"/>
  <c r="K645" i="17"/>
  <c r="L645" i="17" s="1"/>
  <c r="H646" i="17"/>
  <c r="M646" i="17" s="1" a="1"/>
  <c r="M646" i="17" s="1"/>
  <c r="I646" i="17"/>
  <c r="N646" i="17" s="1" a="1"/>
  <c r="N646" i="17" s="1"/>
  <c r="J646" i="17"/>
  <c r="K646" i="17"/>
  <c r="L646" i="17" s="1"/>
  <c r="H647" i="17"/>
  <c r="M647" i="17" s="1" a="1"/>
  <c r="M647" i="17" s="1"/>
  <c r="I647" i="17"/>
  <c r="N647" i="17" s="1" a="1"/>
  <c r="N647" i="17" s="1"/>
  <c r="J647" i="17"/>
  <c r="K647" i="17"/>
  <c r="L647" i="17" s="1"/>
  <c r="H648" i="17"/>
  <c r="M648" i="17" s="1" a="1"/>
  <c r="M648" i="17" s="1"/>
  <c r="I648" i="17"/>
  <c r="N648" i="17" s="1" a="1"/>
  <c r="N648" i="17" s="1"/>
  <c r="J648" i="17"/>
  <c r="K648" i="17"/>
  <c r="L648" i="17" s="1"/>
  <c r="H649" i="17"/>
  <c r="M649" i="17" s="1" a="1"/>
  <c r="M649" i="17" s="1"/>
  <c r="I649" i="17"/>
  <c r="N649" i="17" s="1" a="1"/>
  <c r="N649" i="17" s="1"/>
  <c r="J649" i="17"/>
  <c r="K649" i="17"/>
  <c r="L649" i="17" s="1"/>
  <c r="H650" i="17"/>
  <c r="M650" i="17" s="1" a="1"/>
  <c r="M650" i="17" s="1"/>
  <c r="I650" i="17"/>
  <c r="N650" i="17" s="1" a="1"/>
  <c r="N650" i="17" s="1"/>
  <c r="J650" i="17"/>
  <c r="K650" i="17"/>
  <c r="L650" i="17" s="1"/>
  <c r="H651" i="17"/>
  <c r="M651" i="17" s="1" a="1"/>
  <c r="M651" i="17" s="1"/>
  <c r="I651" i="17"/>
  <c r="N651" i="17" s="1" a="1"/>
  <c r="N651" i="17" s="1"/>
  <c r="J651" i="17"/>
  <c r="K651" i="17"/>
  <c r="L651" i="17" s="1"/>
  <c r="H652" i="17"/>
  <c r="M652" i="17" s="1" a="1"/>
  <c r="M652" i="17" s="1"/>
  <c r="I652" i="17"/>
  <c r="N652" i="17" s="1" a="1"/>
  <c r="N652" i="17" s="1"/>
  <c r="J652" i="17"/>
  <c r="K652" i="17"/>
  <c r="L652" i="17" s="1"/>
  <c r="H653" i="17"/>
  <c r="M653" i="17" s="1" a="1"/>
  <c r="M653" i="17" s="1"/>
  <c r="I653" i="17"/>
  <c r="N653" i="17" s="1" a="1"/>
  <c r="N653" i="17" s="1"/>
  <c r="J653" i="17"/>
  <c r="K653" i="17"/>
  <c r="L653" i="17" s="1"/>
  <c r="H654" i="17"/>
  <c r="M654" i="17" s="1" a="1"/>
  <c r="M654" i="17" s="1"/>
  <c r="I654" i="17"/>
  <c r="N654" i="17" s="1" a="1"/>
  <c r="N654" i="17" s="1"/>
  <c r="J654" i="17"/>
  <c r="K654" i="17"/>
  <c r="L654" i="17" s="1"/>
  <c r="H655" i="17"/>
  <c r="M655" i="17" s="1" a="1"/>
  <c r="M655" i="17" s="1"/>
  <c r="I655" i="17"/>
  <c r="N655" i="17" s="1" a="1"/>
  <c r="N655" i="17" s="1"/>
  <c r="J655" i="17"/>
  <c r="K655" i="17"/>
  <c r="L655" i="17" s="1"/>
  <c r="H656" i="17"/>
  <c r="M656" i="17" s="1" a="1"/>
  <c r="M656" i="17" s="1"/>
  <c r="I656" i="17"/>
  <c r="N656" i="17" s="1" a="1"/>
  <c r="N656" i="17" s="1"/>
  <c r="J656" i="17"/>
  <c r="K656" i="17"/>
  <c r="L656" i="17" s="1"/>
  <c r="H657" i="17"/>
  <c r="M657" i="17" s="1" a="1"/>
  <c r="M657" i="17" s="1"/>
  <c r="I657" i="17"/>
  <c r="N657" i="17" s="1" a="1"/>
  <c r="N657" i="17" s="1"/>
  <c r="J657" i="17"/>
  <c r="K657" i="17"/>
  <c r="L657" i="17" s="1"/>
  <c r="H658" i="17"/>
  <c r="M658" i="17" s="1" a="1"/>
  <c r="M658" i="17" s="1"/>
  <c r="I658" i="17"/>
  <c r="N658" i="17" s="1" a="1"/>
  <c r="N658" i="17" s="1"/>
  <c r="J658" i="17"/>
  <c r="K658" i="17"/>
  <c r="L658" i="17" s="1"/>
  <c r="H659" i="17"/>
  <c r="M659" i="17" s="1" a="1"/>
  <c r="M659" i="17" s="1"/>
  <c r="I659" i="17"/>
  <c r="N659" i="17" s="1" a="1"/>
  <c r="N659" i="17" s="1"/>
  <c r="J659" i="17"/>
  <c r="K659" i="17"/>
  <c r="L659" i="17" s="1"/>
  <c r="H660" i="17"/>
  <c r="M660" i="17" s="1" a="1"/>
  <c r="M660" i="17" s="1"/>
  <c r="I660" i="17"/>
  <c r="N660" i="17" s="1" a="1"/>
  <c r="N660" i="17" s="1"/>
  <c r="J660" i="17"/>
  <c r="K660" i="17"/>
  <c r="L660" i="17" s="1"/>
  <c r="H661" i="17"/>
  <c r="M661" i="17" s="1" a="1"/>
  <c r="M661" i="17" s="1"/>
  <c r="I661" i="17"/>
  <c r="N661" i="17" s="1" a="1"/>
  <c r="N661" i="17" s="1"/>
  <c r="J661" i="17"/>
  <c r="K661" i="17"/>
  <c r="L661" i="17" s="1"/>
  <c r="H662" i="17"/>
  <c r="M662" i="17" s="1" a="1"/>
  <c r="M662" i="17" s="1"/>
  <c r="I662" i="17"/>
  <c r="N662" i="17" s="1" a="1"/>
  <c r="N662" i="17" s="1"/>
  <c r="J662" i="17"/>
  <c r="K662" i="17"/>
  <c r="L662" i="17" s="1"/>
  <c r="H663" i="17"/>
  <c r="M663" i="17" s="1" a="1"/>
  <c r="M663" i="17" s="1"/>
  <c r="I663" i="17"/>
  <c r="N663" i="17" s="1" a="1"/>
  <c r="N663" i="17" s="1"/>
  <c r="J663" i="17"/>
  <c r="K663" i="17"/>
  <c r="L663" i="17" s="1"/>
  <c r="H664" i="17"/>
  <c r="M664" i="17" s="1" a="1"/>
  <c r="M664" i="17" s="1"/>
  <c r="I664" i="17"/>
  <c r="N664" i="17" s="1" a="1"/>
  <c r="N664" i="17" s="1"/>
  <c r="J664" i="17"/>
  <c r="K664" i="17"/>
  <c r="L664" i="17" s="1"/>
  <c r="H665" i="17"/>
  <c r="M665" i="17" s="1" a="1"/>
  <c r="M665" i="17" s="1"/>
  <c r="I665" i="17"/>
  <c r="N665" i="17" s="1" a="1"/>
  <c r="N665" i="17" s="1"/>
  <c r="J665" i="17"/>
  <c r="K665" i="17"/>
  <c r="L665" i="17" s="1"/>
  <c r="H666" i="17"/>
  <c r="M666" i="17" s="1" a="1"/>
  <c r="M666" i="17" s="1"/>
  <c r="I666" i="17"/>
  <c r="N666" i="17" s="1" a="1"/>
  <c r="N666" i="17" s="1"/>
  <c r="J666" i="17"/>
  <c r="K666" i="17"/>
  <c r="L666" i="17" s="1"/>
  <c r="H667" i="17"/>
  <c r="M667" i="17" s="1" a="1"/>
  <c r="M667" i="17" s="1"/>
  <c r="I667" i="17"/>
  <c r="N667" i="17" s="1" a="1"/>
  <c r="N667" i="17" s="1"/>
  <c r="J667" i="17"/>
  <c r="K667" i="17"/>
  <c r="L667" i="17" s="1"/>
  <c r="H668" i="17"/>
  <c r="M668" i="17" s="1" a="1"/>
  <c r="M668" i="17" s="1"/>
  <c r="I668" i="17"/>
  <c r="N668" i="17" s="1" a="1"/>
  <c r="N668" i="17" s="1"/>
  <c r="J668" i="17"/>
  <c r="K668" i="17"/>
  <c r="L668" i="17" s="1"/>
  <c r="H669" i="17"/>
  <c r="M669" i="17" s="1" a="1"/>
  <c r="M669" i="17" s="1"/>
  <c r="I669" i="17"/>
  <c r="N669" i="17" s="1" a="1"/>
  <c r="N669" i="17" s="1"/>
  <c r="J669" i="17"/>
  <c r="K669" i="17"/>
  <c r="L669" i="17" s="1"/>
  <c r="H670" i="17"/>
  <c r="M670" i="17" s="1" a="1"/>
  <c r="M670" i="17" s="1"/>
  <c r="I670" i="17"/>
  <c r="N670" i="17" s="1" a="1"/>
  <c r="N670" i="17" s="1"/>
  <c r="J670" i="17"/>
  <c r="K670" i="17"/>
  <c r="L670" i="17" s="1"/>
  <c r="H671" i="17"/>
  <c r="M671" i="17" s="1" a="1"/>
  <c r="M671" i="17" s="1"/>
  <c r="I671" i="17"/>
  <c r="N671" i="17" s="1" a="1"/>
  <c r="N671" i="17" s="1"/>
  <c r="J671" i="17"/>
  <c r="K671" i="17"/>
  <c r="L671" i="17" s="1"/>
  <c r="H672" i="17"/>
  <c r="M672" i="17" s="1" a="1"/>
  <c r="M672" i="17" s="1"/>
  <c r="I672" i="17"/>
  <c r="N672" i="17" s="1" a="1"/>
  <c r="N672" i="17" s="1"/>
  <c r="J672" i="17"/>
  <c r="K672" i="17"/>
  <c r="L672" i="17" s="1"/>
  <c r="H673" i="17"/>
  <c r="M673" i="17" s="1" a="1"/>
  <c r="M673" i="17" s="1"/>
  <c r="I673" i="17"/>
  <c r="N673" i="17" s="1" a="1"/>
  <c r="N673" i="17" s="1"/>
  <c r="J673" i="17"/>
  <c r="K673" i="17"/>
  <c r="L673" i="17" s="1"/>
  <c r="H674" i="17"/>
  <c r="M674" i="17" s="1" a="1"/>
  <c r="M674" i="17" s="1"/>
  <c r="I674" i="17"/>
  <c r="N674" i="17" s="1" a="1"/>
  <c r="N674" i="17" s="1"/>
  <c r="J674" i="17"/>
  <c r="K674" i="17"/>
  <c r="L674" i="17" s="1"/>
  <c r="H675" i="17"/>
  <c r="M675" i="17" s="1" a="1"/>
  <c r="M675" i="17" s="1"/>
  <c r="I675" i="17"/>
  <c r="N675" i="17" s="1" a="1"/>
  <c r="N675" i="17" s="1"/>
  <c r="J675" i="17"/>
  <c r="K675" i="17"/>
  <c r="L675" i="17" s="1"/>
  <c r="H676" i="17"/>
  <c r="M676" i="17" s="1" a="1"/>
  <c r="M676" i="17" s="1"/>
  <c r="I676" i="17"/>
  <c r="N676" i="17" s="1" a="1"/>
  <c r="N676" i="17" s="1"/>
  <c r="J676" i="17"/>
  <c r="K676" i="17"/>
  <c r="L676" i="17" s="1"/>
  <c r="H677" i="17"/>
  <c r="M677" i="17" s="1" a="1"/>
  <c r="M677" i="17" s="1"/>
  <c r="I677" i="17"/>
  <c r="N677" i="17" s="1" a="1"/>
  <c r="N677" i="17" s="1"/>
  <c r="J677" i="17"/>
  <c r="K677" i="17"/>
  <c r="L677" i="17" s="1"/>
  <c r="H678" i="17"/>
  <c r="M678" i="17" s="1" a="1"/>
  <c r="M678" i="17" s="1"/>
  <c r="I678" i="17"/>
  <c r="N678" i="17" s="1" a="1"/>
  <c r="N678" i="17" s="1"/>
  <c r="J678" i="17"/>
  <c r="K678" i="17"/>
  <c r="L678" i="17" s="1"/>
  <c r="H679" i="17"/>
  <c r="M679" i="17" s="1" a="1"/>
  <c r="M679" i="17" s="1"/>
  <c r="I679" i="17"/>
  <c r="N679" i="17" s="1" a="1"/>
  <c r="N679" i="17" s="1"/>
  <c r="J679" i="17"/>
  <c r="K679" i="17"/>
  <c r="L679" i="17" s="1"/>
  <c r="H680" i="17"/>
  <c r="M680" i="17" s="1" a="1"/>
  <c r="M680" i="17" s="1"/>
  <c r="I680" i="17"/>
  <c r="N680" i="17" s="1" a="1"/>
  <c r="N680" i="17" s="1"/>
  <c r="J680" i="17"/>
  <c r="K680" i="17"/>
  <c r="L680" i="17" s="1"/>
  <c r="H681" i="17"/>
  <c r="M681" i="17" s="1" a="1"/>
  <c r="M681" i="17" s="1"/>
  <c r="I681" i="17"/>
  <c r="N681" i="17" s="1" a="1"/>
  <c r="N681" i="17" s="1"/>
  <c r="J681" i="17"/>
  <c r="K681" i="17"/>
  <c r="L681" i="17" s="1"/>
  <c r="H682" i="17"/>
  <c r="M682" i="17" s="1" a="1"/>
  <c r="M682" i="17" s="1"/>
  <c r="I682" i="17"/>
  <c r="N682" i="17" s="1" a="1"/>
  <c r="N682" i="17" s="1"/>
  <c r="J682" i="17"/>
  <c r="K682" i="17"/>
  <c r="L682" i="17" s="1"/>
  <c r="H683" i="17"/>
  <c r="M683" i="17" s="1" a="1"/>
  <c r="M683" i="17" s="1"/>
  <c r="I683" i="17"/>
  <c r="N683" i="17" s="1" a="1"/>
  <c r="N683" i="17" s="1"/>
  <c r="J683" i="17"/>
  <c r="K683" i="17"/>
  <c r="L683" i="17" s="1"/>
  <c r="H684" i="17"/>
  <c r="M684" i="17" s="1" a="1"/>
  <c r="M684" i="17" s="1"/>
  <c r="I684" i="17"/>
  <c r="N684" i="17" s="1" a="1"/>
  <c r="N684" i="17" s="1"/>
  <c r="J684" i="17"/>
  <c r="K684" i="17"/>
  <c r="L684" i="17" s="1"/>
  <c r="H685" i="17"/>
  <c r="M685" i="17" s="1" a="1"/>
  <c r="M685" i="17" s="1"/>
  <c r="I685" i="17"/>
  <c r="N685" i="17" s="1" a="1"/>
  <c r="N685" i="17" s="1"/>
  <c r="J685" i="17"/>
  <c r="K685" i="17"/>
  <c r="L685" i="17" s="1"/>
  <c r="H686" i="17"/>
  <c r="M686" i="17" s="1" a="1"/>
  <c r="M686" i="17" s="1"/>
  <c r="I686" i="17"/>
  <c r="N686" i="17" s="1" a="1"/>
  <c r="N686" i="17" s="1"/>
  <c r="J686" i="17"/>
  <c r="K686" i="17"/>
  <c r="L686" i="17" s="1"/>
  <c r="H687" i="17"/>
  <c r="M687" i="17" s="1" a="1"/>
  <c r="M687" i="17" s="1"/>
  <c r="I687" i="17"/>
  <c r="N687" i="17" s="1" a="1"/>
  <c r="N687" i="17" s="1"/>
  <c r="J687" i="17"/>
  <c r="K687" i="17"/>
  <c r="L687" i="17" s="1"/>
  <c r="H688" i="17"/>
  <c r="M688" i="17" s="1" a="1"/>
  <c r="M688" i="17" s="1"/>
  <c r="I688" i="17"/>
  <c r="N688" i="17" s="1" a="1"/>
  <c r="N688" i="17" s="1"/>
  <c r="J688" i="17"/>
  <c r="K688" i="17"/>
  <c r="L688" i="17" s="1"/>
  <c r="H689" i="17"/>
  <c r="M689" i="17" s="1" a="1"/>
  <c r="M689" i="17" s="1"/>
  <c r="I689" i="17"/>
  <c r="N689" i="17" s="1" a="1"/>
  <c r="N689" i="17" s="1"/>
  <c r="J689" i="17"/>
  <c r="K689" i="17"/>
  <c r="L689" i="17" s="1"/>
  <c r="H690" i="17"/>
  <c r="M690" i="17" s="1" a="1"/>
  <c r="M690" i="17" s="1"/>
  <c r="I690" i="17"/>
  <c r="N690" i="17" s="1" a="1"/>
  <c r="N690" i="17" s="1"/>
  <c r="J690" i="17"/>
  <c r="K690" i="17"/>
  <c r="L690" i="17" s="1"/>
  <c r="H691" i="17"/>
  <c r="M691" i="17" s="1" a="1"/>
  <c r="M691" i="17" s="1"/>
  <c r="I691" i="17"/>
  <c r="N691" i="17" s="1" a="1"/>
  <c r="N691" i="17" s="1"/>
  <c r="J691" i="17"/>
  <c r="K691" i="17"/>
  <c r="L691" i="17" s="1"/>
  <c r="H692" i="17"/>
  <c r="M692" i="17" s="1" a="1"/>
  <c r="M692" i="17" s="1"/>
  <c r="I692" i="17"/>
  <c r="N692" i="17" s="1" a="1"/>
  <c r="N692" i="17" s="1"/>
  <c r="J692" i="17"/>
  <c r="K692" i="17"/>
  <c r="L692" i="17" s="1"/>
  <c r="H693" i="17"/>
  <c r="M693" i="17" s="1" a="1"/>
  <c r="M693" i="17" s="1"/>
  <c r="I693" i="17"/>
  <c r="N693" i="17" s="1" a="1"/>
  <c r="N693" i="17" s="1"/>
  <c r="J693" i="17"/>
  <c r="K693" i="17"/>
  <c r="L693" i="17" s="1"/>
  <c r="H694" i="17"/>
  <c r="M694" i="17" s="1" a="1"/>
  <c r="M694" i="17" s="1"/>
  <c r="I694" i="17"/>
  <c r="N694" i="17" s="1" a="1"/>
  <c r="N694" i="17" s="1"/>
  <c r="J694" i="17"/>
  <c r="K694" i="17"/>
  <c r="L694" i="17" s="1"/>
  <c r="H695" i="17"/>
  <c r="M695" i="17" s="1" a="1"/>
  <c r="M695" i="17" s="1"/>
  <c r="I695" i="17"/>
  <c r="N695" i="17" s="1" a="1"/>
  <c r="N695" i="17" s="1"/>
  <c r="J695" i="17"/>
  <c r="K695" i="17"/>
  <c r="L695" i="17" s="1"/>
  <c r="H696" i="17"/>
  <c r="M696" i="17" s="1" a="1"/>
  <c r="M696" i="17" s="1"/>
  <c r="I696" i="17"/>
  <c r="N696" i="17" s="1" a="1"/>
  <c r="N696" i="17" s="1"/>
  <c r="J696" i="17"/>
  <c r="K696" i="17"/>
  <c r="L696" i="17" s="1"/>
  <c r="H697" i="17"/>
  <c r="M697" i="17" s="1" a="1"/>
  <c r="M697" i="17" s="1"/>
  <c r="I697" i="17"/>
  <c r="N697" i="17" s="1" a="1"/>
  <c r="N697" i="17" s="1"/>
  <c r="J697" i="17"/>
  <c r="K697" i="17"/>
  <c r="L697" i="17" s="1"/>
  <c r="H698" i="17"/>
  <c r="M698" i="17" s="1" a="1"/>
  <c r="M698" i="17" s="1"/>
  <c r="I698" i="17"/>
  <c r="N698" i="17" s="1" a="1"/>
  <c r="N698" i="17" s="1"/>
  <c r="J698" i="17"/>
  <c r="K698" i="17"/>
  <c r="L698" i="17" s="1"/>
  <c r="H699" i="17"/>
  <c r="M699" i="17" s="1" a="1"/>
  <c r="M699" i="17" s="1"/>
  <c r="I699" i="17"/>
  <c r="N699" i="17" s="1" a="1"/>
  <c r="N699" i="17" s="1"/>
  <c r="J699" i="17"/>
  <c r="K699" i="17"/>
  <c r="L699" i="17" s="1"/>
  <c r="H700" i="17"/>
  <c r="M700" i="17" s="1" a="1"/>
  <c r="M700" i="17" s="1"/>
  <c r="I700" i="17"/>
  <c r="N700" i="17" s="1" a="1"/>
  <c r="N700" i="17" s="1"/>
  <c r="J700" i="17"/>
  <c r="K700" i="17"/>
  <c r="L700" i="17" s="1"/>
  <c r="H701" i="17"/>
  <c r="M701" i="17" s="1" a="1"/>
  <c r="M701" i="17" s="1"/>
  <c r="I701" i="17"/>
  <c r="N701" i="17" s="1" a="1"/>
  <c r="N701" i="17" s="1"/>
  <c r="J701" i="17"/>
  <c r="K701" i="17"/>
  <c r="L701" i="17" s="1"/>
  <c r="H702" i="17"/>
  <c r="M702" i="17" s="1" a="1"/>
  <c r="M702" i="17" s="1"/>
  <c r="I702" i="17"/>
  <c r="N702" i="17" s="1" a="1"/>
  <c r="N702" i="17" s="1"/>
  <c r="J702" i="17"/>
  <c r="K702" i="17"/>
  <c r="L702" i="17" s="1"/>
  <c r="H703" i="17"/>
  <c r="M703" i="17" s="1" a="1"/>
  <c r="M703" i="17" s="1"/>
  <c r="I703" i="17"/>
  <c r="N703" i="17" s="1" a="1"/>
  <c r="N703" i="17" s="1"/>
  <c r="J703" i="17"/>
  <c r="K703" i="17"/>
  <c r="L703" i="17" s="1"/>
  <c r="H704" i="17"/>
  <c r="M704" i="17" s="1" a="1"/>
  <c r="M704" i="17" s="1"/>
  <c r="I704" i="17"/>
  <c r="N704" i="17" s="1" a="1"/>
  <c r="N704" i="17" s="1"/>
  <c r="J704" i="17"/>
  <c r="K704" i="17"/>
  <c r="L704" i="17" s="1"/>
  <c r="H705" i="17"/>
  <c r="M705" i="17" s="1" a="1"/>
  <c r="M705" i="17" s="1"/>
  <c r="I705" i="17"/>
  <c r="N705" i="17" s="1" a="1"/>
  <c r="N705" i="17" s="1"/>
  <c r="J705" i="17"/>
  <c r="K705" i="17"/>
  <c r="L705" i="17" s="1"/>
  <c r="H706" i="17"/>
  <c r="M706" i="17" s="1" a="1"/>
  <c r="M706" i="17" s="1"/>
  <c r="I706" i="17"/>
  <c r="N706" i="17" s="1" a="1"/>
  <c r="N706" i="17" s="1"/>
  <c r="J706" i="17"/>
  <c r="K706" i="17"/>
  <c r="L706" i="17" s="1"/>
  <c r="H707" i="17"/>
  <c r="M707" i="17" s="1" a="1"/>
  <c r="M707" i="17" s="1"/>
  <c r="I707" i="17"/>
  <c r="N707" i="17" s="1" a="1"/>
  <c r="N707" i="17" s="1"/>
  <c r="J707" i="17"/>
  <c r="K707" i="17"/>
  <c r="L707" i="17" s="1"/>
  <c r="H708" i="17"/>
  <c r="M708" i="17" s="1" a="1"/>
  <c r="M708" i="17" s="1"/>
  <c r="I708" i="17"/>
  <c r="N708" i="17" s="1" a="1"/>
  <c r="N708" i="17" s="1"/>
  <c r="J708" i="17"/>
  <c r="K708" i="17"/>
  <c r="L708" i="17" s="1"/>
  <c r="H709" i="17"/>
  <c r="M709" i="17" s="1" a="1"/>
  <c r="M709" i="17" s="1"/>
  <c r="I709" i="17"/>
  <c r="N709" i="17" s="1" a="1"/>
  <c r="N709" i="17" s="1"/>
  <c r="J709" i="17"/>
  <c r="K709" i="17"/>
  <c r="L709" i="17" s="1"/>
  <c r="H710" i="17"/>
  <c r="M710" i="17" s="1" a="1"/>
  <c r="M710" i="17" s="1"/>
  <c r="I710" i="17"/>
  <c r="N710" i="17" s="1" a="1"/>
  <c r="N710" i="17" s="1"/>
  <c r="J710" i="17"/>
  <c r="K710" i="17"/>
  <c r="L710" i="17" s="1"/>
  <c r="H711" i="17"/>
  <c r="M711" i="17" s="1" a="1"/>
  <c r="M711" i="17" s="1"/>
  <c r="I711" i="17"/>
  <c r="N711" i="17" s="1" a="1"/>
  <c r="N711" i="17" s="1"/>
  <c r="J711" i="17"/>
  <c r="K711" i="17"/>
  <c r="L711" i="17" s="1"/>
  <c r="H712" i="17"/>
  <c r="M712" i="17" s="1" a="1"/>
  <c r="M712" i="17" s="1"/>
  <c r="I712" i="17"/>
  <c r="N712" i="17" s="1" a="1"/>
  <c r="N712" i="17" s="1"/>
  <c r="J712" i="17"/>
  <c r="K712" i="17"/>
  <c r="L712" i="17" s="1"/>
  <c r="H713" i="17"/>
  <c r="M713" i="17" s="1" a="1"/>
  <c r="M713" i="17" s="1"/>
  <c r="I713" i="17"/>
  <c r="N713" i="17" s="1" a="1"/>
  <c r="N713" i="17" s="1"/>
  <c r="J713" i="17"/>
  <c r="K713" i="17"/>
  <c r="L713" i="17" s="1"/>
  <c r="H714" i="17"/>
  <c r="M714" i="17" s="1" a="1"/>
  <c r="M714" i="17" s="1"/>
  <c r="I714" i="17"/>
  <c r="N714" i="17" s="1" a="1"/>
  <c r="N714" i="17" s="1"/>
  <c r="J714" i="17"/>
  <c r="K714" i="17"/>
  <c r="L714" i="17" s="1"/>
  <c r="H715" i="17"/>
  <c r="M715" i="17" s="1" a="1"/>
  <c r="M715" i="17" s="1"/>
  <c r="I715" i="17"/>
  <c r="N715" i="17" s="1" a="1"/>
  <c r="N715" i="17" s="1"/>
  <c r="J715" i="17"/>
  <c r="K715" i="17"/>
  <c r="L715" i="17" s="1"/>
  <c r="H716" i="17"/>
  <c r="M716" i="17" s="1" a="1"/>
  <c r="M716" i="17" s="1"/>
  <c r="I716" i="17"/>
  <c r="N716" i="17" s="1" a="1"/>
  <c r="N716" i="17" s="1"/>
  <c r="J716" i="17"/>
  <c r="K716" i="17"/>
  <c r="L716" i="17" s="1"/>
  <c r="H717" i="17"/>
  <c r="M717" i="17" s="1" a="1"/>
  <c r="M717" i="17" s="1"/>
  <c r="I717" i="17"/>
  <c r="N717" i="17" s="1" a="1"/>
  <c r="N717" i="17" s="1"/>
  <c r="J717" i="17"/>
  <c r="K717" i="17"/>
  <c r="L717" i="17" s="1"/>
  <c r="H718" i="17"/>
  <c r="M718" i="17" s="1" a="1"/>
  <c r="M718" i="17" s="1"/>
  <c r="I718" i="17"/>
  <c r="N718" i="17" s="1" a="1"/>
  <c r="N718" i="17" s="1"/>
  <c r="J718" i="17"/>
  <c r="K718" i="17"/>
  <c r="L718" i="17" s="1"/>
  <c r="H719" i="17"/>
  <c r="M719" i="17" s="1" a="1"/>
  <c r="M719" i="17" s="1"/>
  <c r="I719" i="17"/>
  <c r="N719" i="17" s="1" a="1"/>
  <c r="N719" i="17" s="1"/>
  <c r="J719" i="17"/>
  <c r="K719" i="17"/>
  <c r="L719" i="17" s="1"/>
  <c r="H720" i="17"/>
  <c r="M720" i="17" s="1" a="1"/>
  <c r="M720" i="17" s="1"/>
  <c r="I720" i="17"/>
  <c r="N720" i="17" s="1" a="1"/>
  <c r="N720" i="17" s="1"/>
  <c r="J720" i="17"/>
  <c r="K720" i="17"/>
  <c r="L720" i="17" s="1"/>
  <c r="H721" i="17"/>
  <c r="M721" i="17" s="1" a="1"/>
  <c r="M721" i="17" s="1"/>
  <c r="I721" i="17"/>
  <c r="N721" i="17" s="1" a="1"/>
  <c r="N721" i="17" s="1"/>
  <c r="J721" i="17"/>
  <c r="K721" i="17"/>
  <c r="L721" i="17" s="1"/>
  <c r="H722" i="17"/>
  <c r="M722" i="17" s="1" a="1"/>
  <c r="M722" i="17" s="1"/>
  <c r="I722" i="17"/>
  <c r="N722" i="17" s="1" a="1"/>
  <c r="N722" i="17" s="1"/>
  <c r="J722" i="17"/>
  <c r="K722" i="17"/>
  <c r="L722" i="17" s="1"/>
  <c r="H723" i="17"/>
  <c r="M723" i="17" s="1" a="1"/>
  <c r="M723" i="17" s="1"/>
  <c r="I723" i="17"/>
  <c r="N723" i="17" s="1" a="1"/>
  <c r="N723" i="17" s="1"/>
  <c r="J723" i="17"/>
  <c r="K723" i="17"/>
  <c r="L723" i="17" s="1"/>
  <c r="H724" i="17"/>
  <c r="M724" i="17" s="1" a="1"/>
  <c r="M724" i="17" s="1"/>
  <c r="I724" i="17"/>
  <c r="N724" i="17" s="1" a="1"/>
  <c r="N724" i="17" s="1"/>
  <c r="J724" i="17"/>
  <c r="K724" i="17"/>
  <c r="L724" i="17" s="1"/>
  <c r="H725" i="17"/>
  <c r="M725" i="17" s="1" a="1"/>
  <c r="M725" i="17" s="1"/>
  <c r="I725" i="17"/>
  <c r="N725" i="17" s="1" a="1"/>
  <c r="N725" i="17" s="1"/>
  <c r="J725" i="17"/>
  <c r="K725" i="17"/>
  <c r="L725" i="17" s="1"/>
  <c r="H726" i="17"/>
  <c r="M726" i="17" s="1" a="1"/>
  <c r="M726" i="17" s="1"/>
  <c r="I726" i="17"/>
  <c r="N726" i="17" s="1" a="1"/>
  <c r="N726" i="17" s="1"/>
  <c r="J726" i="17"/>
  <c r="K726" i="17"/>
  <c r="L726" i="17" s="1"/>
  <c r="H727" i="17"/>
  <c r="M727" i="17" s="1" a="1"/>
  <c r="M727" i="17" s="1"/>
  <c r="I727" i="17"/>
  <c r="N727" i="17" s="1" a="1"/>
  <c r="N727" i="17" s="1"/>
  <c r="J727" i="17"/>
  <c r="K727" i="17"/>
  <c r="L727" i="17" s="1"/>
  <c r="H728" i="17"/>
  <c r="M728" i="17" s="1" a="1"/>
  <c r="M728" i="17" s="1"/>
  <c r="I728" i="17"/>
  <c r="N728" i="17" s="1" a="1"/>
  <c r="N728" i="17" s="1"/>
  <c r="J728" i="17"/>
  <c r="K728" i="17"/>
  <c r="L728" i="17" s="1"/>
  <c r="H729" i="17"/>
  <c r="M729" i="17" s="1" a="1"/>
  <c r="M729" i="17" s="1"/>
  <c r="I729" i="17"/>
  <c r="N729" i="17" s="1" a="1"/>
  <c r="N729" i="17" s="1"/>
  <c r="J729" i="17"/>
  <c r="K729" i="17"/>
  <c r="L729" i="17" s="1"/>
  <c r="H730" i="17"/>
  <c r="M730" i="17" s="1" a="1"/>
  <c r="M730" i="17" s="1"/>
  <c r="I730" i="17"/>
  <c r="N730" i="17" s="1" a="1"/>
  <c r="N730" i="17" s="1"/>
  <c r="J730" i="17"/>
  <c r="K730" i="17"/>
  <c r="L730" i="17" s="1"/>
  <c r="H731" i="17"/>
  <c r="M731" i="17" s="1" a="1"/>
  <c r="M731" i="17" s="1"/>
  <c r="I731" i="17"/>
  <c r="N731" i="17" s="1" a="1"/>
  <c r="N731" i="17" s="1"/>
  <c r="J731" i="17"/>
  <c r="K731" i="17"/>
  <c r="L731" i="17" s="1"/>
  <c r="H732" i="17"/>
  <c r="M732" i="17" s="1" a="1"/>
  <c r="M732" i="17" s="1"/>
  <c r="I732" i="17"/>
  <c r="N732" i="17" s="1" a="1"/>
  <c r="N732" i="17" s="1"/>
  <c r="J732" i="17"/>
  <c r="K732" i="17"/>
  <c r="L732" i="17" s="1"/>
  <c r="H733" i="17"/>
  <c r="M733" i="17" s="1" a="1"/>
  <c r="M733" i="17" s="1"/>
  <c r="I733" i="17"/>
  <c r="N733" i="17" s="1" a="1"/>
  <c r="N733" i="17" s="1"/>
  <c r="J733" i="17"/>
  <c r="K733" i="17"/>
  <c r="L733" i="17" s="1"/>
  <c r="H734" i="17"/>
  <c r="M734" i="17" s="1" a="1"/>
  <c r="M734" i="17" s="1"/>
  <c r="I734" i="17"/>
  <c r="N734" i="17" s="1" a="1"/>
  <c r="N734" i="17" s="1"/>
  <c r="J734" i="17"/>
  <c r="K734" i="17"/>
  <c r="L734" i="17" s="1"/>
  <c r="H735" i="17"/>
  <c r="M735" i="17" s="1" a="1"/>
  <c r="M735" i="17" s="1"/>
  <c r="I735" i="17"/>
  <c r="N735" i="17" s="1" a="1"/>
  <c r="N735" i="17" s="1"/>
  <c r="J735" i="17"/>
  <c r="K735" i="17"/>
  <c r="L735" i="17" s="1"/>
  <c r="H736" i="17"/>
  <c r="M736" i="17" s="1" a="1"/>
  <c r="M736" i="17" s="1"/>
  <c r="I736" i="17"/>
  <c r="N736" i="17" s="1" a="1"/>
  <c r="N736" i="17" s="1"/>
  <c r="J736" i="17"/>
  <c r="K736" i="17"/>
  <c r="L736" i="17" s="1"/>
  <c r="H737" i="17"/>
  <c r="M737" i="17" s="1" a="1"/>
  <c r="M737" i="17" s="1"/>
  <c r="I737" i="17"/>
  <c r="N737" i="17" s="1" a="1"/>
  <c r="N737" i="17" s="1"/>
  <c r="J737" i="17"/>
  <c r="K737" i="17"/>
  <c r="L737" i="17" s="1"/>
  <c r="H738" i="17"/>
  <c r="M738" i="17" s="1" a="1"/>
  <c r="M738" i="17" s="1"/>
  <c r="I738" i="17"/>
  <c r="N738" i="17" s="1" a="1"/>
  <c r="N738" i="17" s="1"/>
  <c r="J738" i="17"/>
  <c r="K738" i="17"/>
  <c r="L738" i="17" s="1"/>
  <c r="H739" i="17"/>
  <c r="M739" i="17" s="1" a="1"/>
  <c r="M739" i="17" s="1"/>
  <c r="I739" i="17"/>
  <c r="N739" i="17" s="1" a="1"/>
  <c r="N739" i="17" s="1"/>
  <c r="J739" i="17"/>
  <c r="K739" i="17"/>
  <c r="L739" i="17" s="1"/>
  <c r="H740" i="17"/>
  <c r="M740" i="17" s="1" a="1"/>
  <c r="M740" i="17" s="1"/>
  <c r="I740" i="17"/>
  <c r="N740" i="17" s="1" a="1"/>
  <c r="N740" i="17" s="1"/>
  <c r="J740" i="17"/>
  <c r="K740" i="17"/>
  <c r="L740" i="17" s="1"/>
  <c r="H741" i="17"/>
  <c r="M741" i="17" s="1" a="1"/>
  <c r="M741" i="17" s="1"/>
  <c r="I741" i="17"/>
  <c r="N741" i="17" s="1" a="1"/>
  <c r="N741" i="17" s="1"/>
  <c r="J741" i="17"/>
  <c r="K741" i="17"/>
  <c r="L741" i="17" s="1"/>
  <c r="H742" i="17"/>
  <c r="M742" i="17" s="1" a="1"/>
  <c r="M742" i="17" s="1"/>
  <c r="I742" i="17"/>
  <c r="N742" i="17" s="1" a="1"/>
  <c r="N742" i="17" s="1"/>
  <c r="J742" i="17"/>
  <c r="K742" i="17"/>
  <c r="L742" i="17" s="1"/>
  <c r="H743" i="17"/>
  <c r="M743" i="17" s="1" a="1"/>
  <c r="M743" i="17" s="1"/>
  <c r="I743" i="17"/>
  <c r="N743" i="17" s="1" a="1"/>
  <c r="N743" i="17" s="1"/>
  <c r="J743" i="17"/>
  <c r="K743" i="17"/>
  <c r="L743" i="17" s="1"/>
  <c r="H744" i="17"/>
  <c r="M744" i="17" s="1" a="1"/>
  <c r="M744" i="17" s="1"/>
  <c r="I744" i="17"/>
  <c r="N744" i="17" s="1" a="1"/>
  <c r="N744" i="17" s="1"/>
  <c r="J744" i="17"/>
  <c r="K744" i="17"/>
  <c r="L744" i="17" s="1"/>
  <c r="H745" i="17"/>
  <c r="M745" i="17" s="1" a="1"/>
  <c r="M745" i="17" s="1"/>
  <c r="I745" i="17"/>
  <c r="N745" i="17" s="1" a="1"/>
  <c r="N745" i="17" s="1"/>
  <c r="J745" i="17"/>
  <c r="K745" i="17"/>
  <c r="L745" i="17" s="1"/>
  <c r="H746" i="17"/>
  <c r="M746" i="17" s="1" a="1"/>
  <c r="M746" i="17" s="1"/>
  <c r="I746" i="17"/>
  <c r="N746" i="17" s="1" a="1"/>
  <c r="N746" i="17" s="1"/>
  <c r="J746" i="17"/>
  <c r="K746" i="17"/>
  <c r="L746" i="17" s="1"/>
  <c r="H747" i="17"/>
  <c r="M747" i="17" s="1" a="1"/>
  <c r="M747" i="17" s="1"/>
  <c r="I747" i="17"/>
  <c r="N747" i="17" s="1" a="1"/>
  <c r="N747" i="17" s="1"/>
  <c r="J747" i="17"/>
  <c r="K747" i="17"/>
  <c r="L747" i="17" s="1"/>
  <c r="H748" i="17"/>
  <c r="M748" i="17" s="1" a="1"/>
  <c r="M748" i="17" s="1"/>
  <c r="I748" i="17"/>
  <c r="N748" i="17" s="1" a="1"/>
  <c r="N748" i="17" s="1"/>
  <c r="J748" i="17"/>
  <c r="K748" i="17"/>
  <c r="L748" i="17" s="1"/>
  <c r="H749" i="17"/>
  <c r="M749" i="17" s="1" a="1"/>
  <c r="M749" i="17" s="1"/>
  <c r="I749" i="17"/>
  <c r="N749" i="17" s="1" a="1"/>
  <c r="N749" i="17" s="1"/>
  <c r="J749" i="17"/>
  <c r="K749" i="17"/>
  <c r="L749" i="17" s="1"/>
  <c r="H750" i="17"/>
  <c r="M750" i="17" s="1" a="1"/>
  <c r="M750" i="17" s="1"/>
  <c r="I750" i="17"/>
  <c r="N750" i="17" s="1" a="1"/>
  <c r="N750" i="17" s="1"/>
  <c r="J750" i="17"/>
  <c r="K750" i="17"/>
  <c r="L750" i="17" s="1"/>
  <c r="H751" i="17"/>
  <c r="M751" i="17" s="1" a="1"/>
  <c r="M751" i="17" s="1"/>
  <c r="I751" i="17"/>
  <c r="N751" i="17" s="1" a="1"/>
  <c r="N751" i="17" s="1"/>
  <c r="J751" i="17"/>
  <c r="K751" i="17"/>
  <c r="L751" i="17" s="1"/>
  <c r="H752" i="17"/>
  <c r="M752" i="17" s="1" a="1"/>
  <c r="M752" i="17" s="1"/>
  <c r="I752" i="17"/>
  <c r="N752" i="17" s="1" a="1"/>
  <c r="N752" i="17" s="1"/>
  <c r="J752" i="17"/>
  <c r="K752" i="17"/>
  <c r="L752" i="17" s="1"/>
  <c r="H753" i="17"/>
  <c r="M753" i="17" s="1" a="1"/>
  <c r="M753" i="17" s="1"/>
  <c r="I753" i="17"/>
  <c r="N753" i="17" s="1" a="1"/>
  <c r="N753" i="17" s="1"/>
  <c r="J753" i="17"/>
  <c r="K753" i="17"/>
  <c r="L753" i="17" s="1"/>
  <c r="H754" i="17"/>
  <c r="M754" i="17" s="1" a="1"/>
  <c r="M754" i="17" s="1"/>
  <c r="I754" i="17"/>
  <c r="N754" i="17" s="1" a="1"/>
  <c r="N754" i="17" s="1"/>
  <c r="J754" i="17"/>
  <c r="K754" i="17"/>
  <c r="L754" i="17" s="1"/>
  <c r="H755" i="17"/>
  <c r="M755" i="17" s="1" a="1"/>
  <c r="M755" i="17" s="1"/>
  <c r="I755" i="17"/>
  <c r="N755" i="17" s="1" a="1"/>
  <c r="N755" i="17" s="1"/>
  <c r="J755" i="17"/>
  <c r="K755" i="17"/>
  <c r="L755" i="17" s="1"/>
  <c r="H756" i="17"/>
  <c r="M756" i="17" s="1" a="1"/>
  <c r="M756" i="17" s="1"/>
  <c r="I756" i="17"/>
  <c r="N756" i="17" s="1" a="1"/>
  <c r="N756" i="17" s="1"/>
  <c r="J756" i="17"/>
  <c r="K756" i="17"/>
  <c r="L756" i="17" s="1"/>
  <c r="H757" i="17"/>
  <c r="M757" i="17" s="1" a="1"/>
  <c r="M757" i="17" s="1"/>
  <c r="I757" i="17"/>
  <c r="N757" i="17" s="1" a="1"/>
  <c r="N757" i="17" s="1"/>
  <c r="J757" i="17"/>
  <c r="K757" i="17"/>
  <c r="L757" i="17" s="1"/>
  <c r="H758" i="17"/>
  <c r="M758" i="17" s="1" a="1"/>
  <c r="M758" i="17" s="1"/>
  <c r="I758" i="17"/>
  <c r="N758" i="17" s="1" a="1"/>
  <c r="N758" i="17" s="1"/>
  <c r="J758" i="17"/>
  <c r="K758" i="17"/>
  <c r="L758" i="17" s="1"/>
  <c r="H759" i="17"/>
  <c r="M759" i="17" s="1" a="1"/>
  <c r="M759" i="17" s="1"/>
  <c r="I759" i="17"/>
  <c r="N759" i="17" s="1" a="1"/>
  <c r="N759" i="17" s="1"/>
  <c r="J759" i="17"/>
  <c r="K759" i="17"/>
  <c r="L759" i="17" s="1"/>
  <c r="H760" i="17"/>
  <c r="M760" i="17" s="1" a="1"/>
  <c r="M760" i="17" s="1"/>
  <c r="I760" i="17"/>
  <c r="N760" i="17" s="1" a="1"/>
  <c r="N760" i="17" s="1"/>
  <c r="J760" i="17"/>
  <c r="K760" i="17"/>
  <c r="L760" i="17" s="1"/>
  <c r="H761" i="17"/>
  <c r="M761" i="17" s="1" a="1"/>
  <c r="M761" i="17" s="1"/>
  <c r="I761" i="17"/>
  <c r="N761" i="17" s="1" a="1"/>
  <c r="N761" i="17" s="1"/>
  <c r="J761" i="17"/>
  <c r="K761" i="17"/>
  <c r="L761" i="17" s="1"/>
  <c r="H762" i="17"/>
  <c r="M762" i="17" s="1" a="1"/>
  <c r="M762" i="17" s="1"/>
  <c r="I762" i="17"/>
  <c r="N762" i="17" s="1" a="1"/>
  <c r="N762" i="17" s="1"/>
  <c r="J762" i="17"/>
  <c r="K762" i="17"/>
  <c r="L762" i="17" s="1"/>
  <c r="H763" i="17"/>
  <c r="M763" i="17" s="1" a="1"/>
  <c r="M763" i="17" s="1"/>
  <c r="I763" i="17"/>
  <c r="N763" i="17" s="1" a="1"/>
  <c r="N763" i="17" s="1"/>
  <c r="J763" i="17"/>
  <c r="K763" i="17"/>
  <c r="L763" i="17" s="1"/>
  <c r="H764" i="17"/>
  <c r="M764" i="17" s="1" a="1"/>
  <c r="M764" i="17" s="1"/>
  <c r="I764" i="17"/>
  <c r="N764" i="17" s="1" a="1"/>
  <c r="N764" i="17" s="1"/>
  <c r="J764" i="17"/>
  <c r="K764" i="17"/>
  <c r="L764" i="17" s="1"/>
  <c r="H765" i="17"/>
  <c r="M765" i="17" s="1" a="1"/>
  <c r="M765" i="17" s="1"/>
  <c r="I765" i="17"/>
  <c r="N765" i="17" s="1" a="1"/>
  <c r="N765" i="17" s="1"/>
  <c r="J765" i="17"/>
  <c r="K765" i="17"/>
  <c r="L765" i="17" s="1"/>
  <c r="H766" i="17"/>
  <c r="M766" i="17" s="1" a="1"/>
  <c r="M766" i="17" s="1"/>
  <c r="I766" i="17"/>
  <c r="N766" i="17" s="1" a="1"/>
  <c r="N766" i="17" s="1"/>
  <c r="J766" i="17"/>
  <c r="K766" i="17"/>
  <c r="L766" i="17" s="1"/>
  <c r="H767" i="17"/>
  <c r="M767" i="17" s="1" a="1"/>
  <c r="M767" i="17" s="1"/>
  <c r="I767" i="17"/>
  <c r="N767" i="17" s="1" a="1"/>
  <c r="N767" i="17" s="1"/>
  <c r="J767" i="17"/>
  <c r="K767" i="17"/>
  <c r="L767" i="17" s="1"/>
  <c r="H768" i="17"/>
  <c r="M768" i="17" s="1" a="1"/>
  <c r="M768" i="17" s="1"/>
  <c r="I768" i="17"/>
  <c r="N768" i="17" s="1" a="1"/>
  <c r="N768" i="17" s="1"/>
  <c r="J768" i="17"/>
  <c r="K768" i="17"/>
  <c r="L768" i="17" s="1"/>
  <c r="H769" i="17"/>
  <c r="M769" i="17" s="1" a="1"/>
  <c r="M769" i="17" s="1"/>
  <c r="I769" i="17"/>
  <c r="N769" i="17" s="1" a="1"/>
  <c r="N769" i="17" s="1"/>
  <c r="J769" i="17"/>
  <c r="K769" i="17"/>
  <c r="L769" i="17" s="1"/>
  <c r="H770" i="17"/>
  <c r="M770" i="17" s="1" a="1"/>
  <c r="M770" i="17" s="1"/>
  <c r="I770" i="17"/>
  <c r="N770" i="17" s="1" a="1"/>
  <c r="N770" i="17" s="1"/>
  <c r="J770" i="17"/>
  <c r="K770" i="17"/>
  <c r="L770" i="17" s="1"/>
  <c r="H771" i="17"/>
  <c r="M771" i="17" s="1" a="1"/>
  <c r="M771" i="17" s="1"/>
  <c r="I771" i="17"/>
  <c r="N771" i="17" s="1" a="1"/>
  <c r="N771" i="17" s="1"/>
  <c r="J771" i="17"/>
  <c r="K771" i="17"/>
  <c r="L771" i="17" s="1"/>
  <c r="H772" i="17"/>
  <c r="M772" i="17" s="1" a="1"/>
  <c r="M772" i="17" s="1"/>
  <c r="I772" i="17"/>
  <c r="N772" i="17" s="1" a="1"/>
  <c r="N772" i="17" s="1"/>
  <c r="J772" i="17"/>
  <c r="K772" i="17"/>
  <c r="L772" i="17" s="1"/>
  <c r="H773" i="17"/>
  <c r="M773" i="17" s="1" a="1"/>
  <c r="M773" i="17" s="1"/>
  <c r="I773" i="17"/>
  <c r="N773" i="17" s="1" a="1"/>
  <c r="N773" i="17" s="1"/>
  <c r="J773" i="17"/>
  <c r="K773" i="17"/>
  <c r="L773" i="17" s="1"/>
  <c r="H774" i="17"/>
  <c r="M774" i="17" s="1" a="1"/>
  <c r="M774" i="17" s="1"/>
  <c r="I774" i="17"/>
  <c r="N774" i="17" s="1" a="1"/>
  <c r="N774" i="17" s="1"/>
  <c r="J774" i="17"/>
  <c r="K774" i="17"/>
  <c r="L774" i="17" s="1"/>
  <c r="H775" i="17"/>
  <c r="M775" i="17" s="1" a="1"/>
  <c r="M775" i="17" s="1"/>
  <c r="I775" i="17"/>
  <c r="N775" i="17" s="1" a="1"/>
  <c r="N775" i="17" s="1"/>
  <c r="J775" i="17"/>
  <c r="K775" i="17"/>
  <c r="L775" i="17" s="1"/>
  <c r="H776" i="17"/>
  <c r="M776" i="17" s="1" a="1"/>
  <c r="M776" i="17" s="1"/>
  <c r="I776" i="17"/>
  <c r="N776" i="17" s="1" a="1"/>
  <c r="N776" i="17" s="1"/>
  <c r="J776" i="17"/>
  <c r="K776" i="17"/>
  <c r="L776" i="17" s="1"/>
  <c r="H777" i="17"/>
  <c r="M777" i="17" s="1" a="1"/>
  <c r="M777" i="17" s="1"/>
  <c r="I777" i="17"/>
  <c r="N777" i="17" s="1" a="1"/>
  <c r="N777" i="17" s="1"/>
  <c r="J777" i="17"/>
  <c r="K777" i="17"/>
  <c r="L777" i="17" s="1"/>
  <c r="H778" i="17"/>
  <c r="M778" i="17" s="1" a="1"/>
  <c r="M778" i="17" s="1"/>
  <c r="I778" i="17"/>
  <c r="N778" i="17" s="1" a="1"/>
  <c r="N778" i="17" s="1"/>
  <c r="J778" i="17"/>
  <c r="K778" i="17"/>
  <c r="L778" i="17" s="1"/>
  <c r="H779" i="17"/>
  <c r="M779" i="17" s="1" a="1"/>
  <c r="M779" i="17" s="1"/>
  <c r="I779" i="17"/>
  <c r="N779" i="17" s="1" a="1"/>
  <c r="N779" i="17" s="1"/>
  <c r="J779" i="17"/>
  <c r="K779" i="17"/>
  <c r="L779" i="17" s="1"/>
  <c r="H780" i="17"/>
  <c r="M780" i="17" s="1" a="1"/>
  <c r="M780" i="17" s="1"/>
  <c r="I780" i="17"/>
  <c r="N780" i="17" s="1" a="1"/>
  <c r="N780" i="17" s="1"/>
  <c r="J780" i="17"/>
  <c r="K780" i="17"/>
  <c r="L780" i="17" s="1"/>
  <c r="H781" i="17"/>
  <c r="M781" i="17" s="1" a="1"/>
  <c r="M781" i="17" s="1"/>
  <c r="I781" i="17"/>
  <c r="N781" i="17" s="1" a="1"/>
  <c r="N781" i="17" s="1"/>
  <c r="J781" i="17"/>
  <c r="K781" i="17"/>
  <c r="L781" i="17" s="1"/>
  <c r="H782" i="17"/>
  <c r="M782" i="17" s="1" a="1"/>
  <c r="M782" i="17" s="1"/>
  <c r="I782" i="17"/>
  <c r="N782" i="17" s="1" a="1"/>
  <c r="N782" i="17" s="1"/>
  <c r="J782" i="17"/>
  <c r="K782" i="17"/>
  <c r="L782" i="17" s="1"/>
  <c r="H783" i="17"/>
  <c r="M783" i="17" s="1" a="1"/>
  <c r="M783" i="17" s="1"/>
  <c r="I783" i="17"/>
  <c r="N783" i="17" s="1" a="1"/>
  <c r="N783" i="17" s="1"/>
  <c r="J783" i="17"/>
  <c r="K783" i="17"/>
  <c r="L783" i="17" s="1"/>
  <c r="H784" i="17"/>
  <c r="M784" i="17" s="1" a="1"/>
  <c r="M784" i="17" s="1"/>
  <c r="I784" i="17"/>
  <c r="N784" i="17" s="1" a="1"/>
  <c r="N784" i="17" s="1"/>
  <c r="J784" i="17"/>
  <c r="K784" i="17"/>
  <c r="L784" i="17" s="1"/>
  <c r="H785" i="17"/>
  <c r="M785" i="17" s="1" a="1"/>
  <c r="M785" i="17" s="1"/>
  <c r="I785" i="17"/>
  <c r="N785" i="17" s="1" a="1"/>
  <c r="N785" i="17" s="1"/>
  <c r="J785" i="17"/>
  <c r="K785" i="17"/>
  <c r="L785" i="17" s="1"/>
  <c r="H786" i="17"/>
  <c r="M786" i="17" s="1" a="1"/>
  <c r="M786" i="17" s="1"/>
  <c r="I786" i="17"/>
  <c r="N786" i="17" s="1" a="1"/>
  <c r="N786" i="17" s="1"/>
  <c r="J786" i="17"/>
  <c r="K786" i="17"/>
  <c r="L786" i="17" s="1"/>
  <c r="H787" i="17"/>
  <c r="M787" i="17" s="1" a="1"/>
  <c r="M787" i="17" s="1"/>
  <c r="I787" i="17"/>
  <c r="N787" i="17" s="1" a="1"/>
  <c r="N787" i="17" s="1"/>
  <c r="J787" i="17"/>
  <c r="K787" i="17"/>
  <c r="L787" i="17" s="1"/>
  <c r="H788" i="17"/>
  <c r="M788" i="17" s="1" a="1"/>
  <c r="M788" i="17" s="1"/>
  <c r="I788" i="17"/>
  <c r="N788" i="17" s="1" a="1"/>
  <c r="N788" i="17" s="1"/>
  <c r="J788" i="17"/>
  <c r="K788" i="17"/>
  <c r="L788" i="17" s="1"/>
  <c r="H789" i="17"/>
  <c r="M789" i="17" s="1" a="1"/>
  <c r="M789" i="17" s="1"/>
  <c r="I789" i="17"/>
  <c r="N789" i="17" s="1" a="1"/>
  <c r="N789" i="17" s="1"/>
  <c r="J789" i="17"/>
  <c r="K789" i="17"/>
  <c r="L789" i="17" s="1"/>
  <c r="H790" i="17"/>
  <c r="M790" i="17" s="1" a="1"/>
  <c r="M790" i="17" s="1"/>
  <c r="I790" i="17"/>
  <c r="N790" i="17" s="1" a="1"/>
  <c r="N790" i="17" s="1"/>
  <c r="J790" i="17"/>
  <c r="K790" i="17"/>
  <c r="L790" i="17" s="1"/>
  <c r="H791" i="17"/>
  <c r="M791" i="17" s="1" a="1"/>
  <c r="M791" i="17" s="1"/>
  <c r="I791" i="17"/>
  <c r="N791" i="17" s="1" a="1"/>
  <c r="N791" i="17" s="1"/>
  <c r="J791" i="17"/>
  <c r="K791" i="17"/>
  <c r="L791" i="17" s="1"/>
  <c r="H792" i="17"/>
  <c r="M792" i="17" s="1" a="1"/>
  <c r="M792" i="17" s="1"/>
  <c r="I792" i="17"/>
  <c r="N792" i="17" s="1" a="1"/>
  <c r="N792" i="17" s="1"/>
  <c r="J792" i="17"/>
  <c r="K792" i="17"/>
  <c r="L792" i="17" s="1"/>
  <c r="H793" i="17"/>
  <c r="M793" i="17" s="1" a="1"/>
  <c r="M793" i="17" s="1"/>
  <c r="I793" i="17"/>
  <c r="N793" i="17" s="1" a="1"/>
  <c r="N793" i="17" s="1"/>
  <c r="J793" i="17"/>
  <c r="K793" i="17"/>
  <c r="L793" i="17" s="1"/>
  <c r="H794" i="17"/>
  <c r="M794" i="17" s="1" a="1"/>
  <c r="M794" i="17" s="1"/>
  <c r="I794" i="17"/>
  <c r="N794" i="17" s="1" a="1"/>
  <c r="N794" i="17" s="1"/>
  <c r="J794" i="17"/>
  <c r="K794" i="17"/>
  <c r="L794" i="17" s="1"/>
  <c r="H795" i="17"/>
  <c r="M795" i="17" s="1" a="1"/>
  <c r="M795" i="17" s="1"/>
  <c r="I795" i="17"/>
  <c r="N795" i="17" s="1" a="1"/>
  <c r="N795" i="17" s="1"/>
  <c r="J795" i="17"/>
  <c r="K795" i="17"/>
  <c r="L795" i="17" s="1"/>
  <c r="H796" i="17"/>
  <c r="M796" i="17" s="1" a="1"/>
  <c r="M796" i="17" s="1"/>
  <c r="I796" i="17"/>
  <c r="N796" i="17" s="1" a="1"/>
  <c r="N796" i="17" s="1"/>
  <c r="J796" i="17"/>
  <c r="K796" i="17"/>
  <c r="L796" i="17" s="1"/>
  <c r="H797" i="17"/>
  <c r="M797" i="17" s="1" a="1"/>
  <c r="M797" i="17" s="1"/>
  <c r="I797" i="17"/>
  <c r="N797" i="17" s="1" a="1"/>
  <c r="N797" i="17" s="1"/>
  <c r="J797" i="17"/>
  <c r="K797" i="17"/>
  <c r="L797" i="17" s="1"/>
  <c r="H798" i="17"/>
  <c r="M798" i="17" s="1" a="1"/>
  <c r="M798" i="17" s="1"/>
  <c r="I798" i="17"/>
  <c r="N798" i="17" s="1" a="1"/>
  <c r="N798" i="17" s="1"/>
  <c r="J798" i="17"/>
  <c r="K798" i="17"/>
  <c r="L798" i="17" s="1"/>
  <c r="H799" i="17"/>
  <c r="M799" i="17" s="1" a="1"/>
  <c r="M799" i="17" s="1"/>
  <c r="I799" i="17"/>
  <c r="N799" i="17" s="1" a="1"/>
  <c r="N799" i="17" s="1"/>
  <c r="J799" i="17"/>
  <c r="K799" i="17"/>
  <c r="L799" i="17" s="1"/>
  <c r="H800" i="17"/>
  <c r="M800" i="17" s="1" a="1"/>
  <c r="M800" i="17" s="1"/>
  <c r="I800" i="17"/>
  <c r="N800" i="17" s="1" a="1"/>
  <c r="N800" i="17" s="1"/>
  <c r="J800" i="17"/>
  <c r="K800" i="17"/>
  <c r="L800" i="17" s="1"/>
  <c r="H801" i="17"/>
  <c r="M801" i="17" s="1" a="1"/>
  <c r="M801" i="17" s="1"/>
  <c r="I801" i="17"/>
  <c r="N801" i="17" s="1" a="1"/>
  <c r="N801" i="17" s="1"/>
  <c r="J801" i="17"/>
  <c r="K801" i="17"/>
  <c r="L801" i="17" s="1"/>
  <c r="H802" i="17"/>
  <c r="M802" i="17" s="1" a="1"/>
  <c r="M802" i="17" s="1"/>
  <c r="I802" i="17"/>
  <c r="N802" i="17" s="1" a="1"/>
  <c r="N802" i="17" s="1"/>
  <c r="J802" i="17"/>
  <c r="K802" i="17"/>
  <c r="L802" i="17" s="1"/>
  <c r="H803" i="17"/>
  <c r="M803" i="17" s="1" a="1"/>
  <c r="M803" i="17" s="1"/>
  <c r="I803" i="17"/>
  <c r="N803" i="17" s="1" a="1"/>
  <c r="N803" i="17" s="1"/>
  <c r="J803" i="17"/>
  <c r="K803" i="17"/>
  <c r="L803" i="17" s="1"/>
  <c r="H804" i="17"/>
  <c r="M804" i="17" s="1" a="1"/>
  <c r="M804" i="17" s="1"/>
  <c r="I804" i="17"/>
  <c r="N804" i="17" s="1" a="1"/>
  <c r="N804" i="17" s="1"/>
  <c r="J804" i="17"/>
  <c r="K804" i="17"/>
  <c r="L804" i="17" s="1"/>
  <c r="H805" i="17"/>
  <c r="M805" i="17" s="1" a="1"/>
  <c r="M805" i="17" s="1"/>
  <c r="I805" i="17"/>
  <c r="N805" i="17" s="1" a="1"/>
  <c r="N805" i="17" s="1"/>
  <c r="J805" i="17"/>
  <c r="K805" i="17"/>
  <c r="L805" i="17" s="1"/>
  <c r="H806" i="17"/>
  <c r="M806" i="17" s="1" a="1"/>
  <c r="M806" i="17" s="1"/>
  <c r="I806" i="17"/>
  <c r="N806" i="17" s="1" a="1"/>
  <c r="N806" i="17" s="1"/>
  <c r="J806" i="17"/>
  <c r="K806" i="17"/>
  <c r="L806" i="17" s="1"/>
  <c r="H807" i="17"/>
  <c r="M807" i="17" s="1" a="1"/>
  <c r="M807" i="17" s="1"/>
  <c r="I807" i="17"/>
  <c r="N807" i="17" s="1" a="1"/>
  <c r="N807" i="17" s="1"/>
  <c r="J807" i="17"/>
  <c r="K807" i="17"/>
  <c r="L807" i="17" s="1"/>
  <c r="H808" i="17"/>
  <c r="M808" i="17" s="1" a="1"/>
  <c r="M808" i="17" s="1"/>
  <c r="I808" i="17"/>
  <c r="N808" i="17" s="1" a="1"/>
  <c r="N808" i="17" s="1"/>
  <c r="J808" i="17"/>
  <c r="K808" i="17"/>
  <c r="L808" i="17" s="1"/>
  <c r="H809" i="17"/>
  <c r="M809" i="17" s="1" a="1"/>
  <c r="M809" i="17" s="1"/>
  <c r="I809" i="17"/>
  <c r="N809" i="17" s="1" a="1"/>
  <c r="N809" i="17" s="1"/>
  <c r="J809" i="17"/>
  <c r="K809" i="17"/>
  <c r="L809" i="17" s="1"/>
  <c r="H810" i="17"/>
  <c r="M810" i="17" s="1" a="1"/>
  <c r="M810" i="17" s="1"/>
  <c r="I810" i="17"/>
  <c r="N810" i="17" s="1" a="1"/>
  <c r="N810" i="17" s="1"/>
  <c r="J810" i="17"/>
  <c r="K810" i="17"/>
  <c r="L810" i="17" s="1"/>
  <c r="H811" i="17"/>
  <c r="M811" i="17" s="1" a="1"/>
  <c r="M811" i="17" s="1"/>
  <c r="I811" i="17"/>
  <c r="N811" i="17" s="1" a="1"/>
  <c r="N811" i="17" s="1"/>
  <c r="J811" i="17"/>
  <c r="K811" i="17"/>
  <c r="L811" i="17" s="1"/>
  <c r="H812" i="17"/>
  <c r="M812" i="17" s="1" a="1"/>
  <c r="M812" i="17" s="1"/>
  <c r="I812" i="17"/>
  <c r="N812" i="17" s="1" a="1"/>
  <c r="N812" i="17" s="1"/>
  <c r="J812" i="17"/>
  <c r="K812" i="17"/>
  <c r="L812" i="17" s="1"/>
  <c r="H813" i="17"/>
  <c r="M813" i="17" s="1" a="1"/>
  <c r="M813" i="17" s="1"/>
  <c r="I813" i="17"/>
  <c r="N813" i="17" s="1" a="1"/>
  <c r="N813" i="17" s="1"/>
  <c r="J813" i="17"/>
  <c r="K813" i="17"/>
  <c r="L813" i="17" s="1"/>
  <c r="H814" i="17"/>
  <c r="M814" i="17" s="1" a="1"/>
  <c r="M814" i="17" s="1"/>
  <c r="I814" i="17"/>
  <c r="N814" i="17" s="1" a="1"/>
  <c r="N814" i="17" s="1"/>
  <c r="J814" i="17"/>
  <c r="K814" i="17"/>
  <c r="L814" i="17" s="1"/>
  <c r="H815" i="17"/>
  <c r="M815" i="17" s="1" a="1"/>
  <c r="M815" i="17" s="1"/>
  <c r="I815" i="17"/>
  <c r="N815" i="17" s="1" a="1"/>
  <c r="N815" i="17" s="1"/>
  <c r="J815" i="17"/>
  <c r="K815" i="17"/>
  <c r="L815" i="17" s="1"/>
  <c r="H816" i="17"/>
  <c r="M816" i="17" s="1" a="1"/>
  <c r="M816" i="17" s="1"/>
  <c r="I816" i="17"/>
  <c r="N816" i="17" s="1" a="1"/>
  <c r="N816" i="17" s="1"/>
  <c r="J816" i="17"/>
  <c r="K816" i="17"/>
  <c r="L816" i="17" s="1"/>
  <c r="H817" i="17"/>
  <c r="M817" i="17" s="1" a="1"/>
  <c r="M817" i="17" s="1"/>
  <c r="I817" i="17"/>
  <c r="N817" i="17" s="1" a="1"/>
  <c r="N817" i="17" s="1"/>
  <c r="J817" i="17"/>
  <c r="K817" i="17"/>
  <c r="L817" i="17" s="1"/>
  <c r="H818" i="17"/>
  <c r="M818" i="17" s="1" a="1"/>
  <c r="M818" i="17" s="1"/>
  <c r="I818" i="17"/>
  <c r="N818" i="17" s="1" a="1"/>
  <c r="N818" i="17" s="1"/>
  <c r="J818" i="17"/>
  <c r="K818" i="17"/>
  <c r="L818" i="17" s="1"/>
  <c r="H819" i="17"/>
  <c r="M819" i="17" s="1" a="1"/>
  <c r="M819" i="17" s="1"/>
  <c r="I819" i="17"/>
  <c r="N819" i="17" s="1" a="1"/>
  <c r="N819" i="17" s="1"/>
  <c r="J819" i="17"/>
  <c r="K819" i="17"/>
  <c r="L819" i="17" s="1"/>
  <c r="H820" i="17"/>
  <c r="M820" i="17" s="1" a="1"/>
  <c r="M820" i="17" s="1"/>
  <c r="I820" i="17"/>
  <c r="N820" i="17" s="1" a="1"/>
  <c r="N820" i="17" s="1"/>
  <c r="J820" i="17"/>
  <c r="K820" i="17"/>
  <c r="L820" i="17" s="1"/>
  <c r="H821" i="17"/>
  <c r="M821" i="17" s="1" a="1"/>
  <c r="M821" i="17" s="1"/>
  <c r="I821" i="17"/>
  <c r="N821" i="17" s="1" a="1"/>
  <c r="N821" i="17" s="1"/>
  <c r="J821" i="17"/>
  <c r="K821" i="17"/>
  <c r="L821" i="17" s="1"/>
  <c r="H822" i="17"/>
  <c r="M822" i="17" s="1" a="1"/>
  <c r="M822" i="17" s="1"/>
  <c r="I822" i="17"/>
  <c r="N822" i="17" s="1" a="1"/>
  <c r="N822" i="17" s="1"/>
  <c r="J822" i="17"/>
  <c r="K822" i="17"/>
  <c r="L822" i="17" s="1"/>
  <c r="H823" i="17"/>
  <c r="M823" i="17" s="1" a="1"/>
  <c r="M823" i="17" s="1"/>
  <c r="I823" i="17"/>
  <c r="N823" i="17" s="1" a="1"/>
  <c r="N823" i="17" s="1"/>
  <c r="J823" i="17"/>
  <c r="K823" i="17"/>
  <c r="L823" i="17" s="1"/>
  <c r="H824" i="17"/>
  <c r="M824" i="17" s="1" a="1"/>
  <c r="M824" i="17" s="1"/>
  <c r="I824" i="17"/>
  <c r="N824" i="17" s="1" a="1"/>
  <c r="N824" i="17" s="1"/>
  <c r="J824" i="17"/>
  <c r="K824" i="17"/>
  <c r="L824" i="17" s="1"/>
  <c r="H825" i="17"/>
  <c r="M825" i="17" s="1" a="1"/>
  <c r="M825" i="17" s="1"/>
  <c r="I825" i="17"/>
  <c r="N825" i="17" s="1" a="1"/>
  <c r="N825" i="17" s="1"/>
  <c r="J825" i="17"/>
  <c r="K825" i="17"/>
  <c r="L825" i="17" s="1"/>
  <c r="H826" i="17"/>
  <c r="M826" i="17" s="1" a="1"/>
  <c r="M826" i="17" s="1"/>
  <c r="I826" i="17"/>
  <c r="N826" i="17" s="1" a="1"/>
  <c r="N826" i="17" s="1"/>
  <c r="J826" i="17"/>
  <c r="K826" i="17"/>
  <c r="L826" i="17" s="1"/>
  <c r="H827" i="17"/>
  <c r="M827" i="17" s="1" a="1"/>
  <c r="M827" i="17" s="1"/>
  <c r="I827" i="17"/>
  <c r="N827" i="17" s="1" a="1"/>
  <c r="N827" i="17" s="1"/>
  <c r="J827" i="17"/>
  <c r="K827" i="17"/>
  <c r="L827" i="17" s="1"/>
  <c r="H828" i="17"/>
  <c r="M828" i="17" s="1" a="1"/>
  <c r="M828" i="17" s="1"/>
  <c r="I828" i="17"/>
  <c r="N828" i="17" s="1" a="1"/>
  <c r="N828" i="17" s="1"/>
  <c r="J828" i="17"/>
  <c r="K828" i="17"/>
  <c r="L828" i="17" s="1"/>
  <c r="H829" i="17"/>
  <c r="M829" i="17" s="1" a="1"/>
  <c r="M829" i="17" s="1"/>
  <c r="I829" i="17"/>
  <c r="N829" i="17" s="1" a="1"/>
  <c r="N829" i="17" s="1"/>
  <c r="J829" i="17"/>
  <c r="K829" i="17"/>
  <c r="L829" i="17" s="1"/>
  <c r="H830" i="17"/>
  <c r="M830" i="17" s="1" a="1"/>
  <c r="M830" i="17" s="1"/>
  <c r="I830" i="17"/>
  <c r="N830" i="17" s="1" a="1"/>
  <c r="N830" i="17" s="1"/>
  <c r="J830" i="17"/>
  <c r="K830" i="17"/>
  <c r="L830" i="17" s="1"/>
  <c r="H831" i="17"/>
  <c r="M831" i="17" s="1" a="1"/>
  <c r="M831" i="17" s="1"/>
  <c r="I831" i="17"/>
  <c r="N831" i="17" s="1" a="1"/>
  <c r="N831" i="17" s="1"/>
  <c r="J831" i="17"/>
  <c r="K831" i="17"/>
  <c r="L831" i="17" s="1"/>
  <c r="H832" i="17"/>
  <c r="M832" i="17" s="1" a="1"/>
  <c r="M832" i="17" s="1"/>
  <c r="I832" i="17"/>
  <c r="N832" i="17" s="1" a="1"/>
  <c r="N832" i="17" s="1"/>
  <c r="J832" i="17"/>
  <c r="K832" i="17"/>
  <c r="L832" i="17" s="1"/>
  <c r="H833" i="17"/>
  <c r="M833" i="17" s="1" a="1"/>
  <c r="M833" i="17" s="1"/>
  <c r="I833" i="17"/>
  <c r="N833" i="17" s="1" a="1"/>
  <c r="N833" i="17" s="1"/>
  <c r="J833" i="17"/>
  <c r="K833" i="17"/>
  <c r="L833" i="17" s="1"/>
  <c r="H834" i="17"/>
  <c r="M834" i="17" s="1" a="1"/>
  <c r="M834" i="17" s="1"/>
  <c r="I834" i="17"/>
  <c r="N834" i="17" s="1" a="1"/>
  <c r="N834" i="17" s="1"/>
  <c r="J834" i="17"/>
  <c r="K834" i="17"/>
  <c r="L834" i="17" s="1"/>
  <c r="H835" i="17"/>
  <c r="M835" i="17" s="1" a="1"/>
  <c r="M835" i="17" s="1"/>
  <c r="I835" i="17"/>
  <c r="N835" i="17" s="1" a="1"/>
  <c r="N835" i="17" s="1"/>
  <c r="J835" i="17"/>
  <c r="K835" i="17"/>
  <c r="L835" i="17" s="1"/>
  <c r="H836" i="17"/>
  <c r="M836" i="17" s="1" a="1"/>
  <c r="M836" i="17" s="1"/>
  <c r="I836" i="17"/>
  <c r="N836" i="17" s="1" a="1"/>
  <c r="N836" i="17" s="1"/>
  <c r="J836" i="17"/>
  <c r="K836" i="17"/>
  <c r="L836" i="17" s="1"/>
  <c r="H837" i="17"/>
  <c r="M837" i="17" s="1" a="1"/>
  <c r="M837" i="17" s="1"/>
  <c r="I837" i="17"/>
  <c r="N837" i="17" s="1" a="1"/>
  <c r="N837" i="17" s="1"/>
  <c r="J837" i="17"/>
  <c r="K837" i="17"/>
  <c r="L837" i="17" s="1"/>
  <c r="H838" i="17"/>
  <c r="M838" i="17" s="1" a="1"/>
  <c r="M838" i="17" s="1"/>
  <c r="I838" i="17"/>
  <c r="N838" i="17" s="1" a="1"/>
  <c r="N838" i="17" s="1"/>
  <c r="J838" i="17"/>
  <c r="K838" i="17"/>
  <c r="L838" i="17" s="1"/>
  <c r="H839" i="17"/>
  <c r="M839" i="17" s="1" a="1"/>
  <c r="M839" i="17" s="1"/>
  <c r="I839" i="17"/>
  <c r="N839" i="17" s="1" a="1"/>
  <c r="N839" i="17" s="1"/>
  <c r="J839" i="17"/>
  <c r="K839" i="17"/>
  <c r="L839" i="17" s="1"/>
  <c r="H840" i="17"/>
  <c r="M840" i="17" s="1" a="1"/>
  <c r="M840" i="17" s="1"/>
  <c r="I840" i="17"/>
  <c r="N840" i="17" s="1" a="1"/>
  <c r="N840" i="17" s="1"/>
  <c r="J840" i="17"/>
  <c r="K840" i="17"/>
  <c r="L840" i="17" s="1"/>
  <c r="H841" i="17"/>
  <c r="M841" i="17" s="1" a="1"/>
  <c r="M841" i="17" s="1"/>
  <c r="I841" i="17"/>
  <c r="N841" i="17" s="1" a="1"/>
  <c r="N841" i="17" s="1"/>
  <c r="J841" i="17"/>
  <c r="K841" i="17"/>
  <c r="L841" i="17" s="1"/>
  <c r="H842" i="17"/>
  <c r="M842" i="17" s="1" a="1"/>
  <c r="M842" i="17" s="1"/>
  <c r="I842" i="17"/>
  <c r="N842" i="17" s="1" a="1"/>
  <c r="N842" i="17" s="1"/>
  <c r="J842" i="17"/>
  <c r="K842" i="17"/>
  <c r="L842" i="17" s="1"/>
  <c r="H843" i="17"/>
  <c r="M843" i="17" s="1" a="1"/>
  <c r="M843" i="17" s="1"/>
  <c r="I843" i="17"/>
  <c r="N843" i="17" s="1" a="1"/>
  <c r="N843" i="17" s="1"/>
  <c r="J843" i="17"/>
  <c r="K843" i="17"/>
  <c r="L843" i="17" s="1"/>
  <c r="H844" i="17"/>
  <c r="M844" i="17" s="1" a="1"/>
  <c r="M844" i="17" s="1"/>
  <c r="I844" i="17"/>
  <c r="N844" i="17" s="1" a="1"/>
  <c r="N844" i="17" s="1"/>
  <c r="J844" i="17"/>
  <c r="K844" i="17"/>
  <c r="L844" i="17" s="1"/>
  <c r="H845" i="17"/>
  <c r="M845" i="17" s="1" a="1"/>
  <c r="M845" i="17" s="1"/>
  <c r="I845" i="17"/>
  <c r="N845" i="17" s="1" a="1"/>
  <c r="N845" i="17" s="1"/>
  <c r="J845" i="17"/>
  <c r="K845" i="17"/>
  <c r="L845" i="17" s="1"/>
  <c r="H846" i="17"/>
  <c r="M846" i="17" s="1" a="1"/>
  <c r="M846" i="17" s="1"/>
  <c r="I846" i="17"/>
  <c r="N846" i="17" s="1" a="1"/>
  <c r="N846" i="17" s="1"/>
  <c r="J846" i="17"/>
  <c r="K846" i="17"/>
  <c r="L846" i="17" s="1"/>
  <c r="H847" i="17"/>
  <c r="M847" i="17" s="1" a="1"/>
  <c r="M847" i="17" s="1"/>
  <c r="I847" i="17"/>
  <c r="N847" i="17" s="1" a="1"/>
  <c r="N847" i="17" s="1"/>
  <c r="J847" i="17"/>
  <c r="K847" i="17"/>
  <c r="L847" i="17" s="1"/>
  <c r="H848" i="17"/>
  <c r="M848" i="17" s="1" a="1"/>
  <c r="M848" i="17" s="1"/>
  <c r="I848" i="17"/>
  <c r="N848" i="17" s="1" a="1"/>
  <c r="N848" i="17" s="1"/>
  <c r="J848" i="17"/>
  <c r="K848" i="17"/>
  <c r="L848" i="17" s="1"/>
  <c r="H849" i="17"/>
  <c r="M849" i="17" s="1" a="1"/>
  <c r="M849" i="17" s="1"/>
  <c r="I849" i="17"/>
  <c r="N849" i="17" s="1" a="1"/>
  <c r="N849" i="17" s="1"/>
  <c r="J849" i="17"/>
  <c r="K849" i="17"/>
  <c r="L849" i="17" s="1"/>
  <c r="H850" i="17"/>
  <c r="M850" i="17" s="1" a="1"/>
  <c r="M850" i="17" s="1"/>
  <c r="I850" i="17"/>
  <c r="N850" i="17" s="1" a="1"/>
  <c r="N850" i="17" s="1"/>
  <c r="J850" i="17"/>
  <c r="K850" i="17"/>
  <c r="L850" i="17" s="1"/>
  <c r="H851" i="17"/>
  <c r="M851" i="17" s="1" a="1"/>
  <c r="M851" i="17" s="1"/>
  <c r="I851" i="17"/>
  <c r="N851" i="17" s="1" a="1"/>
  <c r="N851" i="17" s="1"/>
  <c r="J851" i="17"/>
  <c r="K851" i="17"/>
  <c r="L851" i="17" s="1"/>
  <c r="H852" i="17"/>
  <c r="M852" i="17" s="1" a="1"/>
  <c r="M852" i="17" s="1"/>
  <c r="I852" i="17"/>
  <c r="N852" i="17" s="1" a="1"/>
  <c r="N852" i="17" s="1"/>
  <c r="J852" i="17"/>
  <c r="K852" i="17"/>
  <c r="L852" i="17" s="1"/>
  <c r="H853" i="17"/>
  <c r="M853" i="17" s="1" a="1"/>
  <c r="M853" i="17" s="1"/>
  <c r="I853" i="17"/>
  <c r="N853" i="17" s="1" a="1"/>
  <c r="N853" i="17" s="1"/>
  <c r="J853" i="17"/>
  <c r="K853" i="17"/>
  <c r="L853" i="17" s="1"/>
  <c r="H854" i="17"/>
  <c r="M854" i="17" s="1" a="1"/>
  <c r="M854" i="17" s="1"/>
  <c r="I854" i="17"/>
  <c r="N854" i="17" s="1" a="1"/>
  <c r="N854" i="17" s="1"/>
  <c r="J854" i="17"/>
  <c r="K854" i="17"/>
  <c r="L854" i="17" s="1"/>
  <c r="H855" i="17"/>
  <c r="M855" i="17" s="1" a="1"/>
  <c r="M855" i="17" s="1"/>
  <c r="I855" i="17"/>
  <c r="N855" i="17" s="1" a="1"/>
  <c r="N855" i="17" s="1"/>
  <c r="J855" i="17"/>
  <c r="K855" i="17"/>
  <c r="L855" i="17" s="1"/>
  <c r="H856" i="17"/>
  <c r="M856" i="17" s="1" a="1"/>
  <c r="M856" i="17" s="1"/>
  <c r="I856" i="17"/>
  <c r="N856" i="17" s="1" a="1"/>
  <c r="N856" i="17" s="1"/>
  <c r="J856" i="17"/>
  <c r="K856" i="17"/>
  <c r="L856" i="17" s="1"/>
  <c r="H857" i="17"/>
  <c r="M857" i="17" s="1" a="1"/>
  <c r="M857" i="17" s="1"/>
  <c r="I857" i="17"/>
  <c r="N857" i="17" s="1" a="1"/>
  <c r="N857" i="17" s="1"/>
  <c r="J857" i="17"/>
  <c r="K857" i="17"/>
  <c r="L857" i="17" s="1"/>
  <c r="H858" i="17"/>
  <c r="M858" i="17" s="1" a="1"/>
  <c r="M858" i="17" s="1"/>
  <c r="I858" i="17"/>
  <c r="N858" i="17" s="1" a="1"/>
  <c r="N858" i="17" s="1"/>
  <c r="J858" i="17"/>
  <c r="K858" i="17"/>
  <c r="L858" i="17" s="1"/>
  <c r="H859" i="17"/>
  <c r="M859" i="17" s="1" a="1"/>
  <c r="M859" i="17" s="1"/>
  <c r="I859" i="17"/>
  <c r="N859" i="17" s="1" a="1"/>
  <c r="N859" i="17" s="1"/>
  <c r="J859" i="17"/>
  <c r="K859" i="17"/>
  <c r="L859" i="17" s="1"/>
  <c r="H860" i="17"/>
  <c r="M860" i="17" s="1" a="1"/>
  <c r="M860" i="17" s="1"/>
  <c r="I860" i="17"/>
  <c r="N860" i="17" s="1" a="1"/>
  <c r="N860" i="17" s="1"/>
  <c r="J860" i="17"/>
  <c r="K860" i="17"/>
  <c r="L860" i="17" s="1"/>
  <c r="H861" i="17"/>
  <c r="M861" i="17" s="1" a="1"/>
  <c r="M861" i="17" s="1"/>
  <c r="I861" i="17"/>
  <c r="N861" i="17" s="1" a="1"/>
  <c r="N861" i="17" s="1"/>
  <c r="J861" i="17"/>
  <c r="K861" i="17"/>
  <c r="L861" i="17" s="1"/>
  <c r="H862" i="17"/>
  <c r="M862" i="17" s="1" a="1"/>
  <c r="M862" i="17" s="1"/>
  <c r="I862" i="17"/>
  <c r="N862" i="17" s="1" a="1"/>
  <c r="N862" i="17" s="1"/>
  <c r="J862" i="17"/>
  <c r="K862" i="17"/>
  <c r="L862" i="17" s="1"/>
  <c r="H863" i="17"/>
  <c r="M863" i="17" s="1" a="1"/>
  <c r="M863" i="17" s="1"/>
  <c r="I863" i="17"/>
  <c r="N863" i="17" s="1" a="1"/>
  <c r="N863" i="17" s="1"/>
  <c r="J863" i="17"/>
  <c r="K863" i="17"/>
  <c r="L863" i="17" s="1"/>
  <c r="H864" i="17"/>
  <c r="M864" i="17" s="1" a="1"/>
  <c r="M864" i="17" s="1"/>
  <c r="I864" i="17"/>
  <c r="N864" i="17" s="1" a="1"/>
  <c r="N864" i="17" s="1"/>
  <c r="J864" i="17"/>
  <c r="K864" i="17"/>
  <c r="L864" i="17" s="1"/>
  <c r="H865" i="17"/>
  <c r="M865" i="17" s="1" a="1"/>
  <c r="M865" i="17" s="1"/>
  <c r="I865" i="17"/>
  <c r="N865" i="17" s="1" a="1"/>
  <c r="N865" i="17" s="1"/>
  <c r="J865" i="17"/>
  <c r="K865" i="17"/>
  <c r="L865" i="17" s="1"/>
  <c r="H866" i="17"/>
  <c r="M866" i="17" s="1" a="1"/>
  <c r="M866" i="17" s="1"/>
  <c r="I866" i="17"/>
  <c r="N866" i="17" s="1" a="1"/>
  <c r="N866" i="17" s="1"/>
  <c r="J866" i="17"/>
  <c r="K866" i="17"/>
  <c r="L866" i="17" s="1"/>
  <c r="H867" i="17"/>
  <c r="M867" i="17" s="1" a="1"/>
  <c r="M867" i="17" s="1"/>
  <c r="I867" i="17"/>
  <c r="N867" i="17" s="1" a="1"/>
  <c r="N867" i="17" s="1"/>
  <c r="J867" i="17"/>
  <c r="K867" i="17"/>
  <c r="L867" i="17" s="1"/>
  <c r="H868" i="17"/>
  <c r="M868" i="17" s="1" a="1"/>
  <c r="M868" i="17" s="1"/>
  <c r="I868" i="17"/>
  <c r="N868" i="17" s="1" a="1"/>
  <c r="N868" i="17" s="1"/>
  <c r="J868" i="17"/>
  <c r="K868" i="17"/>
  <c r="L868" i="17" s="1"/>
  <c r="H869" i="17"/>
  <c r="M869" i="17" s="1" a="1"/>
  <c r="M869" i="17" s="1"/>
  <c r="I869" i="17"/>
  <c r="N869" i="17" s="1" a="1"/>
  <c r="N869" i="17" s="1"/>
  <c r="J869" i="17"/>
  <c r="K869" i="17"/>
  <c r="L869" i="17" s="1"/>
  <c r="H870" i="17"/>
  <c r="M870" i="17" s="1" a="1"/>
  <c r="M870" i="17" s="1"/>
  <c r="I870" i="17"/>
  <c r="N870" i="17" s="1" a="1"/>
  <c r="N870" i="17" s="1"/>
  <c r="J870" i="17"/>
  <c r="K870" i="17"/>
  <c r="L870" i="17" s="1"/>
  <c r="H871" i="17"/>
  <c r="M871" i="17" s="1" a="1"/>
  <c r="M871" i="17" s="1"/>
  <c r="I871" i="17"/>
  <c r="N871" i="17" s="1" a="1"/>
  <c r="N871" i="17" s="1"/>
  <c r="J871" i="17"/>
  <c r="K871" i="17"/>
  <c r="L871" i="17" s="1"/>
  <c r="H872" i="17"/>
  <c r="M872" i="17" s="1" a="1"/>
  <c r="M872" i="17" s="1"/>
  <c r="I872" i="17"/>
  <c r="N872" i="17" s="1" a="1"/>
  <c r="N872" i="17" s="1"/>
  <c r="J872" i="17"/>
  <c r="K872" i="17"/>
  <c r="L872" i="17" s="1"/>
  <c r="H873" i="17"/>
  <c r="M873" i="17" s="1" a="1"/>
  <c r="M873" i="17" s="1"/>
  <c r="I873" i="17"/>
  <c r="N873" i="17" s="1" a="1"/>
  <c r="N873" i="17" s="1"/>
  <c r="J873" i="17"/>
  <c r="K873" i="17"/>
  <c r="L873" i="17" s="1"/>
  <c r="H874" i="17"/>
  <c r="M874" i="17" s="1" a="1"/>
  <c r="M874" i="17" s="1"/>
  <c r="I874" i="17"/>
  <c r="N874" i="17" s="1" a="1"/>
  <c r="N874" i="17" s="1"/>
  <c r="J874" i="17"/>
  <c r="K874" i="17"/>
  <c r="L874" i="17" s="1"/>
  <c r="H875" i="17"/>
  <c r="M875" i="17" s="1" a="1"/>
  <c r="M875" i="17" s="1"/>
  <c r="I875" i="17"/>
  <c r="N875" i="17" s="1" a="1"/>
  <c r="N875" i="17" s="1"/>
  <c r="J875" i="17"/>
  <c r="K875" i="17"/>
  <c r="L875" i="17" s="1"/>
  <c r="H876" i="17"/>
  <c r="M876" i="17" s="1" a="1"/>
  <c r="M876" i="17" s="1"/>
  <c r="I876" i="17"/>
  <c r="N876" i="17" s="1" a="1"/>
  <c r="N876" i="17" s="1"/>
  <c r="J876" i="17"/>
  <c r="K876" i="17"/>
  <c r="L876" i="17" s="1"/>
  <c r="H877" i="17"/>
  <c r="M877" i="17" s="1" a="1"/>
  <c r="M877" i="17" s="1"/>
  <c r="I877" i="17"/>
  <c r="N877" i="17" s="1" a="1"/>
  <c r="N877" i="17" s="1"/>
  <c r="J877" i="17"/>
  <c r="K877" i="17"/>
  <c r="L877" i="17" s="1"/>
  <c r="H878" i="17"/>
  <c r="M878" i="17" s="1" a="1"/>
  <c r="M878" i="17" s="1"/>
  <c r="I878" i="17"/>
  <c r="N878" i="17" s="1" a="1"/>
  <c r="N878" i="17" s="1"/>
  <c r="J878" i="17"/>
  <c r="K878" i="17"/>
  <c r="L878" i="17" s="1"/>
  <c r="H879" i="17"/>
  <c r="M879" i="17" s="1" a="1"/>
  <c r="M879" i="17" s="1"/>
  <c r="I879" i="17"/>
  <c r="N879" i="17" s="1" a="1"/>
  <c r="N879" i="17" s="1"/>
  <c r="J879" i="17"/>
  <c r="K879" i="17"/>
  <c r="L879" i="17" s="1"/>
  <c r="H880" i="17"/>
  <c r="M880" i="17" s="1" a="1"/>
  <c r="M880" i="17" s="1"/>
  <c r="I880" i="17"/>
  <c r="N880" i="17" s="1" a="1"/>
  <c r="N880" i="17" s="1"/>
  <c r="J880" i="17"/>
  <c r="K880" i="17"/>
  <c r="L880" i="17" s="1"/>
  <c r="H881" i="17"/>
  <c r="M881" i="17" s="1" a="1"/>
  <c r="M881" i="17" s="1"/>
  <c r="I881" i="17"/>
  <c r="N881" i="17" s="1" a="1"/>
  <c r="N881" i="17" s="1"/>
  <c r="J881" i="17"/>
  <c r="K881" i="17"/>
  <c r="L881" i="17" s="1"/>
  <c r="H882" i="17"/>
  <c r="M882" i="17" s="1" a="1"/>
  <c r="M882" i="17" s="1"/>
  <c r="I882" i="17"/>
  <c r="N882" i="17" s="1" a="1"/>
  <c r="N882" i="17" s="1"/>
  <c r="J882" i="17"/>
  <c r="K882" i="17"/>
  <c r="L882" i="17" s="1"/>
  <c r="H883" i="17"/>
  <c r="M883" i="17" s="1" a="1"/>
  <c r="M883" i="17" s="1"/>
  <c r="I883" i="17"/>
  <c r="N883" i="17" s="1" a="1"/>
  <c r="N883" i="17" s="1"/>
  <c r="J883" i="17"/>
  <c r="K883" i="17"/>
  <c r="L883" i="17" s="1"/>
  <c r="H884" i="17"/>
  <c r="M884" i="17" s="1" a="1"/>
  <c r="M884" i="17" s="1"/>
  <c r="I884" i="17"/>
  <c r="N884" i="17" s="1" a="1"/>
  <c r="N884" i="17" s="1"/>
  <c r="J884" i="17"/>
  <c r="K884" i="17"/>
  <c r="L884" i="17" s="1"/>
  <c r="H885" i="17"/>
  <c r="M885" i="17" s="1" a="1"/>
  <c r="M885" i="17" s="1"/>
  <c r="I885" i="17"/>
  <c r="N885" i="17" s="1" a="1"/>
  <c r="N885" i="17" s="1"/>
  <c r="J885" i="17"/>
  <c r="K885" i="17"/>
  <c r="L885" i="17" s="1"/>
  <c r="H886" i="17"/>
  <c r="M886" i="17" s="1" a="1"/>
  <c r="M886" i="17" s="1"/>
  <c r="I886" i="17"/>
  <c r="N886" i="17" s="1" a="1"/>
  <c r="N886" i="17" s="1"/>
  <c r="J886" i="17"/>
  <c r="K886" i="17"/>
  <c r="L886" i="17" s="1"/>
  <c r="H887" i="17"/>
  <c r="M887" i="17" s="1" a="1"/>
  <c r="M887" i="17" s="1"/>
  <c r="I887" i="17"/>
  <c r="N887" i="17" s="1" a="1"/>
  <c r="N887" i="17" s="1"/>
  <c r="J887" i="17"/>
  <c r="K887" i="17"/>
  <c r="L887" i="17" s="1"/>
  <c r="H888" i="17"/>
  <c r="M888" i="17" s="1" a="1"/>
  <c r="M888" i="17" s="1"/>
  <c r="I888" i="17"/>
  <c r="N888" i="17" s="1" a="1"/>
  <c r="N888" i="17" s="1"/>
  <c r="J888" i="17"/>
  <c r="K888" i="17"/>
  <c r="L888" i="17" s="1"/>
  <c r="H889" i="17"/>
  <c r="M889" i="17" s="1" a="1"/>
  <c r="M889" i="17" s="1"/>
  <c r="I889" i="17"/>
  <c r="N889" i="17" s="1" a="1"/>
  <c r="N889" i="17" s="1"/>
  <c r="J889" i="17"/>
  <c r="K889" i="17"/>
  <c r="L889" i="17" s="1"/>
  <c r="H890" i="17"/>
  <c r="M890" i="17" s="1" a="1"/>
  <c r="M890" i="17" s="1"/>
  <c r="I890" i="17"/>
  <c r="N890" i="17" s="1" a="1"/>
  <c r="N890" i="17" s="1"/>
  <c r="J890" i="17"/>
  <c r="K890" i="17"/>
  <c r="L890" i="17" s="1"/>
  <c r="H891" i="17"/>
  <c r="M891" i="17" s="1" a="1"/>
  <c r="M891" i="17" s="1"/>
  <c r="I891" i="17"/>
  <c r="N891" i="17" s="1" a="1"/>
  <c r="N891" i="17" s="1"/>
  <c r="J891" i="17"/>
  <c r="K891" i="17"/>
  <c r="L891" i="17" s="1"/>
  <c r="H892" i="17"/>
  <c r="M892" i="17" s="1" a="1"/>
  <c r="M892" i="17" s="1"/>
  <c r="I892" i="17"/>
  <c r="N892" i="17" s="1" a="1"/>
  <c r="N892" i="17" s="1"/>
  <c r="J892" i="17"/>
  <c r="K892" i="17"/>
  <c r="L892" i="17" s="1"/>
  <c r="H893" i="17"/>
  <c r="M893" i="17" s="1" a="1"/>
  <c r="M893" i="17" s="1"/>
  <c r="I893" i="17"/>
  <c r="N893" i="17" s="1" a="1"/>
  <c r="N893" i="17" s="1"/>
  <c r="J893" i="17"/>
  <c r="K893" i="17"/>
  <c r="L893" i="17" s="1"/>
  <c r="H894" i="17"/>
  <c r="M894" i="17" s="1" a="1"/>
  <c r="M894" i="17" s="1"/>
  <c r="I894" i="17"/>
  <c r="N894" i="17" s="1" a="1"/>
  <c r="N894" i="17" s="1"/>
  <c r="J894" i="17"/>
  <c r="K894" i="17"/>
  <c r="L894" i="17" s="1"/>
  <c r="H895" i="17"/>
  <c r="M895" i="17" s="1" a="1"/>
  <c r="M895" i="17" s="1"/>
  <c r="I895" i="17"/>
  <c r="N895" i="17" s="1" a="1"/>
  <c r="N895" i="17" s="1"/>
  <c r="J895" i="17"/>
  <c r="K895" i="17"/>
  <c r="L895" i="17" s="1"/>
  <c r="H896" i="17"/>
  <c r="M896" i="17" s="1" a="1"/>
  <c r="M896" i="17" s="1"/>
  <c r="I896" i="17"/>
  <c r="N896" i="17" s="1" a="1"/>
  <c r="N896" i="17" s="1"/>
  <c r="J896" i="17"/>
  <c r="K896" i="17"/>
  <c r="L896" i="17" s="1"/>
  <c r="H897" i="17"/>
  <c r="M897" i="17" s="1" a="1"/>
  <c r="M897" i="17" s="1"/>
  <c r="I897" i="17"/>
  <c r="N897" i="17" s="1" a="1"/>
  <c r="N897" i="17" s="1"/>
  <c r="J897" i="17"/>
  <c r="K897" i="17"/>
  <c r="L897" i="17" s="1"/>
  <c r="H898" i="17"/>
  <c r="M898" i="17" s="1" a="1"/>
  <c r="M898" i="17" s="1"/>
  <c r="I898" i="17"/>
  <c r="N898" i="17" s="1" a="1"/>
  <c r="N898" i="17" s="1"/>
  <c r="J898" i="17"/>
  <c r="K898" i="17"/>
  <c r="L898" i="17" s="1"/>
  <c r="H899" i="17"/>
  <c r="M899" i="17" s="1" a="1"/>
  <c r="M899" i="17" s="1"/>
  <c r="I899" i="17"/>
  <c r="N899" i="17" s="1" a="1"/>
  <c r="N899" i="17" s="1"/>
  <c r="J899" i="17"/>
  <c r="K899" i="17"/>
  <c r="L899" i="17" s="1"/>
  <c r="H900" i="17"/>
  <c r="M900" i="17" s="1" a="1"/>
  <c r="M900" i="17" s="1"/>
  <c r="I900" i="17"/>
  <c r="N900" i="17" s="1" a="1"/>
  <c r="N900" i="17" s="1"/>
  <c r="J900" i="17"/>
  <c r="K900" i="17"/>
  <c r="L900" i="17" s="1"/>
  <c r="H901" i="17"/>
  <c r="M901" i="17" s="1" a="1"/>
  <c r="M901" i="17" s="1"/>
  <c r="I901" i="17"/>
  <c r="N901" i="17" s="1" a="1"/>
  <c r="N901" i="17" s="1"/>
  <c r="J901" i="17"/>
  <c r="K901" i="17"/>
  <c r="L901" i="17" s="1"/>
  <c r="H902" i="17"/>
  <c r="M902" i="17" s="1" a="1"/>
  <c r="M902" i="17" s="1"/>
  <c r="I902" i="17"/>
  <c r="N902" i="17" s="1" a="1"/>
  <c r="N902" i="17" s="1"/>
  <c r="J902" i="17"/>
  <c r="K902" i="17"/>
  <c r="L902" i="17" s="1"/>
  <c r="H903" i="17"/>
  <c r="M903" i="17" s="1" a="1"/>
  <c r="M903" i="17" s="1"/>
  <c r="I903" i="17"/>
  <c r="N903" i="17" s="1" a="1"/>
  <c r="N903" i="17" s="1"/>
  <c r="J903" i="17"/>
  <c r="K903" i="17"/>
  <c r="L903" i="17" s="1"/>
  <c r="H904" i="17"/>
  <c r="M904" i="17" s="1" a="1"/>
  <c r="M904" i="17" s="1"/>
  <c r="I904" i="17"/>
  <c r="N904" i="17" s="1" a="1"/>
  <c r="N904" i="17" s="1"/>
  <c r="J904" i="17"/>
  <c r="K904" i="17"/>
  <c r="L904" i="17" s="1"/>
  <c r="H905" i="17"/>
  <c r="M905" i="17" s="1" a="1"/>
  <c r="M905" i="17" s="1"/>
  <c r="I905" i="17"/>
  <c r="N905" i="17" s="1" a="1"/>
  <c r="N905" i="17" s="1"/>
  <c r="J905" i="17"/>
  <c r="K905" i="17"/>
  <c r="L905" i="17" s="1"/>
  <c r="H906" i="17"/>
  <c r="M906" i="17" s="1" a="1"/>
  <c r="M906" i="17" s="1"/>
  <c r="I906" i="17"/>
  <c r="N906" i="17" s="1" a="1"/>
  <c r="N906" i="17" s="1"/>
  <c r="J906" i="17"/>
  <c r="K906" i="17"/>
  <c r="L906" i="17" s="1"/>
  <c r="H907" i="17"/>
  <c r="M907" i="17" s="1" a="1"/>
  <c r="M907" i="17" s="1"/>
  <c r="I907" i="17"/>
  <c r="N907" i="17" s="1" a="1"/>
  <c r="N907" i="17" s="1"/>
  <c r="J907" i="17"/>
  <c r="K907" i="17"/>
  <c r="L907" i="17" s="1"/>
  <c r="H908" i="17"/>
  <c r="M908" i="17" s="1" a="1"/>
  <c r="M908" i="17" s="1"/>
  <c r="I908" i="17"/>
  <c r="N908" i="17" s="1" a="1"/>
  <c r="N908" i="17" s="1"/>
  <c r="J908" i="17"/>
  <c r="K908" i="17"/>
  <c r="L908" i="17" s="1"/>
  <c r="H909" i="17"/>
  <c r="M909" i="17" s="1" a="1"/>
  <c r="M909" i="17" s="1"/>
  <c r="I909" i="17"/>
  <c r="N909" i="17" s="1" a="1"/>
  <c r="N909" i="17" s="1"/>
  <c r="J909" i="17"/>
  <c r="K909" i="17"/>
  <c r="L909" i="17" s="1"/>
  <c r="H910" i="17"/>
  <c r="M910" i="17" s="1" a="1"/>
  <c r="M910" i="17" s="1"/>
  <c r="I910" i="17"/>
  <c r="N910" i="17" s="1" a="1"/>
  <c r="N910" i="17" s="1"/>
  <c r="J910" i="17"/>
  <c r="K910" i="17"/>
  <c r="L910" i="17" s="1"/>
  <c r="H911" i="17"/>
  <c r="M911" i="17" s="1" a="1"/>
  <c r="M911" i="17" s="1"/>
  <c r="I911" i="17"/>
  <c r="N911" i="17" s="1" a="1"/>
  <c r="N911" i="17" s="1"/>
  <c r="J911" i="17"/>
  <c r="K911" i="17"/>
  <c r="L911" i="17" s="1"/>
  <c r="H912" i="17"/>
  <c r="M912" i="17" s="1" a="1"/>
  <c r="M912" i="17" s="1"/>
  <c r="I912" i="17"/>
  <c r="N912" i="17" s="1" a="1"/>
  <c r="N912" i="17" s="1"/>
  <c r="J912" i="17"/>
  <c r="K912" i="17"/>
  <c r="L912" i="17" s="1"/>
  <c r="H913" i="17"/>
  <c r="M913" i="17" s="1" a="1"/>
  <c r="M913" i="17" s="1"/>
  <c r="I913" i="17"/>
  <c r="N913" i="17" s="1" a="1"/>
  <c r="N913" i="17" s="1"/>
  <c r="J913" i="17"/>
  <c r="K913" i="17"/>
  <c r="L913" i="17" s="1"/>
  <c r="H914" i="17"/>
  <c r="M914" i="17" s="1" a="1"/>
  <c r="M914" i="17" s="1"/>
  <c r="I914" i="17"/>
  <c r="N914" i="17" s="1" a="1"/>
  <c r="N914" i="17" s="1"/>
  <c r="J914" i="17"/>
  <c r="K914" i="17"/>
  <c r="L914" i="17" s="1"/>
  <c r="H915" i="17"/>
  <c r="M915" i="17" s="1" a="1"/>
  <c r="M915" i="17" s="1"/>
  <c r="I915" i="17"/>
  <c r="N915" i="17" s="1" a="1"/>
  <c r="N915" i="17" s="1"/>
  <c r="J915" i="17"/>
  <c r="K915" i="17"/>
  <c r="L915" i="17" s="1"/>
  <c r="H916" i="17"/>
  <c r="M916" i="17" s="1" a="1"/>
  <c r="M916" i="17" s="1"/>
  <c r="I916" i="17"/>
  <c r="N916" i="17" s="1" a="1"/>
  <c r="N916" i="17" s="1"/>
  <c r="J916" i="17"/>
  <c r="K916" i="17"/>
  <c r="L916" i="17" s="1"/>
  <c r="H917" i="17"/>
  <c r="M917" i="17" s="1" a="1"/>
  <c r="M917" i="17" s="1"/>
  <c r="I917" i="17"/>
  <c r="N917" i="17" s="1" a="1"/>
  <c r="N917" i="17" s="1"/>
  <c r="J917" i="17"/>
  <c r="K917" i="17"/>
  <c r="L917" i="17" s="1"/>
  <c r="H918" i="17"/>
  <c r="M918" i="17" s="1" a="1"/>
  <c r="M918" i="17" s="1"/>
  <c r="I918" i="17"/>
  <c r="N918" i="17" s="1" a="1"/>
  <c r="N918" i="17" s="1"/>
  <c r="J918" i="17"/>
  <c r="K918" i="17"/>
  <c r="L918" i="17" s="1"/>
  <c r="H919" i="17"/>
  <c r="M919" i="17" s="1" a="1"/>
  <c r="M919" i="17" s="1"/>
  <c r="I919" i="17"/>
  <c r="N919" i="17" s="1" a="1"/>
  <c r="N919" i="17" s="1"/>
  <c r="J919" i="17"/>
  <c r="K919" i="17"/>
  <c r="L919" i="17" s="1"/>
  <c r="H920" i="17"/>
  <c r="M920" i="17" s="1" a="1"/>
  <c r="M920" i="17" s="1"/>
  <c r="I920" i="17"/>
  <c r="N920" i="17" s="1" a="1"/>
  <c r="N920" i="17" s="1"/>
  <c r="J920" i="17"/>
  <c r="K920" i="17"/>
  <c r="L920" i="17" s="1"/>
  <c r="H921" i="17"/>
  <c r="M921" i="17" s="1" a="1"/>
  <c r="M921" i="17" s="1"/>
  <c r="I921" i="17"/>
  <c r="N921" i="17" s="1" a="1"/>
  <c r="N921" i="17" s="1"/>
  <c r="J921" i="17"/>
  <c r="K921" i="17"/>
  <c r="L921" i="17" s="1"/>
  <c r="H922" i="17"/>
  <c r="M922" i="17" s="1" a="1"/>
  <c r="M922" i="17" s="1"/>
  <c r="I922" i="17"/>
  <c r="N922" i="17" s="1" a="1"/>
  <c r="N922" i="17" s="1"/>
  <c r="J922" i="17"/>
  <c r="K922" i="17"/>
  <c r="L922" i="17" s="1"/>
  <c r="H923" i="17"/>
  <c r="M923" i="17" s="1" a="1"/>
  <c r="M923" i="17" s="1"/>
  <c r="I923" i="17"/>
  <c r="N923" i="17" s="1" a="1"/>
  <c r="N923" i="17" s="1"/>
  <c r="J923" i="17"/>
  <c r="K923" i="17"/>
  <c r="L923" i="17" s="1"/>
  <c r="H924" i="17"/>
  <c r="M924" i="17" s="1" a="1"/>
  <c r="M924" i="17" s="1"/>
  <c r="I924" i="17"/>
  <c r="N924" i="17" s="1" a="1"/>
  <c r="N924" i="17" s="1"/>
  <c r="J924" i="17"/>
  <c r="K924" i="17"/>
  <c r="L924" i="17" s="1"/>
  <c r="H925" i="17"/>
  <c r="M925" i="17" s="1" a="1"/>
  <c r="M925" i="17" s="1"/>
  <c r="I925" i="17"/>
  <c r="N925" i="17" s="1" a="1"/>
  <c r="N925" i="17" s="1"/>
  <c r="J925" i="17"/>
  <c r="K925" i="17"/>
  <c r="L925" i="17" s="1"/>
  <c r="H926" i="17"/>
  <c r="M926" i="17" s="1" a="1"/>
  <c r="M926" i="17" s="1"/>
  <c r="I926" i="17"/>
  <c r="N926" i="17" s="1" a="1"/>
  <c r="N926" i="17" s="1"/>
  <c r="J926" i="17"/>
  <c r="K926" i="17"/>
  <c r="L926" i="17" s="1"/>
  <c r="H927" i="17"/>
  <c r="M927" i="17" s="1" a="1"/>
  <c r="M927" i="17" s="1"/>
  <c r="I927" i="17"/>
  <c r="N927" i="17" s="1" a="1"/>
  <c r="N927" i="17" s="1"/>
  <c r="J927" i="17"/>
  <c r="K927" i="17"/>
  <c r="L927" i="17" s="1"/>
  <c r="H928" i="17"/>
  <c r="M928" i="17" s="1" a="1"/>
  <c r="M928" i="17" s="1"/>
  <c r="I928" i="17"/>
  <c r="N928" i="17" s="1" a="1"/>
  <c r="N928" i="17" s="1"/>
  <c r="J928" i="17"/>
  <c r="K928" i="17"/>
  <c r="L928" i="17" s="1"/>
  <c r="H929" i="17"/>
  <c r="M929" i="17" s="1" a="1"/>
  <c r="M929" i="17" s="1"/>
  <c r="I929" i="17"/>
  <c r="N929" i="17" s="1" a="1"/>
  <c r="N929" i="17" s="1"/>
  <c r="J929" i="17"/>
  <c r="K929" i="17"/>
  <c r="L929" i="17" s="1"/>
  <c r="H930" i="17"/>
  <c r="M930" i="17" s="1" a="1"/>
  <c r="M930" i="17" s="1"/>
  <c r="I930" i="17"/>
  <c r="N930" i="17" s="1" a="1"/>
  <c r="N930" i="17" s="1"/>
  <c r="J930" i="17"/>
  <c r="K930" i="17"/>
  <c r="L930" i="17" s="1"/>
  <c r="H931" i="17"/>
  <c r="M931" i="17" s="1" a="1"/>
  <c r="M931" i="17" s="1"/>
  <c r="I931" i="17"/>
  <c r="N931" i="17" s="1" a="1"/>
  <c r="N931" i="17" s="1"/>
  <c r="J931" i="17"/>
  <c r="K931" i="17"/>
  <c r="L931" i="17" s="1"/>
  <c r="H932" i="17"/>
  <c r="M932" i="17" s="1" a="1"/>
  <c r="M932" i="17" s="1"/>
  <c r="I932" i="17"/>
  <c r="N932" i="17" s="1" a="1"/>
  <c r="N932" i="17" s="1"/>
  <c r="J932" i="17"/>
  <c r="K932" i="17"/>
  <c r="L932" i="17" s="1"/>
  <c r="H933" i="17"/>
  <c r="M933" i="17" s="1" a="1"/>
  <c r="M933" i="17" s="1"/>
  <c r="I933" i="17"/>
  <c r="N933" i="17" s="1" a="1"/>
  <c r="N933" i="17" s="1"/>
  <c r="J933" i="17"/>
  <c r="K933" i="17"/>
  <c r="L933" i="17" s="1"/>
  <c r="H934" i="17"/>
  <c r="M934" i="17" s="1" a="1"/>
  <c r="M934" i="17" s="1"/>
  <c r="I934" i="17"/>
  <c r="N934" i="17" s="1" a="1"/>
  <c r="N934" i="17" s="1"/>
  <c r="J934" i="17"/>
  <c r="K934" i="17"/>
  <c r="L934" i="17" s="1"/>
  <c r="H935" i="17"/>
  <c r="M935" i="17" s="1" a="1"/>
  <c r="M935" i="17" s="1"/>
  <c r="I935" i="17"/>
  <c r="N935" i="17" s="1" a="1"/>
  <c r="N935" i="17" s="1"/>
  <c r="J935" i="17"/>
  <c r="K935" i="17"/>
  <c r="L935" i="17" s="1"/>
  <c r="H936" i="17"/>
  <c r="M936" i="17" s="1" a="1"/>
  <c r="M936" i="17" s="1"/>
  <c r="I936" i="17"/>
  <c r="N936" i="17" s="1" a="1"/>
  <c r="N936" i="17" s="1"/>
  <c r="J936" i="17"/>
  <c r="K936" i="17"/>
  <c r="L936" i="17" s="1"/>
  <c r="H937" i="17"/>
  <c r="M937" i="17" s="1" a="1"/>
  <c r="M937" i="17" s="1"/>
  <c r="I937" i="17"/>
  <c r="N937" i="17" s="1" a="1"/>
  <c r="N937" i="17" s="1"/>
  <c r="J937" i="17"/>
  <c r="K937" i="17"/>
  <c r="L937" i="17" s="1"/>
  <c r="H938" i="17"/>
  <c r="M938" i="17" s="1" a="1"/>
  <c r="M938" i="17" s="1"/>
  <c r="I938" i="17"/>
  <c r="N938" i="17" s="1" a="1"/>
  <c r="N938" i="17" s="1"/>
  <c r="J938" i="17"/>
  <c r="K938" i="17"/>
  <c r="L938" i="17" s="1"/>
  <c r="H939" i="17"/>
  <c r="M939" i="17" s="1" a="1"/>
  <c r="M939" i="17" s="1"/>
  <c r="I939" i="17"/>
  <c r="N939" i="17" s="1" a="1"/>
  <c r="N939" i="17" s="1"/>
  <c r="J939" i="17"/>
  <c r="K939" i="17"/>
  <c r="L939" i="17" s="1"/>
  <c r="H940" i="17"/>
  <c r="M940" i="17" s="1" a="1"/>
  <c r="M940" i="17" s="1"/>
  <c r="I940" i="17"/>
  <c r="N940" i="17" s="1" a="1"/>
  <c r="N940" i="17" s="1"/>
  <c r="J940" i="17"/>
  <c r="K940" i="17"/>
  <c r="L940" i="17" s="1"/>
  <c r="H941" i="17"/>
  <c r="M941" i="17" s="1" a="1"/>
  <c r="M941" i="17" s="1"/>
  <c r="I941" i="17"/>
  <c r="N941" i="17" s="1" a="1"/>
  <c r="N941" i="17" s="1"/>
  <c r="J941" i="17"/>
  <c r="K941" i="17"/>
  <c r="L941" i="17" s="1"/>
  <c r="H942" i="17"/>
  <c r="M942" i="17" s="1" a="1"/>
  <c r="M942" i="17" s="1"/>
  <c r="I942" i="17"/>
  <c r="N942" i="17" s="1" a="1"/>
  <c r="N942" i="17" s="1"/>
  <c r="J942" i="17"/>
  <c r="K942" i="17"/>
  <c r="L942" i="17" s="1"/>
  <c r="H943" i="17"/>
  <c r="M943" i="17" s="1" a="1"/>
  <c r="M943" i="17" s="1"/>
  <c r="I943" i="17"/>
  <c r="N943" i="17" s="1" a="1"/>
  <c r="N943" i="17" s="1"/>
  <c r="J943" i="17"/>
  <c r="K943" i="17"/>
  <c r="L943" i="17" s="1"/>
  <c r="H944" i="17"/>
  <c r="M944" i="17" s="1" a="1"/>
  <c r="M944" i="17" s="1"/>
  <c r="I944" i="17"/>
  <c r="N944" i="17" s="1" a="1"/>
  <c r="N944" i="17" s="1"/>
  <c r="J944" i="17"/>
  <c r="K944" i="17"/>
  <c r="L944" i="17" s="1"/>
  <c r="H945" i="17"/>
  <c r="M945" i="17" s="1" a="1"/>
  <c r="M945" i="17" s="1"/>
  <c r="I945" i="17"/>
  <c r="N945" i="17" s="1" a="1"/>
  <c r="N945" i="17" s="1"/>
  <c r="J945" i="17"/>
  <c r="K945" i="17"/>
  <c r="L945" i="17" s="1"/>
  <c r="H946" i="17"/>
  <c r="M946" i="17" s="1" a="1"/>
  <c r="M946" i="17" s="1"/>
  <c r="I946" i="17"/>
  <c r="N946" i="17" s="1" a="1"/>
  <c r="N946" i="17" s="1"/>
  <c r="J946" i="17"/>
  <c r="K946" i="17"/>
  <c r="L946" i="17" s="1"/>
  <c r="H947" i="17"/>
  <c r="M947" i="17" s="1" a="1"/>
  <c r="M947" i="17" s="1"/>
  <c r="I947" i="17"/>
  <c r="N947" i="17" s="1" a="1"/>
  <c r="N947" i="17" s="1"/>
  <c r="J947" i="17"/>
  <c r="K947" i="17"/>
  <c r="L947" i="17" s="1"/>
  <c r="H948" i="17"/>
  <c r="M948" i="17" s="1" a="1"/>
  <c r="M948" i="17" s="1"/>
  <c r="I948" i="17"/>
  <c r="N948" i="17" s="1" a="1"/>
  <c r="N948" i="17" s="1"/>
  <c r="J948" i="17"/>
  <c r="K948" i="17"/>
  <c r="L948" i="17" s="1"/>
  <c r="H949" i="17"/>
  <c r="M949" i="17" s="1" a="1"/>
  <c r="M949" i="17" s="1"/>
  <c r="I949" i="17"/>
  <c r="N949" i="17" s="1" a="1"/>
  <c r="N949" i="17" s="1"/>
  <c r="J949" i="17"/>
  <c r="K949" i="17"/>
  <c r="L949" i="17" s="1"/>
  <c r="H950" i="17"/>
  <c r="M950" i="17" s="1" a="1"/>
  <c r="M950" i="17" s="1"/>
  <c r="I950" i="17"/>
  <c r="N950" i="17" s="1" a="1"/>
  <c r="N950" i="17" s="1"/>
  <c r="J950" i="17"/>
  <c r="K950" i="17"/>
  <c r="L950" i="17" s="1"/>
  <c r="H951" i="17"/>
  <c r="M951" i="17" s="1" a="1"/>
  <c r="M951" i="17" s="1"/>
  <c r="I951" i="17"/>
  <c r="N951" i="17" s="1" a="1"/>
  <c r="N951" i="17" s="1"/>
  <c r="J951" i="17"/>
  <c r="K951" i="17"/>
  <c r="L951" i="17" s="1"/>
  <c r="H952" i="17"/>
  <c r="M952" i="17" s="1" a="1"/>
  <c r="M952" i="17" s="1"/>
  <c r="I952" i="17"/>
  <c r="N952" i="17" s="1" a="1"/>
  <c r="N952" i="17" s="1"/>
  <c r="J952" i="17"/>
  <c r="K952" i="17"/>
  <c r="L952" i="17" s="1"/>
  <c r="H953" i="17"/>
  <c r="M953" i="17" s="1" a="1"/>
  <c r="M953" i="17" s="1"/>
  <c r="I953" i="17"/>
  <c r="N953" i="17" s="1" a="1"/>
  <c r="N953" i="17" s="1"/>
  <c r="J953" i="17"/>
  <c r="K953" i="17"/>
  <c r="L953" i="17" s="1"/>
  <c r="H954" i="17"/>
  <c r="M954" i="17" s="1" a="1"/>
  <c r="M954" i="17" s="1"/>
  <c r="I954" i="17"/>
  <c r="N954" i="17" s="1" a="1"/>
  <c r="N954" i="17" s="1"/>
  <c r="J954" i="17"/>
  <c r="K954" i="17"/>
  <c r="L954" i="17" s="1"/>
  <c r="H955" i="17"/>
  <c r="M955" i="17" s="1" a="1"/>
  <c r="M955" i="17" s="1"/>
  <c r="I955" i="17"/>
  <c r="N955" i="17" s="1" a="1"/>
  <c r="N955" i="17" s="1"/>
  <c r="J955" i="17"/>
  <c r="K955" i="17"/>
  <c r="L955" i="17" s="1"/>
  <c r="H956" i="17"/>
  <c r="M956" i="17" s="1" a="1"/>
  <c r="M956" i="17" s="1"/>
  <c r="I956" i="17"/>
  <c r="N956" i="17" s="1" a="1"/>
  <c r="N956" i="17" s="1"/>
  <c r="J956" i="17"/>
  <c r="K956" i="17"/>
  <c r="L956" i="17" s="1"/>
  <c r="H957" i="17"/>
  <c r="M957" i="17" s="1" a="1"/>
  <c r="M957" i="17" s="1"/>
  <c r="I957" i="17"/>
  <c r="N957" i="17" s="1" a="1"/>
  <c r="N957" i="17" s="1"/>
  <c r="J957" i="17"/>
  <c r="K957" i="17"/>
  <c r="L957" i="17" s="1"/>
  <c r="H958" i="17"/>
  <c r="M958" i="17" s="1" a="1"/>
  <c r="M958" i="17" s="1"/>
  <c r="I958" i="17"/>
  <c r="N958" i="17" s="1" a="1"/>
  <c r="N958" i="17" s="1"/>
  <c r="J958" i="17"/>
  <c r="K958" i="17"/>
  <c r="L958" i="17" s="1"/>
  <c r="H959" i="17"/>
  <c r="M959" i="17" s="1" a="1"/>
  <c r="M959" i="17" s="1"/>
  <c r="I959" i="17"/>
  <c r="N959" i="17" s="1" a="1"/>
  <c r="N959" i="17" s="1"/>
  <c r="J959" i="17"/>
  <c r="K959" i="17"/>
  <c r="L959" i="17" s="1"/>
  <c r="H960" i="17"/>
  <c r="M960" i="17" s="1" a="1"/>
  <c r="M960" i="17" s="1"/>
  <c r="I960" i="17"/>
  <c r="N960" i="17" s="1" a="1"/>
  <c r="N960" i="17" s="1"/>
  <c r="J960" i="17"/>
  <c r="K960" i="17"/>
  <c r="L960" i="17" s="1"/>
  <c r="H961" i="17"/>
  <c r="M961" i="17" s="1" a="1"/>
  <c r="M961" i="17" s="1"/>
  <c r="I961" i="17"/>
  <c r="N961" i="17" s="1" a="1"/>
  <c r="N961" i="17" s="1"/>
  <c r="J961" i="17"/>
  <c r="K961" i="17"/>
  <c r="L961" i="17" s="1"/>
  <c r="H962" i="17"/>
  <c r="M962" i="17" s="1" a="1"/>
  <c r="M962" i="17" s="1"/>
  <c r="I962" i="17"/>
  <c r="N962" i="17" s="1" a="1"/>
  <c r="N962" i="17" s="1"/>
  <c r="J962" i="17"/>
  <c r="K962" i="17"/>
  <c r="L962" i="17" s="1"/>
  <c r="H963" i="17"/>
  <c r="M963" i="17" s="1" a="1"/>
  <c r="M963" i="17" s="1"/>
  <c r="I963" i="17"/>
  <c r="N963" i="17" s="1" a="1"/>
  <c r="N963" i="17" s="1"/>
  <c r="J963" i="17"/>
  <c r="K963" i="17"/>
  <c r="L963" i="17" s="1"/>
  <c r="H964" i="17"/>
  <c r="M964" i="17" s="1" a="1"/>
  <c r="M964" i="17" s="1"/>
  <c r="I964" i="17"/>
  <c r="N964" i="17" s="1" a="1"/>
  <c r="N964" i="17" s="1"/>
  <c r="J964" i="17"/>
  <c r="K964" i="17"/>
  <c r="L964" i="17" s="1"/>
  <c r="H965" i="17"/>
  <c r="M965" i="17" s="1" a="1"/>
  <c r="M965" i="17" s="1"/>
  <c r="I965" i="17"/>
  <c r="N965" i="17" s="1" a="1"/>
  <c r="N965" i="17" s="1"/>
  <c r="J965" i="17"/>
  <c r="K965" i="17"/>
  <c r="L965" i="17" s="1"/>
  <c r="H966" i="17"/>
  <c r="M966" i="17" s="1" a="1"/>
  <c r="M966" i="17" s="1"/>
  <c r="I966" i="17"/>
  <c r="N966" i="17" s="1" a="1"/>
  <c r="N966" i="17" s="1"/>
  <c r="J966" i="17"/>
  <c r="K966" i="17"/>
  <c r="L966" i="17" s="1"/>
  <c r="H967" i="17"/>
  <c r="M967" i="17" s="1" a="1"/>
  <c r="M967" i="17" s="1"/>
  <c r="I967" i="17"/>
  <c r="N967" i="17" s="1" a="1"/>
  <c r="N967" i="17" s="1"/>
  <c r="J967" i="17"/>
  <c r="K967" i="17"/>
  <c r="L967" i="17" s="1"/>
  <c r="H968" i="17"/>
  <c r="M968" i="17" s="1" a="1"/>
  <c r="M968" i="17" s="1"/>
  <c r="I968" i="17"/>
  <c r="N968" i="17" s="1" a="1"/>
  <c r="N968" i="17" s="1"/>
  <c r="J968" i="17"/>
  <c r="K968" i="17"/>
  <c r="L968" i="17" s="1"/>
  <c r="H969" i="17"/>
  <c r="M969" i="17" s="1" a="1"/>
  <c r="M969" i="17" s="1"/>
  <c r="I969" i="17"/>
  <c r="N969" i="17" s="1" a="1"/>
  <c r="N969" i="17" s="1"/>
  <c r="J969" i="17"/>
  <c r="K969" i="17"/>
  <c r="L969" i="17" s="1"/>
  <c r="H970" i="17"/>
  <c r="M970" i="17" s="1" a="1"/>
  <c r="M970" i="17" s="1"/>
  <c r="I970" i="17"/>
  <c r="N970" i="17" s="1" a="1"/>
  <c r="N970" i="17" s="1"/>
  <c r="J970" i="17"/>
  <c r="K970" i="17"/>
  <c r="L970" i="17" s="1"/>
  <c r="H971" i="17"/>
  <c r="M971" i="17" s="1" a="1"/>
  <c r="M971" i="17" s="1"/>
  <c r="I971" i="17"/>
  <c r="N971" i="17" s="1" a="1"/>
  <c r="N971" i="17" s="1"/>
  <c r="J971" i="17"/>
  <c r="K971" i="17"/>
  <c r="L971" i="17" s="1"/>
  <c r="H972" i="17"/>
  <c r="M972" i="17" s="1" a="1"/>
  <c r="M972" i="17" s="1"/>
  <c r="I972" i="17"/>
  <c r="N972" i="17" s="1" a="1"/>
  <c r="N972" i="17" s="1"/>
  <c r="J972" i="17"/>
  <c r="K972" i="17"/>
  <c r="L972" i="17" s="1"/>
  <c r="H973" i="17"/>
  <c r="M973" i="17" s="1" a="1"/>
  <c r="M973" i="17" s="1"/>
  <c r="I973" i="17"/>
  <c r="N973" i="17" s="1" a="1"/>
  <c r="N973" i="17" s="1"/>
  <c r="J973" i="17"/>
  <c r="K973" i="17"/>
  <c r="L973" i="17" s="1"/>
  <c r="H974" i="17"/>
  <c r="M974" i="17" s="1" a="1"/>
  <c r="M974" i="17" s="1"/>
  <c r="I974" i="17"/>
  <c r="N974" i="17" s="1" a="1"/>
  <c r="N974" i="17" s="1"/>
  <c r="J974" i="17"/>
  <c r="K974" i="17"/>
  <c r="L974" i="17" s="1"/>
  <c r="H975" i="17"/>
  <c r="M975" i="17" s="1" a="1"/>
  <c r="M975" i="17" s="1"/>
  <c r="I975" i="17"/>
  <c r="N975" i="17" s="1" a="1"/>
  <c r="N975" i="17" s="1"/>
  <c r="J975" i="17"/>
  <c r="K975" i="17"/>
  <c r="L975" i="17" s="1"/>
  <c r="H976" i="17"/>
  <c r="M976" i="17" s="1" a="1"/>
  <c r="M976" i="17" s="1"/>
  <c r="I976" i="17"/>
  <c r="N976" i="17" s="1" a="1"/>
  <c r="N976" i="17" s="1"/>
  <c r="J976" i="17"/>
  <c r="K976" i="17"/>
  <c r="L976" i="17" s="1"/>
  <c r="H977" i="17"/>
  <c r="M977" i="17" s="1" a="1"/>
  <c r="M977" i="17" s="1"/>
  <c r="I977" i="17"/>
  <c r="N977" i="17" s="1" a="1"/>
  <c r="N977" i="17" s="1"/>
  <c r="J977" i="17"/>
  <c r="K977" i="17"/>
  <c r="L977" i="17" s="1"/>
  <c r="H978" i="17"/>
  <c r="M978" i="17" s="1" a="1"/>
  <c r="M978" i="17" s="1"/>
  <c r="I978" i="17"/>
  <c r="N978" i="17" s="1" a="1"/>
  <c r="N978" i="17" s="1"/>
  <c r="J978" i="17"/>
  <c r="K978" i="17"/>
  <c r="L978" i="17" s="1"/>
  <c r="H979" i="17"/>
  <c r="M979" i="17" s="1" a="1"/>
  <c r="M979" i="17" s="1"/>
  <c r="I979" i="17"/>
  <c r="N979" i="17" s="1" a="1"/>
  <c r="N979" i="17" s="1"/>
  <c r="J979" i="17"/>
  <c r="K979" i="17"/>
  <c r="L979" i="17" s="1"/>
  <c r="H980" i="17"/>
  <c r="M980" i="17" s="1" a="1"/>
  <c r="M980" i="17" s="1"/>
  <c r="I980" i="17"/>
  <c r="N980" i="17" s="1" a="1"/>
  <c r="N980" i="17" s="1"/>
  <c r="J980" i="17"/>
  <c r="K980" i="17"/>
  <c r="L980" i="17" s="1"/>
  <c r="H981" i="17"/>
  <c r="M981" i="17" s="1" a="1"/>
  <c r="M981" i="17" s="1"/>
  <c r="I981" i="17"/>
  <c r="N981" i="17" s="1" a="1"/>
  <c r="N981" i="17" s="1"/>
  <c r="J981" i="17"/>
  <c r="K981" i="17"/>
  <c r="L981" i="17" s="1"/>
  <c r="H982" i="17"/>
  <c r="M982" i="17" s="1" a="1"/>
  <c r="M982" i="17" s="1"/>
  <c r="I982" i="17"/>
  <c r="N982" i="17" s="1" a="1"/>
  <c r="N982" i="17" s="1"/>
  <c r="J982" i="17"/>
  <c r="K982" i="17"/>
  <c r="L982" i="17" s="1"/>
  <c r="H983" i="17"/>
  <c r="M983" i="17" s="1" a="1"/>
  <c r="M983" i="17" s="1"/>
  <c r="I983" i="17"/>
  <c r="N983" i="17" s="1" a="1"/>
  <c r="N983" i="17" s="1"/>
  <c r="J983" i="17"/>
  <c r="K983" i="17"/>
  <c r="L983" i="17" s="1"/>
  <c r="H984" i="17"/>
  <c r="M984" i="17" s="1" a="1"/>
  <c r="M984" i="17" s="1"/>
  <c r="I984" i="17"/>
  <c r="N984" i="17" s="1" a="1"/>
  <c r="N984" i="17" s="1"/>
  <c r="J984" i="17"/>
  <c r="K984" i="17"/>
  <c r="L984" i="17" s="1"/>
  <c r="H985" i="17"/>
  <c r="M985" i="17" s="1" a="1"/>
  <c r="M985" i="17" s="1"/>
  <c r="I985" i="17"/>
  <c r="N985" i="17" s="1" a="1"/>
  <c r="N985" i="17" s="1"/>
  <c r="J985" i="17"/>
  <c r="K985" i="17"/>
  <c r="L985" i="17" s="1"/>
  <c r="H986" i="17"/>
  <c r="M986" i="17" s="1" a="1"/>
  <c r="M986" i="17" s="1"/>
  <c r="I986" i="17"/>
  <c r="N986" i="17" s="1" a="1"/>
  <c r="N986" i="17" s="1"/>
  <c r="J986" i="17"/>
  <c r="K986" i="17"/>
  <c r="L986" i="17" s="1"/>
  <c r="H987" i="17"/>
  <c r="M987" i="17" s="1" a="1"/>
  <c r="M987" i="17" s="1"/>
  <c r="I987" i="17"/>
  <c r="N987" i="17" s="1" a="1"/>
  <c r="N987" i="17" s="1"/>
  <c r="J987" i="17"/>
  <c r="K987" i="17"/>
  <c r="L987" i="17" s="1"/>
  <c r="H988" i="17"/>
  <c r="M988" i="17" s="1" a="1"/>
  <c r="M988" i="17" s="1"/>
  <c r="I988" i="17"/>
  <c r="N988" i="17" s="1" a="1"/>
  <c r="N988" i="17" s="1"/>
  <c r="J988" i="17"/>
  <c r="K988" i="17"/>
  <c r="L988" i="17" s="1"/>
  <c r="H989" i="17"/>
  <c r="M989" i="17" s="1" a="1"/>
  <c r="M989" i="17" s="1"/>
  <c r="I989" i="17"/>
  <c r="N989" i="17" s="1" a="1"/>
  <c r="N989" i="17" s="1"/>
  <c r="J989" i="17"/>
  <c r="K989" i="17"/>
  <c r="L989" i="17" s="1"/>
  <c r="H990" i="17"/>
  <c r="M990" i="17" s="1" a="1"/>
  <c r="M990" i="17" s="1"/>
  <c r="I990" i="17"/>
  <c r="N990" i="17" s="1" a="1"/>
  <c r="N990" i="17" s="1"/>
  <c r="J990" i="17"/>
  <c r="K990" i="17"/>
  <c r="L990" i="17" s="1"/>
  <c r="H991" i="17"/>
  <c r="M991" i="17" s="1" a="1"/>
  <c r="M991" i="17" s="1"/>
  <c r="I991" i="17"/>
  <c r="N991" i="17" s="1" a="1"/>
  <c r="N991" i="17" s="1"/>
  <c r="J991" i="17"/>
  <c r="K991" i="17"/>
  <c r="L991" i="17" s="1"/>
  <c r="H992" i="17"/>
  <c r="M992" i="17" s="1" a="1"/>
  <c r="M992" i="17" s="1"/>
  <c r="I992" i="17"/>
  <c r="N992" i="17" s="1" a="1"/>
  <c r="N992" i="17" s="1"/>
  <c r="J992" i="17"/>
  <c r="K992" i="17"/>
  <c r="L992" i="17" s="1"/>
  <c r="H993" i="17"/>
  <c r="M993" i="17" s="1" a="1"/>
  <c r="M993" i="17" s="1"/>
  <c r="I993" i="17"/>
  <c r="N993" i="17" s="1" a="1"/>
  <c r="N993" i="17" s="1"/>
  <c r="J993" i="17"/>
  <c r="K993" i="17"/>
  <c r="L993" i="17" s="1"/>
  <c r="H994" i="17"/>
  <c r="M994" i="17" s="1" a="1"/>
  <c r="M994" i="17" s="1"/>
  <c r="I994" i="17"/>
  <c r="N994" i="17" s="1" a="1"/>
  <c r="N994" i="17" s="1"/>
  <c r="J994" i="17"/>
  <c r="K994" i="17"/>
  <c r="L994" i="17" s="1"/>
  <c r="H995" i="17"/>
  <c r="M995" i="17" s="1" a="1"/>
  <c r="M995" i="17" s="1"/>
  <c r="I995" i="17"/>
  <c r="N995" i="17" s="1" a="1"/>
  <c r="N995" i="17" s="1"/>
  <c r="J995" i="17"/>
  <c r="K995" i="17"/>
  <c r="L995" i="17" s="1"/>
  <c r="H996" i="17"/>
  <c r="M996" i="17" s="1" a="1"/>
  <c r="M996" i="17" s="1"/>
  <c r="I996" i="17"/>
  <c r="N996" i="17" s="1" a="1"/>
  <c r="N996" i="17" s="1"/>
  <c r="J996" i="17"/>
  <c r="K996" i="17"/>
  <c r="L996" i="17" s="1"/>
  <c r="H997" i="17"/>
  <c r="M997" i="17" s="1" a="1"/>
  <c r="M997" i="17" s="1"/>
  <c r="I997" i="17"/>
  <c r="N997" i="17" s="1" a="1"/>
  <c r="N997" i="17" s="1"/>
  <c r="J997" i="17"/>
  <c r="K997" i="17"/>
  <c r="L997" i="17" s="1"/>
  <c r="H998" i="17"/>
  <c r="M998" i="17" s="1" a="1"/>
  <c r="M998" i="17" s="1"/>
  <c r="I998" i="17"/>
  <c r="N998" i="17" s="1" a="1"/>
  <c r="N998" i="17" s="1"/>
  <c r="J998" i="17"/>
  <c r="K998" i="17"/>
  <c r="L998" i="17" s="1"/>
  <c r="H999" i="17"/>
  <c r="M999" i="17" s="1" a="1"/>
  <c r="M999" i="17" s="1"/>
  <c r="I999" i="17"/>
  <c r="N999" i="17" s="1" a="1"/>
  <c r="N999" i="17" s="1"/>
  <c r="J999" i="17"/>
  <c r="K999" i="17"/>
  <c r="L999" i="17" s="1"/>
  <c r="H1000" i="17"/>
  <c r="M1000" i="17" s="1" a="1"/>
  <c r="M1000" i="17" s="1"/>
  <c r="I1000" i="17"/>
  <c r="N1000" i="17" s="1" a="1"/>
  <c r="N1000" i="17" s="1"/>
  <c r="J1000" i="17"/>
  <c r="K1000" i="17"/>
  <c r="L1000" i="17" s="1"/>
  <c r="H1001" i="17"/>
  <c r="M1001" i="17" s="1" a="1"/>
  <c r="M1001" i="17" s="1"/>
  <c r="I1001" i="17"/>
  <c r="N1001" i="17" s="1" a="1"/>
  <c r="N1001" i="17" s="1"/>
  <c r="J1001" i="17"/>
  <c r="K1001" i="17"/>
  <c r="L1001" i="17" s="1"/>
  <c r="H3" i="17"/>
  <c r="M3" i="17" s="1" a="1"/>
  <c r="M3" i="17" s="1"/>
  <c r="I3" i="17"/>
  <c r="N3" i="17" s="1" a="1"/>
  <c r="N3" i="17" s="1"/>
  <c r="J3" i="17"/>
  <c r="K3" i="17"/>
  <c r="L3" i="17" s="1"/>
  <c r="H4" i="17"/>
  <c r="M4" i="17" s="1" a="1"/>
  <c r="M4" i="17" s="1"/>
  <c r="I4" i="17"/>
  <c r="N4" i="17" s="1" a="1"/>
  <c r="N4" i="17" s="1"/>
  <c r="J4" i="17"/>
  <c r="K4" i="17"/>
  <c r="L4" i="17" s="1"/>
  <c r="H5" i="17"/>
  <c r="M5" i="17" s="1" a="1"/>
  <c r="M5" i="17" s="1"/>
  <c r="I5" i="17"/>
  <c r="N5" i="17" s="1" a="1"/>
  <c r="N5" i="17" s="1"/>
  <c r="J5" i="17"/>
  <c r="K5" i="17"/>
  <c r="L5" i="17" s="1"/>
  <c r="H6" i="17"/>
  <c r="M6" i="17" s="1" a="1"/>
  <c r="M6" i="17" s="1"/>
  <c r="I6" i="17"/>
  <c r="N6" i="17" s="1" a="1"/>
  <c r="N6" i="17" s="1"/>
  <c r="J6" i="17"/>
  <c r="K6" i="17"/>
  <c r="L6" i="17" s="1"/>
  <c r="H7" i="17"/>
  <c r="M7" i="17" s="1" a="1"/>
  <c r="M7" i="17" s="1"/>
  <c r="I7" i="17"/>
  <c r="N7" i="17" s="1" a="1"/>
  <c r="N7" i="17" s="1"/>
  <c r="J7" i="17"/>
  <c r="K7" i="17"/>
  <c r="L7" i="17" s="1"/>
  <c r="H8" i="17"/>
  <c r="M8" i="17" s="1" a="1"/>
  <c r="M8" i="17" s="1"/>
  <c r="I8" i="17"/>
  <c r="N8" i="17" s="1" a="1"/>
  <c r="N8" i="17" s="1"/>
  <c r="J8" i="17"/>
  <c r="K8" i="17"/>
  <c r="L8" i="17" s="1"/>
  <c r="H9" i="17"/>
  <c r="M9" i="17" s="1" a="1"/>
  <c r="M9" i="17" s="1"/>
  <c r="I9" i="17"/>
  <c r="N9" i="17" s="1" a="1"/>
  <c r="N9" i="17" s="1"/>
  <c r="J9" i="17"/>
  <c r="K9" i="17"/>
  <c r="L9" i="17" s="1"/>
  <c r="H10" i="17"/>
  <c r="M10" i="17" s="1" a="1"/>
  <c r="M10" i="17" s="1"/>
  <c r="I10" i="17"/>
  <c r="N10" i="17" s="1" a="1"/>
  <c r="N10" i="17" s="1"/>
  <c r="J10" i="17"/>
  <c r="K10" i="17"/>
  <c r="L10" i="17" s="1"/>
  <c r="H11" i="17"/>
  <c r="M11" i="17" s="1" a="1"/>
  <c r="M11" i="17" s="1"/>
  <c r="I11" i="17"/>
  <c r="N11" i="17" s="1" a="1"/>
  <c r="N11" i="17" s="1"/>
  <c r="J11" i="17"/>
  <c r="K11" i="17"/>
  <c r="L11" i="17" s="1"/>
  <c r="H12" i="17"/>
  <c r="M12" i="17" s="1" a="1"/>
  <c r="M12" i="17" s="1"/>
  <c r="I12" i="17"/>
  <c r="N12" i="17" s="1" a="1"/>
  <c r="N12" i="17" s="1"/>
  <c r="J12" i="17"/>
  <c r="K12" i="17"/>
  <c r="L12" i="17" s="1"/>
  <c r="I2" i="17"/>
  <c r="N2" i="17" s="1" a="1"/>
  <c r="N2" i="17" s="1"/>
  <c r="J2" i="17"/>
  <c r="K2" i="17"/>
  <c r="L2" i="17" s="1"/>
  <c r="H2" i="17"/>
  <c r="M2" i="17" s="1" a="1"/>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<sst xmlns="http://schemas.openxmlformats.org/spreadsheetml/2006/main" count="11683" uniqueCount="6233">
  <si>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</si>
  <si>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</si>
  <si>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</si>
  <si>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</si>
  <si>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</si>
  <si>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</si>
  <si>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</si>
  <si>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</si>
  <si>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</si>
  <si>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</si>
  <si>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</si>
  <si>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</si>
  <si>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</si>
  <si>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</si>
  <si>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</si>
  <si>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</si>
  <si>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</si>
  <si>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</si>
  <si>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</si>
  <si>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</si>
  <si>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</si>
  <si>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</si>
  <si>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</si>
  <si>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</si>
  <si>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</si>
  <si>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</si>
  <si>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</si>
  <si>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</si>
  <si>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</si>
  <si>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</si>
  <si>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</si>
  <si>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</si>
  <si>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</si>
  <si>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</si>
  <si>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</si>
  <si>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</si>
  <si>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</si>
  <si>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</si>
  <si>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</si>
  <si>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</si>
  <si>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</si>
  <si>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</si>
  <si>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</si>
  <si>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</si>
  <si>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</si>
  <si>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</si>
  <si>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</si>
  <si>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</si>
  <si>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</si>
  <si>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</si>
  <si>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</si>
  <si>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</si>
  <si>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</si>
  <si>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</si>
  <si>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</si>
  <si>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</si>
  <si>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</si>
  <si>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</si>
  <si>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</si>
  <si>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</si>
  <si>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</si>
  <si>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</si>
  <si>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</si>
  <si>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</si>
  <si>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</si>
  <si>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</si>
  <si>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</si>
  <si>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</si>
  <si>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</si>
  <si>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</si>
  <si>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</si>
  <si>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</si>
  <si>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</si>
  <si>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</si>
  <si>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</si>
  <si>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</si>
  <si>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</si>
  <si>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</si>
  <si>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</si>
  <si>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</si>
  <si>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</si>
  <si>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</si>
  <si>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</si>
  <si>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</si>
  <si>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</si>
  <si>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</si>
  <si>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</si>
  <si>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</si>
  <si>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</si>
  <si>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</si>
  <si>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</si>
  <si>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</si>
  <si>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</si>
  <si>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</si>
  <si>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</si>
  <si>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</si>
  <si>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</si>
  <si>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</si>
  <si>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</si>
  <si>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</si>
  <si>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</si>
  <si>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</si>
  <si>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</si>
  <si>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</si>
  <si>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</si>
  <si>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</si>
  <si>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</si>
  <si>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</si>
  <si>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</si>
  <si>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</si>
  <si>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</si>
  <si>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</si>
  <si>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</si>
  <si>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</si>
  <si>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</si>
  <si>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</si>
  <si>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</si>
  <si>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</si>
  <si>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</si>
  <si>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</si>
  <si>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</si>
  <si>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</si>
  <si>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</si>
  <si>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</si>
  <si>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</si>
  <si>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</si>
  <si>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</si>
  <si>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</si>
  <si>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</si>
  <si>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</si>
  <si>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</si>
  <si>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</si>
  <si>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</si>
  <si>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</si>
  <si>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</si>
  <si>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</si>
  <si>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</si>
  <si>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</si>
  <si>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</si>
  <si>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</si>
  <si>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</si>
  <si>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</si>
  <si>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</si>
  <si>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</si>
  <si>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</si>
  <si>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</si>
  <si>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</si>
  <si>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</si>
  <si>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</si>
  <si>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</si>
  <si>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</si>
  <si>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</si>
  <si>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</si>
  <si>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</si>
  <si>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</si>
  <si>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</si>
  <si>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</si>
  <si>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</si>
  <si>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</si>
  <si>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</si>
  <si>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</si>
  <si>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</si>
  <si>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</si>
  <si>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</si>
  <si>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</si>
  <si>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</si>
  <si>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</si>
  <si>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</si>
  <si>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</si>
  <si>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</si>
  <si>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</si>
  <si>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</si>
  <si>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</si>
  <si>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</si>
  <si>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</si>
  <si>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</si>
  <si>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</si>
  <si>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</si>
  <si>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</si>
  <si>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</si>
  <si>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</si>
  <si>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</si>
  <si>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</si>
  <si>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</si>
  <si>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</si>
  <si>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</si>
  <si>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</si>
  <si>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</si>
  <si>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</si>
  <si>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</si>
  <si>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</si>
  <si>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</si>
  <si>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</si>
  <si>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</si>
  <si>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</si>
  <si>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</si>
  <si>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</si>
  <si>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</si>
  <si>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</si>
  <si>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</si>
  <si>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</si>
  <si>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</si>
  <si>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</si>
  <si>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</si>
  <si>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</si>
  <si>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</si>
  <si>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</si>
  <si>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</si>
  <si>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</si>
  <si>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</si>
  <si>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</si>
  <si>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</si>
  <si>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</si>
  <si>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</si>
  <si>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</si>
  <si>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</si>
  <si>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</si>
  <si>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</si>
  <si>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</si>
  <si>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</si>
  <si>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</si>
  <si>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</si>
  <si>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</si>
  <si>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</si>
  <si>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</si>
  <si>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</si>
  <si>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</si>
  <si>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</si>
  <si>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</si>
  <si>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</si>
  <si>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</si>
  <si>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</si>
  <si>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</si>
  <si>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</si>
  <si>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</si>
  <si>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</si>
  <si>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</si>
  <si>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</si>
  <si>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</si>
  <si>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</si>
  <si>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</si>
  <si>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</si>
  <si>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</si>
  <si>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</si>
  <si>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</si>
  <si>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</si>
  <si>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</si>
  <si>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</si>
  <si>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</si>
  <si>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</si>
  <si>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</si>
  <si>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</si>
  <si>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</si>
  <si>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</si>
  <si>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</si>
  <si>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</si>
  <si>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</si>
  <si>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</si>
  <si>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</si>
  <si>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</si>
  <si>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</si>
  <si>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</si>
  <si>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</si>
  <si>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</si>
  <si>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</si>
  <si>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</si>
  <si>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</si>
  <si>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</si>
  <si>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</si>
  <si>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</si>
  <si>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</si>
  <si>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</si>
  <si>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</si>
  <si>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</si>
  <si>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</si>
  <si>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</si>
  <si>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</si>
  <si>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</si>
  <si>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</si>
  <si>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</si>
  <si>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</si>
  <si>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</si>
  <si>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</si>
  <si>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</si>
  <si>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</si>
  <si>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</si>
  <si>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</si>
  <si>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</si>
  <si>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</si>
  <si>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</si>
  <si>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</si>
  <si>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</si>
  <si>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</si>
  <si>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</si>
  <si>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</si>
  <si>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</si>
  <si>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</si>
  <si>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</si>
  <si>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</si>
  <si>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</si>
  <si>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</si>
  <si>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</si>
  <si>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</si>
  <si>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</si>
  <si>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</si>
  <si>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</si>
  <si>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</si>
  <si>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</si>
  <si>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</si>
  <si>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</si>
  <si>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</si>
  <si>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</si>
  <si>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</si>
  <si>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</si>
  <si>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</si>
  <si>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</si>
  <si>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</si>
  <si>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</si>
  <si>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</si>
  <si>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</si>
  <si>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</si>
  <si>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</si>
  <si>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</si>
  <si>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</si>
  <si>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</si>
  <si>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</si>
  <si>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</si>
  <si>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</si>
  <si>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</si>
  <si>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</si>
  <si>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</si>
  <si>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</si>
  <si>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</si>
  <si>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</si>
  <si>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</si>
  <si>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</si>
  <si>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</si>
  <si>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</si>
  <si>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</si>
  <si>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</si>
  <si>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</si>
  <si>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</si>
  <si>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</si>
  <si>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</si>
  <si>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</si>
  <si>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</si>
  <si>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</si>
  <si>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</si>
  <si>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</si>
  <si>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</si>
  <si>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</si>
  <si>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</si>
  <si>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</si>
  <si>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</si>
  <si>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</si>
  <si>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</si>
  <si>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</si>
  <si>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</si>
  <si>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</si>
  <si>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</si>
  <si>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</si>
  <si>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</si>
  <si>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</si>
  <si>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</si>
  <si>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</si>
  <si>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</si>
  <si>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</si>
  <si>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</si>
  <si>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</si>
  <si>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</si>
  <si>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</si>
  <si>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</si>
  <si>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</si>
  <si>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</si>
  <si>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</si>
  <si>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</si>
  <si>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</si>
  <si>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</si>
  <si>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</si>
  <si>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</si>
  <si>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</si>
  <si>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</si>
  <si>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</si>
  <si>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</si>
  <si>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</si>
  <si>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</si>
  <si>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</si>
  <si>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</si>
  <si>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</si>
  <si>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</si>
  <si>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</si>
  <si>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</si>
  <si>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</si>
  <si>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</si>
  <si>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</si>
  <si>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</si>
  <si>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</si>
  <si>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</si>
  <si>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</si>
  <si>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</si>
  <si>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</si>
  <si>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</si>
  <si>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</si>
  <si>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</si>
  <si>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</si>
  <si>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</si>
  <si>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</si>
  <si>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</si>
  <si>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</si>
  <si>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</si>
  <si>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</si>
  <si>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</si>
  <si>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</si>
  <si>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</si>
  <si>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</si>
  <si>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</si>
  <si>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</si>
  <si>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</si>
  <si>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</si>
  <si>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</si>
  <si>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</si>
  <si>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</si>
  <si>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</si>
  <si>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</si>
  <si>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</si>
  <si>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</si>
  <si>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</si>
  <si>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</si>
  <si>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</si>
  <si>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</si>
  <si>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</si>
  <si>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</si>
  <si>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</si>
  <si>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</si>
  <si>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</si>
  <si>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</si>
  <si>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</si>
  <si>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</si>
  <si>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</si>
  <si>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</si>
  <si>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</si>
  <si>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</si>
  <si>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</si>
  <si>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</si>
  <si>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</si>
  <si>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</si>
  <si>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</si>
  <si>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</si>
  <si>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</si>
  <si>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</si>
  <si>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</si>
  <si>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</si>
  <si>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</si>
  <si>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</si>
  <si>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</si>
  <si>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</si>
  <si>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</si>
  <si>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</si>
  <si>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</si>
  <si>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</si>
  <si>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</si>
  <si>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</si>
  <si>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</si>
  <si>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</si>
  <si>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</si>
  <si>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</si>
  <si>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</si>
  <si>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</si>
  <si>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</si>
  <si>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</si>
  <si>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</si>
  <si>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</si>
  <si>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</si>
  <si>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</si>
  <si>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</si>
  <si>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</si>
  <si>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</si>
  <si>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</si>
  <si>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</si>
  <si>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</si>
  <si>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</si>
  <si>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</si>
  <si>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</si>
  <si>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</si>
  <si>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</si>
  <si>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</si>
  <si>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</si>
  <si>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</si>
  <si>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</si>
  <si>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</si>
  <si>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</si>
  <si>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</si>
  <si>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</si>
  <si>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</si>
  <si>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</si>
  <si>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</si>
  <si>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</si>
  <si>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</si>
  <si>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</si>
  <si>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</si>
  <si>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</si>
  <si>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</si>
  <si>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</si>
  <si>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</si>
  <si>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</si>
  <si>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</si>
  <si>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</si>
  <si>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</si>
  <si>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</si>
  <si>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</si>
  <si>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</si>
  <si>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</si>
  <si>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</si>
  <si>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</si>
  <si>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</si>
  <si>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</si>
  <si>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</si>
  <si>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</si>
  <si>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</si>
  <si>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</si>
  <si>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</si>
  <si>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</si>
  <si>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</si>
  <si>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</si>
  <si>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</si>
  <si>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</si>
  <si>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</si>
  <si>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</si>
  <si>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</si>
  <si>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</si>
  <si>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</si>
  <si>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</si>
  <si>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</si>
  <si>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</si>
  <si>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</si>
  <si>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</si>
  <si>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</si>
  <si>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</si>
  <si>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</si>
  <si>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</si>
  <si>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</si>
  <si>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</si>
  <si>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</si>
  <si>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</si>
  <si>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</si>
  <si>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</si>
  <si>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</si>
  <si>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</si>
  <si>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</si>
  <si>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</si>
  <si>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</si>
  <si>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</si>
  <si>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</si>
  <si>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</si>
  <si>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</si>
  <si>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</si>
  <si>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</si>
  <si>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</si>
  <si>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</si>
  <si>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</si>
  <si>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</si>
  <si>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</si>
  <si>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</si>
  <si>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</si>
  <si>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</si>
  <si>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</si>
  <si>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</si>
  <si>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</si>
  <si>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</si>
  <si>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</si>
  <si>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</si>
  <si>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</si>
  <si>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</si>
  <si>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</si>
  <si>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</si>
  <si>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</si>
  <si>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</si>
  <si>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</si>
  <si>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</si>
  <si>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</si>
  <si>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</si>
  <si>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</si>
  <si>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</si>
  <si>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</si>
  <si>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</si>
  <si>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</si>
  <si>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</si>
  <si>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</si>
  <si>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</si>
  <si>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</si>
  <si>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</si>
  <si>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</si>
  <si>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</si>
  <si>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</si>
  <si>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</si>
  <si>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</si>
  <si>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</si>
  <si>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</si>
  <si>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</si>
  <si>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</si>
  <si>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</si>
  <si>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</si>
  <si>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</si>
  <si>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</si>
  <si>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</si>
  <si>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</si>
  <si>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</si>
  <si>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</si>
  <si>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</si>
  <si>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</si>
  <si>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</si>
  <si>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</si>
  <si>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</si>
  <si>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</si>
  <si>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</si>
  <si>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</si>
  <si>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</si>
  <si>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</si>
  <si>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</si>
  <si>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</si>
  <si>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</si>
  <si>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</si>
  <si>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</si>
  <si>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</si>
  <si>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</si>
  <si>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</si>
  <si>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</si>
  <si>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</si>
  <si>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</si>
  <si>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</si>
  <si>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</si>
  <si>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</si>
  <si>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</si>
  <si>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</si>
  <si>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</si>
  <si>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</si>
  <si>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</si>
  <si>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</si>
  <si>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</si>
  <si>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</si>
  <si>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</si>
  <si>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</si>
  <si>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</si>
  <si>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</si>
  <si>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</si>
  <si>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</si>
  <si>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</si>
  <si>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</si>
  <si>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</si>
  <si>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</si>
  <si>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</si>
  <si>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</si>
  <si>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</si>
  <si>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</si>
  <si>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</si>
  <si>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</si>
  <si>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</si>
  <si>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</si>
  <si>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</si>
  <si>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</si>
  <si>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</si>
  <si>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</si>
  <si>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</si>
  <si>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</si>
  <si>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</si>
  <si>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</si>
  <si>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</si>
  <si>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</si>
  <si>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</si>
  <si>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</si>
  <si>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</si>
  <si>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</si>
  <si>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</si>
  <si>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</si>
  <si>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</si>
  <si>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</si>
  <si>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</si>
  <si>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</si>
  <si>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</si>
  <si>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</si>
  <si>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</si>
  <si>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</si>
  <si>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</si>
  <si>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</si>
  <si>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</si>
  <si>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</si>
  <si>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</si>
  <si>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</si>
  <si>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</si>
  <si>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</si>
  <si>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</si>
  <si>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</si>
  <si>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</si>
  <si>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</si>
  <si>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</si>
  <si>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</si>
  <si>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</si>
  <si>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</si>
  <si>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</si>
  <si>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</si>
  <si>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</si>
  <si>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</si>
  <si>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</si>
  <si>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</si>
  <si>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</si>
  <si>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</si>
  <si>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</si>
  <si>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</si>
  <si>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</si>
  <si>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</si>
  <si>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</si>
  <si>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</si>
  <si>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</si>
  <si>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</si>
  <si>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</si>
  <si>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</si>
  <si>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</si>
  <si>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</si>
  <si>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</si>
  <si>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</si>
  <si>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</si>
  <si>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</si>
  <si>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</si>
  <si>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</si>
  <si>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</si>
  <si>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</si>
  <si>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</si>
  <si>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</si>
  <si>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</si>
  <si>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</si>
  <si>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</si>
  <si>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</si>
  <si>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</si>
  <si>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</si>
  <si>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</si>
  <si>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</si>
  <si>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</si>
  <si>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</si>
  <si>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</si>
  <si>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</si>
  <si>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</si>
  <si>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</si>
  <si>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</si>
  <si>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</si>
  <si>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</si>
  <si>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</si>
  <si>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</si>
  <si>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</si>
  <si>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</si>
  <si>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</si>
  <si>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</si>
  <si>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</si>
  <si>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</si>
  <si>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</si>
  <si>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</si>
  <si>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</si>
  <si>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</si>
  <si>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</si>
  <si>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</si>
  <si>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</si>
  <si>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</si>
  <si>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</si>
  <si>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</si>
  <si>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</si>
  <si>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</si>
  <si>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</si>
  <si>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</si>
  <si>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</si>
  <si>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</si>
  <si>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</si>
  <si>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</si>
  <si>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</si>
  <si>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</si>
  <si>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</si>
  <si>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</si>
  <si>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</si>
  <si>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</si>
  <si>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</si>
  <si>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</si>
  <si>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</si>
  <si>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</si>
  <si>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</si>
  <si>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</si>
  <si>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</si>
  <si>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</si>
  <si>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</si>
  <si>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</si>
  <si>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</si>
  <si>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</si>
  <si>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</si>
  <si>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</si>
  <si>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</si>
  <si>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</si>
  <si>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</si>
  <si>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</si>
  <si>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</si>
  <si>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</si>
  <si>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</si>
  <si>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</si>
  <si>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</si>
  <si>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</si>
  <si>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</si>
  <si>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</si>
  <si>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</si>
  <si>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</si>
  <si>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</si>
  <si>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</si>
  <si>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</si>
  <si>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</si>
  <si>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</si>
  <si>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</si>
  <si>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</si>
  <si>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</si>
  <si>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</si>
  <si>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</si>
  <si>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</si>
  <si>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</si>
  <si>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</si>
  <si>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</si>
  <si>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</si>
  <si>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</si>
  <si>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</si>
  <si>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</si>
  <si>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</si>
  <si>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</si>
  <si>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</si>
  <si>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</si>
  <si>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</si>
  <si>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</si>
  <si>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</si>
  <si>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</si>
  <si>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</si>
  <si>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</si>
  <si>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</si>
  <si>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</si>
  <si>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</si>
  <si>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</si>
  <si>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</si>
  <si>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</si>
  <si>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</si>
  <si>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</si>
  <si>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</si>
  <si>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</si>
  <si>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</si>
  <si>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</si>
  <si>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</si>
  <si>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</si>
  <si>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</si>
  <si>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</si>
  <si>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</si>
  <si>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</si>
  <si>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</si>
  <si>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</si>
  <si>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</si>
  <si>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</si>
  <si>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</si>
  <si>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</si>
  <si>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</si>
  <si>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</si>
  <si>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</si>
  <si>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</si>
  <si>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</si>
  <si>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</si>
  <si>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</si>
  <si>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</si>
  <si>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</si>
  <si>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</si>
  <si>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</si>
  <si>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</si>
  <si>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</si>
  <si>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</si>
  <si>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</si>
  <si>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</si>
  <si>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</si>
  <si>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</si>
  <si>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</si>
  <si>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</si>
  <si>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</si>
  <si>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</si>
  <si>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</si>
  <si>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</si>
  <si>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</si>
  <si>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</si>
  <si>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</si>
  <si>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</si>
  <si>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</si>
  <si>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</si>
  <si>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</si>
  <si>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</si>
  <si>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</si>
  <si>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</si>
  <si>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</si>
  <si>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</si>
  <si>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</si>
  <si>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</si>
  <si>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</si>
  <si>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</si>
  <si>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</si>
  <si>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</si>
  <si>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</si>
  <si>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</si>
  <si>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</si>
  <si>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</si>
  <si>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</si>
  <si>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</si>
  <si>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</si>
  <si>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</si>
  <si>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</si>
  <si>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</si>
  <si>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</si>
  <si>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</si>
  <si>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</si>
  <si>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</si>
  <si>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</si>
  <si>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</si>
  <si>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</si>
  <si>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</si>
  <si>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</si>
  <si>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</si>
  <si>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</si>
  <si>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</si>
  <si>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</si>
  <si>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</si>
  <si>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</si>
  <si>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</si>
  <si>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</si>
  <si>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</si>
  <si>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</si>
  <si>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</si>
  <si>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</si>
  <si>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</si>
  <si>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</si>
  <si>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</si>
  <si>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</si>
  <si>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</si>
  <si>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</si>
  <si>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</si>
  <si>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</si>
  <si>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</si>
  <si>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</si>
  <si>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</si>
  <si>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</si>
  <si>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</si>
  <si>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</si>
  <si>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</si>
  <si>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</si>
  <si>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</si>
  <si>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</si>
  <si>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</si>
  <si>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</si>
  <si>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</si>
  <si>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</si>
  <si>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</si>
  <si>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</si>
  <si>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</si>
  <si>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</si>
  <si>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</si>
  <si>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</si>
  <si>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</si>
  <si>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</si>
  <si>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</si>
  <si>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</si>
  <si>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</si>
  <si>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</si>
  <si>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</si>
  <si>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</si>
  <si>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</si>
  <si>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</si>
  <si>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</si>
  <si>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</si>
  <si>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</si>
  <si>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</si>
  <si>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</si>
  <si>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</si>
  <si>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</si>
  <si>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</si>
  <si>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</si>
  <si>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</si>
  <si>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</si>
  <si>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</si>
  <si>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</si>
  <si>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</si>
  <si>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</si>
  <si>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</si>
  <si>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</si>
  <si>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</si>
  <si>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</si>
  <si>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</si>
  <si>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</si>
  <si>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</si>
  <si>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</si>
  <si>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</si>
  <si>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</si>
  <si>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</si>
  <si>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</si>
  <si>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</si>
  <si>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</si>
  <si>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</si>
  <si>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</si>
  <si>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</si>
  <si>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</si>
  <si>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</si>
  <si>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</si>
  <si>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</si>
  <si>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</si>
  <si>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</si>
  <si>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</si>
  <si>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</si>
  <si>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</si>
  <si>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</si>
  <si>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</si>
  <si>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</si>
  <si>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</si>
  <si>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</si>
  <si>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</si>
  <si>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</si>
  <si>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</si>
  <si>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</si>
  <si>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</si>
  <si>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</si>
  <si>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</si>
  <si>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</si>
  <si>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</si>
  <si>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</si>
  <si>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</si>
  <si>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</si>
  <si>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</si>
  <si>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</si>
  <si>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</si>
  <si>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</si>
  <si>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</si>
  <si>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</si>
  <si>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</si>
  <si>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</si>
  <si>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</si>
  <si>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</si>
  <si>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</si>
  <si>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</si>
  <si>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</si>
  <si>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</si>
  <si>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</si>
  <si>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</si>
  <si>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</si>
  <si>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</si>
  <si>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</si>
  <si>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</si>
  <si>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</si>
  <si>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</si>
  <si>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</si>
  <si>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</si>
  <si>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</si>
  <si>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</si>
  <si>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</si>
  <si>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</si>
  <si>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</si>
  <si>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</si>
  <si>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</si>
  <si>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</si>
  <si>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</si>
  <si>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</si>
  <si>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</si>
  <si>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</si>
  <si>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</si>
  <si>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</si>
  <si>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</si>
  <si>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</si>
  <si>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</si>
  <si>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</si>
  <si>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</si>
  <si>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</si>
  <si>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</si>
  <si>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</si>
  <si>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</si>
  <si>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</si>
  <si>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</si>
  <si>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</si>
  <si>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</si>
  <si>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</si>
  <si>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</si>
  <si>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</si>
  <si>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</si>
  <si>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</si>
  <si>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</si>
  <si>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</si>
  <si>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</si>
  <si>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</si>
  <si>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</si>
  <si>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</si>
  <si>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</si>
  <si>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</si>
  <si>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</si>
  <si>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</si>
  <si>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</si>
  <si>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</si>
  <si>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</si>
  <si>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</si>
  <si>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</si>
  <si>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</si>
  <si>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</si>
  <si>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</si>
  <si>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</si>
  <si>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</si>
  <si>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</si>
  <si>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</si>
  <si>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</si>
  <si>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</si>
  <si>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</si>
  <si>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</si>
  <si>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</si>
  <si>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</si>
  <si>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</si>
  <si>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</si>
  <si>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</si>
  <si>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</si>
  <si>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</si>
  <si>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</si>
  <si>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</si>
  <si>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</si>
  <si>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</si>
  <si>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</si>
  <si>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</si>
  <si>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</si>
  <si>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</si>
  <si>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</si>
  <si>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</si>
  <si>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</si>
  <si>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</si>
  <si>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</si>
  <si>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</si>
  <si>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</si>
  <si>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</si>
  <si>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</si>
  <si>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</si>
  <si>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</si>
  <si>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</si>
  <si>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</si>
  <si>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</si>
  <si>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</si>
  <si>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</si>
  <si>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</si>
  <si>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</si>
  <si>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</si>
  <si>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</si>
  <si>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</si>
  <si>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</si>
  <si>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</si>
  <si>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</si>
  <si>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</si>
  <si>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</si>
  <si>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</si>
  <si>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</si>
  <si>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</si>
  <si>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</si>
  <si>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</si>
  <si>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</si>
  <si>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</si>
  <si>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</si>
  <si>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</si>
  <si>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</si>
  <si>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</si>
  <si>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</si>
  <si>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</si>
  <si>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</si>
  <si>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</si>
  <si>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</si>
  <si>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</si>
  <si>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</si>
  <si>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</si>
  <si>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</si>
  <si>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</si>
  <si>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</si>
  <si>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</si>
  <si>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</si>
  <si>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</si>
  <si>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</si>
  <si>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</si>
  <si>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</si>
  <si>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</si>
  <si>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</si>
  <si>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</si>
  <si>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</si>
  <si>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</si>
  <si>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</si>
  <si>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</si>
  <si>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</si>
  <si>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</si>
  <si>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</si>
  <si>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</si>
  <si>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</si>
  <si>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</si>
  <si>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</si>
  <si>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</si>
  <si>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</si>
  <si>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</si>
  <si>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</si>
  <si>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</si>
  <si>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</si>
  <si>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</si>
  <si>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</si>
  <si>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</si>
  <si>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</si>
  <si>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</si>
  <si>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</si>
  <si>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</si>
  <si>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</si>
  <si>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</si>
  <si>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</si>
  <si>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</si>
  <si>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</si>
  <si>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</si>
  <si>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</si>
  <si>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</si>
  <si>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</si>
  <si>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</si>
  <si>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</si>
  <si>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</si>
  <si>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</si>
  <si>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</si>
  <si>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</si>
  <si>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</si>
  <si>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</si>
  <si>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</si>
  <si>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</si>
  <si>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</si>
  <si>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</si>
  <si>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</si>
  <si>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</si>
  <si>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</si>
  <si>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</si>
  <si>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</si>
  <si>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</si>
  <si>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</si>
  <si>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</si>
  <si>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</si>
  <si>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</si>
  <si>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</si>
  <si>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</si>
  <si>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</si>
  <si>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</si>
  <si>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</si>
  <si>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</si>
  <si>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</si>
  <si>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</si>
  <si>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</si>
  <si>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</si>
  <si>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</si>
  <si>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</si>
  <si>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</si>
  <si>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</si>
  <si>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</si>
  <si>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</si>
  <si>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</si>
  <si>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</si>
  <si>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</si>
  <si>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</si>
  <si>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</si>
  <si>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</si>
  <si>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</si>
  <si>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</si>
  <si>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</si>
  <si>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</si>
  <si>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</si>
  <si>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</si>
  <si>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</si>
  <si>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</si>
  <si>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</si>
  <si>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</si>
  <si>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</si>
  <si>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</si>
  <si>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</si>
  <si>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</si>
  <si>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</si>
  <si>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</si>
  <si>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</si>
  <si>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</si>
  <si>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</si>
  <si>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</si>
  <si>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</si>
  <si>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</si>
  <si>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</si>
  <si>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</si>
  <si>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</si>
  <si>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</si>
  <si>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</si>
  <si>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</si>
  <si>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</si>
  <si>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</si>
  <si>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</si>
  <si>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</si>
  <si>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</si>
  <si>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</si>
  <si>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</si>
  <si>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</si>
  <si>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</si>
  <si>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</si>
  <si>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</si>
  <si>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</si>
  <si>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</si>
  <si>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</si>
  <si>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</si>
  <si>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</si>
  <si>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</si>
  <si>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</si>
  <si>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</si>
  <si>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</si>
  <si>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</si>
  <si>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</si>
  <si>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</si>
  <si>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</si>
  <si>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</si>
  <si>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</si>
  <si>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</si>
  <si>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</si>
  <si>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</si>
  <si>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</si>
  <si>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</si>
  <si>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</si>
  <si>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</si>
  <si>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</si>
  <si>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</si>
  <si>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</si>
  <si>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</si>
  <si>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</si>
  <si>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</si>
  <si>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</si>
  <si>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</si>
  <si>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</si>
  <si>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</si>
  <si>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</si>
  <si>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</si>
  <si>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</si>
  <si>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</si>
  <si>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</si>
  <si>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</si>
  <si>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</si>
  <si>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</si>
  <si>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</si>
  <si>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</si>
  <si>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</si>
  <si>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</si>
  <si>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</si>
  <si>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</si>
  <si>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</si>
  <si>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</si>
  <si>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</si>
  <si>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</si>
  <si>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</si>
  <si>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</si>
  <si>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</si>
  <si>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</si>
  <si>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</si>
  <si>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</si>
  <si>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</si>
  <si>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</si>
  <si>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</si>
  <si>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</si>
  <si>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</si>
  <si>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</si>
  <si>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</si>
  <si>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</si>
  <si>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</si>
  <si>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</si>
  <si>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</si>
  <si>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</si>
  <si>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</si>
  <si>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</si>
  <si>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</si>
  <si>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</si>
  <si>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</si>
  <si>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</si>
  <si>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</si>
  <si>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</si>
  <si>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</si>
  <si>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</si>
  <si>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</si>
  <si>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</si>
  <si>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</si>
  <si>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</si>
  <si>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</si>
  <si>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</si>
  <si>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</si>
  <si>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</si>
  <si>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</si>
  <si>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</si>
  <si>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</si>
  <si>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</si>
  <si>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</si>
  <si>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</si>
  <si>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</si>
  <si>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</si>
  <si>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</si>
  <si>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</si>
  <si>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</si>
  <si>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</si>
  <si>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</si>
  <si>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</si>
  <si>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</si>
  <si>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</si>
  <si>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</si>
  <si>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</si>
  <si>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</si>
  <si>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</si>
  <si>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</si>
  <si>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</si>
  <si>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</si>
  <si>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</si>
  <si>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</si>
  <si>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</si>
  <si>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</si>
  <si>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</si>
  <si>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</si>
  <si>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</si>
  <si>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</si>
  <si>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</si>
  <si>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</si>
  <si>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</si>
  <si>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</si>
  <si>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</si>
  <si>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</si>
  <si>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</si>
  <si>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</si>
  <si>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</si>
  <si>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</si>
  <si>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</si>
  <si>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</si>
  <si>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</si>
  <si>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</si>
  <si>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</si>
  <si>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</si>
  <si>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</si>
  <si>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</si>
  <si>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</si>
  <si>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</si>
  <si>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</si>
  <si>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</si>
  <si>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</si>
  <si>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</si>
  <si>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</si>
  <si>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</si>
  <si>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</si>
  <si>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</si>
  <si>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</si>
  <si>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</si>
  <si>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</si>
  <si>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</si>
  <si>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</si>
  <si>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</si>
  <si>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</si>
  <si>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</si>
  <si>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</si>
  <si>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</si>
  <si>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</si>
  <si>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</si>
  <si>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</si>
  <si>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</si>
  <si>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</si>
  <si>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</si>
  <si>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</si>
  <si>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</si>
  <si>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</si>
  <si>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</si>
  <si>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</si>
  <si>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</si>
  <si>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</si>
  <si>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</si>
  <si>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</si>
  <si>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</si>
  <si>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</si>
  <si>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</si>
  <si>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</si>
  <si>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</si>
  <si>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</si>
  <si>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</si>
  <si>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</si>
  <si>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</si>
  <si>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</si>
  <si>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</si>
  <si>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</si>
  <si>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</si>
  <si>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</si>
  <si>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</si>
  <si>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</si>
  <si>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</si>
  <si>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</si>
  <si>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</si>
  <si>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</si>
  <si>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</si>
  <si>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</si>
  <si>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</si>
  <si>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</si>
  <si>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</si>
  <si>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</si>
  <si>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</si>
  <si>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</si>
  <si>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</si>
  <si>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</si>
  <si>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</si>
  <si>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</si>
  <si>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</si>
  <si>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</si>
  <si>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</si>
  <si>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</si>
  <si>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</si>
  <si>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</si>
  <si>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</si>
  <si>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</si>
  <si>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</si>
  <si>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</si>
  <si>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</si>
  <si>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</si>
  <si>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</si>
  <si>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</si>
  <si>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</si>
  <si>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</si>
  <si>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</si>
  <si>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</si>
  <si>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</si>
  <si>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</si>
  <si>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</si>
  <si>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</si>
  <si>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</si>
  <si>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</si>
  <si>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</si>
  <si>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</si>
  <si>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</si>
  <si>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</si>
  <si>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</si>
  <si>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</si>
  <si>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</si>
  <si>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</si>
  <si>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</si>
  <si>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</si>
  <si>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</si>
  <si>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</si>
  <si>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</si>
  <si>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</si>
  <si>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</si>
  <si>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</si>
  <si>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</si>
  <si>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</si>
  <si>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</si>
  <si>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</si>
  <si>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</si>
  <si>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</si>
  <si>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</si>
  <si>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</si>
  <si>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</si>
  <si>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</si>
  <si>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</si>
  <si>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</si>
  <si>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</si>
  <si>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</si>
  <si>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</si>
  <si>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</si>
  <si>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</si>
  <si>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</si>
  <si>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</si>
  <si>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</si>
  <si>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</si>
  <si>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</si>
  <si>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</si>
  <si>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</si>
  <si>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</si>
  <si>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</si>
  <si>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</si>
  <si>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</si>
  <si>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</si>
  <si>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</si>
  <si>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</si>
  <si>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</si>
  <si>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</si>
  <si>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</si>
  <si>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</si>
  <si>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</si>
  <si>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</si>
  <si>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</si>
  <si>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</si>
  <si>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</si>
  <si>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</si>
  <si>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</si>
  <si>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</si>
  <si>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</si>
  <si>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</si>
  <si>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</si>
  <si>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</si>
  <si>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</si>
  <si>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</si>
  <si>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</si>
  <si>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</si>
  <si>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</si>
  <si>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</si>
  <si>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</si>
  <si>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</si>
  <si>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</si>
  <si>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</si>
  <si>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</si>
  <si>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</si>
  <si>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</si>
  <si>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</si>
  <si>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</si>
  <si>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</si>
  <si>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</si>
  <si>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</si>
  <si>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</si>
  <si>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</si>
  <si>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</si>
  <si>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</si>
  <si>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</si>
  <si>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</si>
  <si>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</si>
  <si>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</si>
  <si>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</si>
  <si>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</si>
  <si>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</si>
  <si>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</si>
  <si>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</si>
  <si>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</si>
  <si>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</si>
  <si>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</si>
  <si>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</si>
  <si>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</si>
  <si>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</si>
  <si>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</si>
  <si>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</si>
  <si>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</si>
  <si>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</si>
  <si>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</si>
  <si>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</si>
  <si>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</si>
  <si>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</si>
  <si>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</si>
  <si>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</si>
  <si>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</si>
  <si>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</si>
  <si>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</si>
  <si>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</si>
  <si>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</si>
  <si>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</si>
  <si>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</si>
  <si>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</si>
  <si>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</si>
  <si>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</si>
  <si>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</si>
  <si>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</si>
  <si>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</si>
  <si>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</si>
  <si>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</si>
  <si>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</si>
  <si>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</si>
  <si>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</si>
  <si>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</si>
  <si>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</si>
  <si>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</si>
  <si>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</si>
  <si>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</si>
  <si>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</si>
  <si>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</si>
  <si>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</si>
  <si>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</si>
  <si>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</si>
  <si>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</si>
  <si>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</si>
  <si>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</si>
  <si>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</si>
  <si>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</si>
  <si>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</si>
  <si>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</si>
  <si>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</si>
  <si>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</si>
  <si>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</si>
  <si>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</si>
  <si>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</si>
  <si>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</si>
  <si>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</si>
  <si>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</si>
  <si>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</si>
  <si>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</si>
  <si>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</si>
  <si>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</si>
  <si>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</si>
  <si>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</si>
  <si>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</si>
  <si>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</si>
  <si>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</si>
  <si>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</si>
  <si>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</si>
  <si>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</si>
  <si>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</si>
  <si>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</si>
  <si>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</si>
  <si>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</si>
  <si>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</si>
  <si>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</si>
  <si>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</si>
  <si>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</si>
  <si>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</si>
  <si>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</si>
  <si>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</si>
  <si>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</si>
  <si>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</si>
  <si>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</si>
  <si>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</si>
  <si>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</si>
  <si>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</si>
  <si>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</si>
  <si>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</si>
  <si>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</si>
  <si>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</si>
  <si>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</si>
  <si>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</si>
  <si>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</si>
  <si>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</si>
  <si>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</si>
  <si>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</si>
  <si>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</si>
  <si>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</si>
  <si>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</si>
  <si>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</si>
  <si>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</si>
  <si>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</si>
  <si>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</si>
  <si>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</si>
  <si>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</si>
  <si>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</si>
  <si>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</si>
  <si>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</si>
  <si>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</si>
  <si>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</si>
  <si>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</si>
  <si>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</si>
  <si>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</si>
  <si>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</si>
  <si>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</si>
  <si>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</si>
  <si>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</si>
  <si>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</si>
  <si>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</si>
  <si>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</si>
  <si>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</si>
  <si>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</si>
  <si>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</si>
  <si>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</si>
  <si>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</si>
  <si>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</si>
  <si>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</si>
  <si>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</si>
  <si>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</si>
  <si>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</si>
  <si>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</si>
  <si>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</si>
  <si>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</si>
  <si>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</si>
  <si>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</si>
  <si>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</si>
  <si>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</si>
  <si>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</si>
  <si>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</si>
  <si>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</si>
  <si>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</si>
  <si>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</si>
  <si>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</si>
  <si>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</si>
  <si>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</si>
  <si>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</si>
  <si>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</si>
  <si>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</si>
  <si>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</si>
  <si>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</si>
  <si>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</si>
  <si>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</si>
  <si>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</si>
  <si>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</si>
  <si>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</si>
  <si>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</si>
  <si>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</si>
  <si>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</si>
  <si>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</si>
  <si>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</si>
  <si>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</si>
  <si>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</si>
  <si>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</si>
  <si>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</si>
  <si>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</si>
  <si>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</si>
  <si>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</si>
  <si>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</si>
  <si>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</si>
  <si>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</si>
  <si>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</si>
  <si>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</si>
  <si>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</si>
  <si>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</si>
  <si>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</si>
  <si>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</si>
  <si>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</si>
  <si>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</si>
  <si>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</si>
  <si>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</si>
  <si>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</si>
  <si>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</si>
  <si>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</si>
  <si>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</si>
  <si>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</si>
  <si>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</si>
  <si>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</si>
  <si>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</si>
  <si>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</si>
  <si>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</si>
  <si>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</si>
  <si>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</si>
  <si>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</si>
  <si>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</si>
  <si>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</si>
  <si>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</si>
  <si>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</si>
  <si>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</si>
  <si>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</si>
  <si>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</si>
  <si>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</si>
  <si>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</si>
  <si>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</si>
  <si>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</si>
  <si>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</si>
  <si>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</si>
  <si>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</si>
  <si>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</si>
  <si>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</si>
  <si>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</si>
  <si>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</si>
  <si>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</si>
  <si>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</si>
  <si>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</si>
  <si>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</si>
  <si>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</si>
  <si>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</si>
  <si>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</si>
  <si>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</si>
  <si>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</si>
  <si>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</si>
  <si>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</si>
  <si>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</si>
  <si>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</si>
  <si>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</si>
  <si>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</si>
  <si>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</si>
  <si>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</si>
  <si>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</si>
  <si>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</si>
  <si>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</si>
  <si>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</si>
  <si>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</si>
  <si>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</si>
  <si>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</si>
  <si>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</si>
  <si>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</si>
  <si>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</si>
  <si>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</si>
  <si>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</si>
  <si>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</si>
  <si>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</si>
  <si>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</si>
  <si>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</si>
  <si>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</si>
  <si>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</si>
  <si>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</si>
  <si>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</si>
  <si>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</si>
  <si>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</si>
  <si>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</si>
  <si>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</si>
  <si>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</si>
  <si>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</si>
  <si>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</si>
  <si>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</si>
  <si>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</si>
  <si>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</si>
  <si>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</si>
  <si>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</si>
  <si>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</si>
  <si>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</si>
  <si>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</si>
  <si>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</si>
  <si>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</si>
  <si>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</si>
  <si>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</si>
  <si>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</si>
  <si>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</si>
  <si>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</si>
  <si>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</si>
  <si>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</si>
  <si>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</si>
  <si>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</si>
  <si>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</si>
  <si>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</si>
  <si>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</si>
  <si>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</si>
  <si>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</si>
  <si>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</si>
  <si>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</si>
  <si>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</si>
  <si>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</si>
  <si>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</si>
  <si>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</si>
  <si>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</si>
  <si>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</si>
  <si>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</si>
  <si>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</si>
  <si>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</si>
  <si>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</si>
  <si>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</si>
  <si>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</si>
  <si>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</si>
  <si>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</si>
  <si>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</si>
  <si>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</si>
  <si>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</si>
  <si>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</si>
  <si>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</si>
  <si>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</si>
  <si>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</si>
  <si>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</si>
  <si>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</si>
  <si>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</si>
  <si>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</si>
  <si>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</si>
  <si>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</si>
  <si>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</si>
  <si>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</si>
  <si>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</si>
  <si>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</si>
  <si>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</si>
  <si>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</si>
  <si>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</si>
  <si>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</si>
  <si>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</si>
  <si>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</si>
  <si>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</si>
  <si>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</si>
  <si>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</si>
  <si>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</si>
  <si>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</si>
  <si>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</si>
  <si>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</si>
  <si>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</si>
  <si>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</si>
  <si>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</si>
  <si>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</si>
  <si>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</si>
  <si>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</si>
  <si>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</si>
  <si>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</si>
  <si>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</si>
  <si>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</si>
  <si>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</si>
  <si>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</si>
  <si>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</si>
  <si>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</si>
  <si>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</si>
  <si>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</si>
  <si>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</si>
  <si>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</si>
  <si>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</si>
  <si>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</si>
  <si>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</si>
  <si>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</si>
  <si>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</si>
  <si>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</si>
  <si>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</si>
  <si>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</si>
  <si>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</si>
  <si>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</si>
  <si>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</si>
  <si>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</si>
  <si>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</si>
  <si>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</si>
  <si>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</si>
  <si>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</si>
  <si>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</si>
  <si>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</si>
  <si>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</si>
  <si>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</si>
  <si>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</si>
  <si>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</si>
  <si>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</si>
  <si>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</si>
  <si>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</si>
  <si>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</si>
  <si>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</si>
  <si>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</si>
  <si>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</si>
  <si>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</si>
  <si>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</si>
  <si>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</si>
  <si>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</si>
  <si>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</si>
  <si>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</si>
  <si>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</si>
  <si>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</si>
  <si>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</si>
  <si>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</si>
  <si>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</si>
  <si>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</si>
  <si>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</si>
  <si>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</si>
  <si>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</si>
  <si>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</si>
  <si>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</si>
  <si>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</si>
  <si>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</si>
  <si>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</si>
  <si>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</si>
  <si>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</si>
  <si>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</si>
  <si>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</si>
  <si>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</si>
  <si>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</si>
  <si>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</si>
  <si>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</si>
  <si>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</si>
  <si>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</si>
  <si>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</si>
  <si>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</si>
  <si>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</si>
  <si>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</si>
  <si>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</si>
  <si>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</si>
  <si>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</si>
  <si>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</si>
  <si>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</si>
  <si>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</si>
  <si>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</si>
  <si>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</si>
  <si>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</si>
  <si>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</si>
  <si>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</si>
  <si>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</si>
  <si>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</si>
  <si>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</si>
  <si>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</si>
  <si>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</si>
  <si>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</si>
  <si>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</si>
  <si>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</si>
  <si>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</si>
  <si>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</si>
  <si>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</si>
  <si>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</si>
  <si>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</si>
  <si>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</si>
  <si>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</si>
  <si>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</si>
  <si>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</si>
  <si>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</si>
  <si>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</si>
  <si>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</si>
  <si>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</si>
  <si>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</si>
  <si>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</si>
  <si>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</si>
  <si>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</si>
  <si>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</si>
  <si>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</si>
  <si>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</si>
  <si>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</si>
  <si>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</si>
  <si>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</si>
  <si>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</si>
  <si>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</si>
  <si>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</si>
  <si>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</si>
  <si>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</si>
  <si>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</si>
  <si>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</si>
  <si>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</si>
  <si>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</si>
  <si>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</si>
  <si>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</si>
  <si>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</si>
  <si>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</si>
  <si>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</si>
  <si>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</si>
  <si>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</si>
  <si>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</si>
  <si>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</si>
  <si>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</si>
  <si>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</si>
  <si>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</si>
  <si>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</si>
  <si>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</si>
  <si>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</si>
  <si>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</si>
  <si>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</si>
  <si>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</si>
  <si>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</si>
  <si>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</si>
  <si>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</si>
  <si>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</si>
  <si>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</si>
  <si>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</si>
  <si>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</si>
  <si>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</si>
  <si>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</si>
  <si>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</si>
  <si>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</si>
  <si>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</si>
  <si>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</si>
  <si>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</si>
  <si>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</si>
  <si>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</si>
  <si>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</si>
  <si>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</si>
  <si>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</si>
  <si>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</si>
  <si>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</si>
  <si>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</si>
  <si>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</si>
  <si>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</si>
  <si>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</si>
  <si>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</si>
  <si>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</si>
  <si>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</si>
  <si>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</si>
  <si>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</si>
  <si>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</si>
  <si>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</si>
  <si>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</si>
  <si>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</si>
  <si>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</si>
  <si>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</si>
  <si>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</si>
  <si>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</si>
  <si>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</si>
  <si>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</si>
  <si>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</si>
  <si>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</si>
  <si>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</si>
  <si>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</si>
  <si>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</si>
  <si>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</si>
  <si>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</si>
  <si>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</si>
  <si>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</si>
  <si>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</si>
  <si>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</si>
  <si>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</si>
  <si>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</si>
  <si>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</si>
  <si>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</si>
  <si>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</si>
  <si>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</si>
  <si>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</si>
  <si>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</si>
  <si>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</si>
  <si>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</si>
  <si>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</si>
  <si>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</si>
  <si>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</si>
  <si>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</si>
  <si>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</si>
  <si>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</si>
  <si>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</si>
  <si>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</si>
  <si>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</si>
  <si>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</si>
  <si>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</si>
  <si>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</si>
  <si>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</si>
  <si>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</si>
  <si>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</si>
  <si>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</si>
  <si>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</si>
  <si>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</si>
  <si>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</si>
  <si>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</si>
  <si>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</si>
  <si>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</si>
  <si>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</si>
  <si>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</si>
  <si>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</si>
  <si>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</si>
  <si>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</si>
  <si>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</si>
  <si>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</si>
  <si>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</si>
  <si>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</si>
  <si>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</si>
  <si>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</si>
  <si>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</si>
  <si>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</si>
  <si>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</si>
  <si>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</si>
  <si>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</si>
  <si>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</si>
  <si>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</si>
  <si>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</si>
  <si>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</si>
  <si>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</si>
  <si>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</si>
  <si>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</si>
  <si>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</si>
  <si>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</si>
  <si>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</si>
  <si>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</si>
  <si>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</si>
  <si>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</si>
  <si>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</si>
  <si>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</si>
  <si>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</si>
  <si>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</si>
  <si>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</si>
  <si>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</si>
  <si>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</si>
  <si>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</si>
  <si>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</si>
  <si>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</si>
  <si>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</si>
  <si>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</si>
  <si>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</si>
  <si>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</si>
  <si>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</si>
  <si>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</si>
  <si>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</si>
  <si>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</si>
  <si>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</si>
  <si>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</si>
  <si>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</si>
  <si>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</si>
  <si>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</si>
  <si>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</si>
  <si>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</si>
  <si>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</si>
  <si>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</si>
  <si>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</si>
  <si>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</si>
  <si>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</si>
  <si>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</si>
  <si>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</si>
  <si>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</si>
  <si>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</si>
  <si>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</si>
  <si>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</si>
  <si>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</si>
  <si>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</si>
  <si>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</si>
  <si>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</si>
  <si>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</si>
  <si>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</si>
  <si>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</si>
  <si>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</si>
  <si>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</si>
  <si>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</si>
  <si>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</si>
  <si>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</si>
  <si>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</si>
  <si>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</si>
  <si>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</si>
  <si>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</si>
  <si>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</si>
  <si>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</si>
  <si>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</si>
  <si>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</si>
  <si>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</si>
  <si>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</si>
  <si>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</si>
  <si>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</si>
  <si>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</si>
  <si>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</si>
  <si>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</si>
  <si>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</si>
  <si>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</si>
  <si>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</si>
  <si>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</si>
  <si>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</si>
  <si>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</si>
  <si>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</si>
  <si>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</si>
  <si>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</si>
  <si>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</si>
  <si>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</si>
  <si>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</si>
  <si>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</si>
  <si>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</si>
  <si>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</si>
  <si>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</si>
  <si>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</si>
  <si>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</si>
  <si>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</si>
  <si>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</si>
  <si>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</si>
  <si>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</si>
  <si>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</si>
  <si>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</si>
  <si>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</si>
  <si>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</si>
  <si>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</si>
  <si>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</si>
  <si>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</si>
  <si>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</si>
  <si>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</si>
  <si>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</si>
  <si>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</si>
  <si>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</si>
  <si>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</si>
  <si>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</si>
  <si>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</si>
  <si>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</si>
  <si>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</si>
  <si>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</si>
  <si>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</si>
  <si>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</si>
  <si>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</si>
  <si>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</si>
  <si>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</si>
  <si>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</si>
  <si>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</si>
  <si>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</si>
  <si>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</si>
  <si>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</si>
  <si>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</si>
  <si>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</si>
  <si>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</si>
  <si>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</si>
  <si>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</si>
  <si>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</si>
  <si>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</si>
  <si>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</si>
  <si>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</si>
  <si>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</si>
  <si>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</si>
  <si>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</si>
  <si>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</si>
  <si>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</si>
  <si>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</si>
  <si>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</si>
  <si>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</si>
  <si>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</si>
  <si>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</si>
  <si>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</si>
  <si>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</si>
  <si>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</si>
  <si>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</si>
  <si>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</si>
  <si>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</si>
  <si>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</si>
  <si>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</si>
  <si>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</si>
  <si>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</si>
  <si>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</si>
  <si>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</si>
  <si>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</si>
  <si>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</si>
  <si>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</si>
  <si>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</si>
  <si>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</si>
  <si>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</si>
  <si>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</si>
  <si>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</si>
  <si>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</si>
  <si>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</si>
  <si>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</si>
  <si>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</si>
  <si>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</si>
  <si>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</si>
  <si>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</si>
  <si>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</si>
  <si>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</si>
  <si>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</si>
  <si>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</si>
  <si>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</si>
  <si>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</si>
  <si>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</si>
  <si>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</si>
  <si>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</si>
  <si>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</si>
  <si>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</si>
  <si>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</si>
  <si>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</si>
  <si>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</si>
  <si>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</si>
  <si>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</si>
  <si>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</si>
  <si>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</si>
  <si>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</si>
  <si>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</si>
  <si>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</si>
  <si>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</si>
  <si>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</si>
  <si>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</si>
  <si>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</si>
  <si>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</si>
  <si>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</si>
  <si>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</si>
  <si>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</si>
  <si>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</si>
  <si>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</si>
  <si>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</si>
  <si>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</si>
  <si>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</si>
  <si>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</si>
  <si>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</si>
  <si>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</si>
  <si>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</si>
  <si>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</si>
  <si>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</si>
  <si>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</si>
  <si>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</si>
  <si>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</si>
  <si>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</si>
  <si>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</si>
  <si>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</si>
  <si>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</si>
  <si>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</si>
  <si>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</si>
  <si>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</si>
  <si>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</si>
  <si>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</si>
  <si>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</si>
  <si>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</si>
  <si>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</si>
  <si>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</si>
  <si>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</si>
  <si>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</si>
  <si>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</si>
  <si>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</si>
  <si>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</si>
  <si>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</si>
  <si>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</si>
  <si>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</si>
  <si>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</si>
  <si>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</si>
  <si>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</si>
  <si>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</si>
  <si>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</si>
  <si>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</si>
  <si>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</si>
  <si>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</si>
  <si>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</si>
  <si>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</si>
  <si>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</si>
  <si>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</si>
  <si>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</si>
  <si>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</si>
  <si>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</si>
  <si>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</si>
  <si>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</si>
  <si>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</si>
  <si>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</si>
  <si>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</si>
  <si>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</si>
  <si>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</si>
  <si>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</si>
  <si>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</si>
  <si>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</si>
  <si>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</si>
  <si>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</si>
  <si>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</si>
  <si>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</si>
  <si>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</si>
  <si>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</si>
  <si>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</si>
  <si>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</si>
  <si>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</si>
  <si>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</si>
  <si>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</si>
  <si>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</si>
  <si>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</si>
  <si>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</si>
  <si>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</si>
  <si>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</si>
  <si>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</si>
  <si>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</si>
  <si>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</si>
  <si>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</si>
  <si>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</si>
  <si>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</si>
  <si>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</si>
  <si>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</si>
  <si>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</si>
  <si>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</si>
  <si>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</si>
  <si>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</si>
  <si>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</si>
  <si>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</si>
  <si>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</si>
  <si>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</si>
  <si>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</si>
  <si>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</si>
  <si>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</si>
  <si>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</si>
  <si>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</si>
  <si>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</si>
  <si>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</si>
  <si>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</si>
  <si>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</si>
  <si>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</si>
  <si>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</si>
  <si>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</si>
  <si>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</si>
  <si>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</si>
  <si>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</si>
  <si>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</si>
  <si>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</si>
  <si>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</si>
  <si>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</si>
  <si>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</si>
  <si>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</si>
  <si>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</si>
  <si>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</si>
  <si>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</si>
  <si>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</si>
  <si>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</si>
  <si>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</si>
  <si>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</si>
  <si>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</si>
  <si>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</si>
  <si>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</si>
  <si>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</si>
  <si>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</si>
  <si>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</si>
  <si>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</si>
  <si>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</si>
  <si>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</si>
  <si>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</si>
  <si>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</si>
  <si>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</si>
  <si>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</si>
  <si>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</si>
  <si>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</si>
  <si>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</si>
  <si>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</si>
  <si>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</si>
  <si>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</si>
  <si>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</si>
  <si>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</si>
  <si>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</si>
  <si>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</si>
  <si>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</si>
  <si>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</si>
  <si>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</si>
  <si>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</si>
  <si>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</si>
  <si>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</si>
  <si>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</si>
  <si>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</si>
  <si>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</si>
  <si>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</si>
  <si>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</si>
  <si>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</si>
  <si>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</si>
  <si>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</si>
  <si>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</si>
  <si>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</si>
  <si>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</si>
  <si>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</si>
  <si>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</si>
  <si>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</si>
  <si>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</si>
  <si>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</si>
  <si>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</si>
  <si>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</si>
  <si>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</si>
  <si>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</si>
  <si>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</si>
  <si>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</si>
  <si>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</si>
  <si>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</si>
  <si>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</si>
  <si>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</si>
  <si>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</si>
  <si>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</si>
  <si>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</si>
  <si>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</si>
  <si>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</si>
  <si>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</si>
  <si>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</si>
  <si>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</si>
  <si>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</si>
  <si>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</si>
  <si>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</si>
  <si>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</si>
  <si>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</si>
  <si>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</si>
  <si>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</si>
  <si>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</si>
  <si>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</si>
  <si>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</si>
  <si>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</si>
  <si>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</si>
  <si>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</si>
  <si>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</si>
  <si>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</si>
  <si>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</si>
  <si>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</si>
  <si>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</si>
  <si>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</si>
  <si>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</si>
  <si>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</si>
  <si>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</si>
  <si>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</si>
  <si>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</si>
  <si>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</si>
  <si>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</si>
  <si>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</si>
  <si>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</si>
  <si>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</si>
  <si>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</si>
  <si>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</si>
  <si>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</si>
  <si>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</si>
  <si>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</si>
  <si>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</si>
  <si>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</si>
  <si>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</si>
  <si>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</si>
  <si>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</si>
  <si>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</si>
  <si>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</si>
  <si>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</si>
  <si>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</si>
  <si>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</si>
  <si>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</si>
  <si>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</si>
  <si>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</si>
  <si>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</si>
  <si>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</si>
  <si>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</si>
  <si>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</si>
  <si>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</si>
  <si>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</si>
  <si>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</si>
  <si>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</si>
  <si>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</si>
  <si>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</si>
  <si>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</si>
  <si>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</si>
  <si>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</si>
  <si>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</si>
  <si>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</si>
  <si>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</si>
  <si>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</si>
  <si>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</si>
  <si>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</si>
  <si>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</si>
  <si>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</si>
  <si>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</si>
  <si>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</si>
  <si>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</si>
  <si>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</si>
  <si>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</si>
  <si>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</si>
  <si>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</si>
  <si>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</si>
  <si>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</si>
  <si>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</si>
  <si>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</si>
  <si>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</si>
  <si>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</si>
  <si>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</si>
  <si>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</si>
  <si>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</si>
  <si>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</si>
  <si>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</si>
  <si>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</si>
  <si>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</si>
  <si>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</si>
  <si>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</si>
  <si>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</si>
  <si>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</si>
  <si>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</si>
  <si>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</si>
  <si>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</si>
  <si>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</si>
  <si>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</si>
  <si>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</si>
  <si>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</si>
  <si>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</si>
  <si>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</si>
  <si>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</si>
  <si>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</si>
  <si>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</si>
  <si>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</si>
  <si>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</si>
  <si>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</si>
  <si>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</si>
  <si>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</si>
  <si>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</si>
  <si>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</si>
  <si>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</si>
  <si>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</si>
  <si>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</si>
  <si>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</si>
  <si>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</si>
  <si>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</si>
  <si>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</si>
  <si>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</si>
  <si>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</si>
  <si>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</si>
  <si>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</si>
  <si>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</si>
  <si>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</si>
  <si>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</si>
  <si>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</si>
  <si>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</si>
  <si>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</si>
  <si>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</si>
  <si>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</si>
  <si>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</si>
  <si>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</si>
  <si>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</si>
  <si>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</si>
  <si>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</si>
  <si>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</si>
  <si>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</si>
  <si>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</si>
  <si>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</si>
  <si>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</si>
  <si>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</si>
  <si>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</si>
  <si>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</si>
  <si>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</si>
  <si>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</si>
  <si>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</si>
  <si>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</si>
  <si>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</si>
  <si>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</si>
  <si>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</si>
  <si>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</si>
  <si>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</si>
  <si>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</si>
  <si>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</si>
  <si>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</si>
  <si>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</si>
  <si>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</si>
  <si>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</si>
  <si>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</si>
  <si>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</si>
  <si>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</si>
  <si>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</si>
  <si>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</si>
  <si>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</si>
  <si>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</si>
  <si>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</si>
  <si>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</si>
  <si>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</si>
  <si>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</si>
  <si>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</si>
  <si>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</si>
  <si>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</si>
  <si>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</si>
  <si>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</si>
  <si>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</si>
  <si>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</si>
  <si>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</si>
  <si>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</si>
  <si>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</si>
  <si>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</si>
  <si>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</si>
  <si>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</si>
  <si>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</si>
  <si>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</si>
  <si>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</si>
  <si>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</si>
  <si>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</si>
  <si>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</si>
  <si>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</si>
  <si>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</si>
  <si>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</si>
  <si>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</si>
  <si>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</si>
  <si>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</si>
  <si>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</si>
  <si>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</si>
  <si>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</si>
  <si>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</si>
  <si>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</si>
  <si>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</si>
  <si>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</si>
  <si>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</si>
  <si>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</si>
  <si>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</si>
  <si>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</si>
  <si>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</si>
  <si>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</si>
  <si>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</si>
  <si>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</si>
  <si>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</si>
  <si>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</si>
  <si>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</si>
  <si>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</si>
  <si>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</si>
  <si>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</si>
  <si>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</si>
  <si>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</si>
  <si>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</si>
  <si>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</si>
  <si>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</si>
  <si>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</si>
  <si>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</si>
  <si>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</si>
  <si>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</si>
  <si>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</si>
  <si>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</si>
  <si>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</si>
  <si>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</si>
  <si>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</si>
  <si>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</si>
  <si>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</si>
  <si>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</si>
  <si>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</si>
  <si>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</si>
  <si>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</si>
  <si>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</si>
  <si>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</si>
  <si>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</si>
  <si>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</si>
  <si>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</si>
  <si>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</si>
  <si>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</si>
  <si>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</si>
  <si>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</si>
  <si>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</si>
  <si>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</si>
  <si>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</si>
  <si>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</si>
  <si>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</si>
  <si>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</si>
  <si>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</si>
  <si>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</si>
  <si>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</si>
  <si>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</si>
  <si>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</si>
  <si>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</si>
  <si>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</si>
  <si>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</si>
  <si>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</si>
  <si>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</si>
  <si>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</si>
  <si>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</si>
  <si>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</si>
  <si>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</si>
  <si>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</si>
  <si>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</si>
  <si>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</si>
  <si>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</si>
  <si>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</si>
  <si>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</si>
  <si>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</si>
  <si>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</si>
  <si>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</si>
  <si>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</si>
  <si>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</si>
  <si>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</si>
  <si>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</si>
  <si>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</si>
  <si>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</si>
  <si>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</si>
  <si>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</si>
  <si>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</si>
  <si>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</si>
  <si>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</si>
  <si>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</si>
  <si>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</si>
  <si>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</si>
  <si>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</si>
  <si>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</si>
  <si>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</si>
  <si>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</si>
  <si>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</si>
  <si>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</si>
  <si>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</si>
  <si>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</si>
  <si>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</si>
  <si>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</si>
  <si>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</si>
  <si>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</si>
  <si>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</si>
  <si>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</si>
  <si>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</si>
  <si>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</si>
  <si>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</si>
  <si>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</si>
  <si>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</si>
  <si>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</si>
  <si>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</si>
  <si>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</si>
  <si>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</si>
  <si>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</si>
  <si>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</si>
  <si>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</si>
  <si>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</si>
  <si>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</si>
  <si>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</si>
  <si>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</si>
  <si>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</si>
  <si>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</si>
  <si>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</si>
  <si>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</si>
  <si>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</si>
  <si>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</si>
  <si>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</si>
  <si>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</si>
  <si>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</si>
  <si>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</si>
  <si>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</si>
  <si>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</si>
  <si>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</si>
  <si>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</si>
  <si>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</si>
  <si>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</si>
  <si>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</si>
  <si>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</si>
  <si>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</si>
  <si>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</si>
  <si>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</si>
  <si>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</si>
  <si>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</si>
  <si>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</si>
  <si>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</si>
  <si>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</si>
  <si>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</si>
  <si>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</si>
  <si>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</si>
  <si>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</si>
  <si>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</si>
  <si>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</si>
  <si>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</si>
  <si>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</si>
  <si>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</si>
  <si>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</si>
  <si>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</si>
  <si>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</si>
  <si>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</si>
  <si>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</si>
  <si>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</si>
  <si>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</si>
  <si>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</si>
  <si>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</si>
  <si>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</si>
  <si>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</si>
  <si>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</si>
  <si>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</si>
  <si>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</si>
  <si>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</si>
  <si>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</si>
  <si>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</si>
  <si>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</si>
  <si>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</si>
  <si>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</si>
  <si>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</si>
  <si>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</si>
  <si>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</si>
  <si>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</si>
  <si>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</si>
  <si>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</si>
  <si>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</si>
  <si>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</si>
  <si>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</si>
  <si>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</si>
  <si>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</si>
  <si>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</si>
  <si>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</si>
  <si>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</si>
  <si>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</si>
  <si>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</si>
  <si>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</si>
  <si>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</si>
  <si>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</si>
  <si>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</si>
  <si>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</si>
  <si>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</si>
  <si>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</si>
  <si>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</si>
  <si>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</si>
  <si>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</si>
  <si>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</si>
  <si>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</si>
  <si>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</si>
  <si>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</si>
  <si>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</si>
  <si>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</si>
  <si>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</si>
  <si>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</si>
  <si>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</si>
  <si>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</si>
  <si>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</si>
  <si>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</si>
  <si>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</si>
  <si>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</si>
  <si>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</si>
  <si>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</si>
  <si>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</si>
  <si>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</si>
  <si>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</si>
  <si>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</si>
  <si>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</si>
  <si>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</si>
  <si>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</si>
  <si>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</si>
  <si>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</si>
  <si>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</si>
  <si>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</si>
  <si>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</si>
  <si>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</si>
  <si>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</si>
  <si>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</si>
  <si>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</si>
  <si>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</si>
  <si>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</si>
  <si>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</si>
  <si>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</si>
  <si>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</si>
  <si>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</si>
  <si>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</si>
  <si>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</si>
  <si>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</si>
  <si>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</si>
  <si>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</si>
  <si>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</si>
  <si>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</si>
  <si>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</si>
  <si>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</si>
  <si>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</si>
  <si>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</si>
  <si>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</si>
  <si>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</si>
  <si>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</si>
  <si>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</si>
  <si>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</si>
  <si>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</si>
  <si>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</si>
  <si>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</si>
  <si>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</si>
  <si>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</si>
  <si>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</si>
  <si>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</si>
  <si>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</si>
  <si>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</si>
  <si>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</si>
  <si>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</si>
  <si>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</si>
  <si>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</si>
  <si>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</si>
  <si>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</si>
  <si>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</si>
  <si>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</si>
  <si>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</si>
  <si>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</si>
  <si>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</si>
  <si>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</si>
  <si>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</si>
  <si>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</si>
  <si>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</si>
  <si>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</si>
  <si>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</si>
  <si>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</si>
  <si>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</si>
  <si>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</si>
  <si>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</si>
  <si>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</si>
  <si>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</si>
  <si>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</si>
  <si>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</si>
  <si>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</si>
  <si>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</si>
  <si>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</si>
  <si>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</si>
  <si>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</si>
  <si>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</si>
  <si>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</si>
  <si>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</si>
  <si>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</si>
  <si>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</si>
  <si>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</si>
  <si>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</si>
  <si>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</si>
  <si>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</si>
  <si>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</si>
  <si>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</si>
  <si>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</si>
  <si>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</si>
  <si>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</si>
  <si>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</si>
  <si>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</si>
  <si>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</si>
  <si>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</si>
  <si>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</si>
  <si>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</si>
  <si>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</si>
  <si>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</si>
  <si>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</si>
  <si>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</si>
  <si>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</si>
  <si>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</si>
  <si>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</si>
  <si>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</si>
  <si>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</si>
  <si>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</si>
  <si>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</si>
  <si>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</si>
  <si>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</si>
  <si>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</si>
  <si>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</si>
  <si>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</si>
  <si>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</si>
  <si>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</si>
  <si>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</si>
  <si>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</si>
  <si>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</si>
  <si>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</si>
  <si>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</si>
  <si>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</si>
  <si>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</si>
  <si>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</si>
  <si>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</si>
  <si>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</si>
  <si>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</si>
  <si>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</si>
  <si>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</si>
  <si>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</si>
  <si>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</si>
  <si>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</si>
  <si>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</si>
  <si>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</si>
  <si>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</si>
  <si>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</si>
  <si>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</si>
  <si>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</si>
  <si>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</si>
  <si>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</si>
  <si>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</si>
  <si>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</si>
  <si>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</si>
  <si>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</si>
  <si>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</si>
  <si>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</si>
  <si>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</si>
  <si>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</si>
  <si>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</si>
  <si>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</si>
  <si>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</si>
  <si>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</si>
  <si>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</si>
  <si>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</si>
  <si>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</si>
  <si>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</si>
  <si>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</si>
  <si>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</si>
  <si>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</si>
  <si>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</si>
  <si>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</si>
  <si>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</si>
  <si>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</si>
  <si>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</si>
  <si>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</si>
  <si>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</si>
  <si>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</si>
  <si>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</si>
  <si>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</si>
  <si>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</si>
  <si>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</si>
  <si>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</si>
  <si>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</si>
  <si>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</si>
  <si>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</si>
  <si>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</si>
  <si>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</si>
  <si>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</si>
  <si>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</si>
  <si>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</si>
  <si>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</si>
  <si>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</si>
  <si>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</si>
  <si>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</si>
  <si>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</si>
  <si>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</si>
  <si>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</si>
  <si>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</si>
  <si>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</si>
  <si>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</si>
  <si>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</si>
  <si>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</si>
  <si>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</si>
  <si>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</si>
  <si>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</si>
  <si>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</si>
  <si>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</si>
  <si>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</si>
  <si>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</si>
  <si>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</si>
  <si>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</si>
  <si>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</si>
  <si>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</si>
  <si>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</si>
  <si>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</si>
  <si>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</si>
  <si>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</si>
  <si>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</si>
  <si>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</si>
  <si>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</si>
  <si>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</si>
  <si>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</si>
  <si>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</si>
  <si>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</si>
  <si>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</si>
  <si>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</si>
  <si>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</si>
  <si>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</si>
  <si>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</si>
  <si>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</si>
  <si>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</si>
  <si>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</si>
  <si>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</si>
  <si>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</si>
  <si>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</si>
  <si>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</si>
  <si>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</si>
  <si>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</si>
  <si>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</si>
  <si>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</si>
  <si>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</si>
  <si>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</si>
  <si>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</si>
  <si>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</si>
  <si>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</si>
  <si>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</si>
  <si>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</si>
  <si>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</si>
  <si>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</si>
  <si>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</si>
  <si>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</si>
  <si>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</si>
  <si>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</si>
  <si>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</si>
  <si>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</si>
  <si>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</si>
  <si>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</si>
  <si>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</si>
  <si>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</si>
  <si>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</si>
  <si>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</si>
  <si>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</si>
  <si>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</si>
  <si>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</si>
  <si>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</si>
  <si>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</si>
  <si>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</si>
  <si>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</si>
  <si>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</si>
  <si>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</si>
  <si>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</si>
  <si>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</si>
  <si>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</si>
  <si>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</si>
  <si>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</si>
  <si>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</si>
  <si>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</si>
  <si>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</si>
  <si>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</si>
  <si>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</si>
  <si>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</si>
  <si>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</si>
  <si>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</si>
  <si>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</si>
  <si>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</si>
  <si>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</si>
  <si>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</si>
  <si>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</si>
  <si>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</si>
  <si>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</si>
  <si>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</si>
  <si>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</si>
  <si>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</si>
  <si>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</si>
  <si>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</si>
  <si>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</si>
  <si>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</si>
  <si>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</si>
  <si>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</si>
  <si>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</si>
  <si>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</si>
  <si>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</si>
  <si>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</si>
  <si>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</si>
  <si>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</si>
  <si>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</si>
  <si>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</si>
  <si>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</si>
  <si>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</si>
  <si>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</si>
  <si>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</si>
  <si>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</si>
  <si>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</si>
  <si>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</si>
  <si>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</si>
  <si>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</si>
  <si>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</si>
  <si>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</si>
  <si>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</si>
  <si>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</si>
  <si>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</si>
  <si>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</si>
  <si>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</si>
  <si>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</si>
  <si>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</si>
  <si>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</si>
  <si>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</si>
  <si>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</si>
  <si>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</si>
  <si>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</si>
  <si>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</si>
  <si>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</si>
  <si>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</si>
  <si>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</si>
  <si>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</si>
  <si>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</si>
  <si>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</si>
  <si>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</si>
  <si>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</si>
  <si>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</si>
  <si>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</si>
  <si>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</si>
  <si>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</si>
  <si>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</si>
  <si>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</si>
  <si>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</si>
  <si>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</si>
  <si>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</si>
  <si>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</si>
  <si>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</si>
  <si>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</si>
  <si>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</si>
  <si>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</si>
  <si>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</si>
  <si>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</si>
  <si>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</si>
  <si>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</si>
  <si>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</si>
  <si>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</si>
  <si>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</si>
  <si>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</si>
  <si>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</si>
  <si>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</si>
  <si>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</si>
  <si>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</si>
  <si>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</si>
  <si>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</si>
  <si>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</si>
  <si>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</si>
  <si>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</si>
  <si>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</si>
  <si>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</si>
  <si>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</si>
  <si>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</si>
  <si>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</si>
  <si>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</si>
  <si>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</si>
  <si>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</si>
  <si>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</si>
  <si>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</si>
  <si>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</si>
  <si>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</si>
  <si>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</si>
  <si>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</si>
  <si>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</si>
  <si>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</si>
  <si>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</si>
  <si>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</si>
  <si>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</si>
  <si>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</si>
  <si>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</si>
  <si>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</si>
  <si>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</si>
  <si>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</si>
  <si>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</si>
  <si>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</si>
  <si>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</si>
  <si>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</si>
  <si>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</si>
  <si>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</si>
  <si>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</si>
  <si>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</si>
  <si>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</si>
  <si>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</si>
  <si>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</si>
  <si>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</si>
  <si>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</si>
  <si>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</si>
  <si>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</si>
  <si>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</si>
  <si>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</si>
  <si>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</si>
  <si>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</si>
  <si>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</si>
  <si>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</si>
  <si>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</si>
  <si>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</si>
  <si>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</si>
  <si>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</si>
  <si>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</si>
  <si>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</si>
  <si>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</si>
  <si>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</si>
  <si>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</si>
  <si>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</si>
  <si>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</si>
  <si>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</si>
  <si>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</si>
  <si>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</si>
  <si>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</si>
  <si>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</si>
  <si>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</si>
  <si>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</si>
  <si>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</si>
  <si>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</si>
  <si>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</si>
  <si>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</si>
  <si>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</si>
  <si>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</si>
  <si>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</si>
  <si>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</si>
  <si>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</si>
  <si>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</si>
  <si>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</si>
  <si>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</si>
  <si>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</si>
  <si>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</si>
  <si>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</si>
  <si>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</si>
  <si>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</si>
  <si>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</si>
  <si>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</si>
  <si>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</si>
  <si>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</si>
  <si>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</si>
  <si>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</si>
  <si>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</si>
  <si>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</si>
  <si>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</si>
  <si>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</si>
  <si>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</si>
  <si>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</si>
  <si>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</si>
  <si>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</si>
  <si>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</si>
  <si>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</si>
  <si>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</si>
  <si>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</si>
  <si>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</si>
  <si>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</si>
  <si>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</si>
  <si>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</si>
  <si>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</si>
  <si>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</si>
  <si>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</si>
  <si>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</si>
  <si>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</si>
  <si>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</si>
  <si>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</si>
  <si>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</si>
  <si>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</si>
  <si>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</si>
  <si>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</si>
  <si>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</si>
  <si>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</si>
  <si>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</si>
  <si>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</si>
  <si>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</si>
  <si>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</si>
  <si>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</si>
  <si>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</si>
  <si>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</si>
  <si>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</si>
  <si>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</si>
  <si>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</si>
  <si>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</si>
  <si>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</si>
  <si>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</si>
  <si>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</si>
  <si>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</si>
  <si>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</si>
  <si>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</si>
  <si>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</si>
  <si>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</si>
  <si>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</si>
  <si>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</si>
  <si>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</si>
  <si>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</si>
  <si>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</si>
  <si>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</si>
  <si>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</si>
  <si>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</si>
  <si>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</si>
  <si>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</si>
  <si>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</si>
  <si>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</si>
  <si>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</si>
  <si>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</si>
  <si>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</si>
  <si>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</si>
  <si>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</si>
  <si>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</si>
  <si>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</si>
  <si>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</si>
  <si>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</si>
  <si>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</si>
  <si>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</si>
  <si>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</si>
  <si>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</si>
  <si>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</si>
  <si>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</si>
  <si>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</si>
  <si>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</si>
  <si>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</si>
  <si>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</si>
  <si>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</si>
  <si>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</si>
  <si>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</si>
  <si>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</si>
  <si>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</si>
  <si>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</si>
  <si>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</si>
  <si>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</si>
  <si>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</si>
  <si>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</si>
  <si>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</si>
  <si>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</si>
  <si>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</si>
  <si>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</si>
  <si>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</si>
  <si>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</si>
  <si>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</si>
  <si>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</si>
  <si>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</si>
  <si>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</si>
  <si>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</si>
  <si>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</si>
  <si>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</si>
  <si>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</si>
  <si>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</si>
  <si>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</si>
  <si>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</si>
  <si>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</si>
  <si>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</si>
  <si>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</si>
  <si>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</si>
  <si>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</si>
  <si>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</si>
  <si>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</si>
  <si>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</si>
  <si>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</si>
  <si>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</si>
  <si>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</si>
  <si>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</si>
  <si>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</si>
  <si>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</si>
  <si>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</si>
  <si>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</si>
  <si>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</si>
  <si>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</si>
  <si>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</si>
  <si>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</si>
  <si>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</si>
  <si>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</si>
  <si>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</si>
  <si>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</si>
  <si>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</si>
  <si>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</si>
  <si>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</si>
  <si>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</si>
  <si>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</si>
  <si>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</si>
  <si>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</si>
  <si>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</si>
  <si>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</si>
  <si>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</si>
  <si>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</si>
  <si>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</si>
  <si>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</si>
  <si>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</si>
  <si>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</si>
  <si>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</si>
  <si>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</si>
  <si>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</si>
  <si>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</si>
  <si>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</si>
  <si>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</si>
  <si>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</si>
  <si>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</si>
  <si>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</si>
  <si>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</si>
  <si>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</si>
  <si>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</si>
  <si>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</si>
  <si>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</si>
  <si>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</si>
  <si>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</si>
  <si>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</si>
  <si>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</si>
  <si>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</si>
  <si>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</si>
  <si>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</si>
  <si>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</si>
  <si>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</si>
  <si>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</si>
  <si>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</si>
  <si>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</si>
  <si>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</si>
  <si>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</si>
  <si>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</si>
  <si>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</si>
  <si>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</si>
  <si>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</si>
  <si>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</si>
  <si>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</si>
  <si>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</si>
  <si>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</si>
  <si>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</si>
  <si>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</si>
  <si>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</si>
  <si>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</si>
  <si>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</si>
  <si>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</si>
  <si>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</si>
  <si>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</si>
  <si>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</si>
  <si>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</si>
  <si>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</si>
  <si>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</si>
  <si>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</si>
  <si>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</si>
  <si>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</si>
  <si>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</si>
  <si>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</si>
  <si>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</si>
  <si>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</si>
  <si>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</si>
  <si>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</si>
  <si>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</si>
  <si>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</si>
  <si>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</si>
  <si>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</si>
  <si>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</si>
  <si>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</si>
  <si>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</si>
  <si>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</si>
  <si>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</si>
  <si>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</si>
  <si>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</si>
  <si>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</si>
  <si>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</si>
  <si>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</si>
  <si>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</si>
  <si>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</si>
  <si>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</si>
  <si>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</si>
  <si>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</si>
  <si>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</si>
  <si>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</si>
  <si>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</si>
  <si>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</si>
  <si>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</si>
  <si>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</si>
  <si>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</si>
  <si>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</si>
  <si>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</si>
  <si>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</si>
  <si>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</si>
  <si>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</si>
  <si>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</si>
  <si>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</si>
  <si>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</si>
  <si>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</si>
  <si>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</si>
  <si>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</si>
  <si>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</si>
  <si>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</si>
  <si>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</si>
  <si>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</si>
  <si>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</si>
  <si>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</si>
  <si>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</si>
  <si>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</si>
  <si>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</si>
  <si>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</si>
  <si>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</si>
  <si>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</si>
  <si>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</si>
  <si>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</si>
  <si>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</si>
  <si>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</si>
  <si>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</si>
  <si>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</si>
  <si>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</si>
  <si>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</si>
  <si>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</si>
  <si>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</si>
  <si>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</si>
  <si>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</si>
  <si>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</si>
  <si>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</si>
  <si>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</si>
  <si>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</si>
  <si>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</si>
  <si>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</si>
  <si>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</si>
  <si>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</si>
  <si>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</si>
  <si>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</si>
  <si>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</si>
  <si>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</si>
  <si>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</si>
  <si>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</si>
  <si>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</si>
  <si>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</si>
  <si>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</si>
  <si>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</si>
  <si>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</si>
  <si>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</si>
  <si>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</si>
  <si>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</si>
  <si>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</si>
  <si>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</si>
  <si>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</si>
  <si>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</si>
  <si>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</si>
  <si>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</si>
  <si>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</si>
  <si>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</si>
  <si>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</si>
  <si>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</si>
  <si>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</si>
  <si>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</si>
  <si>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</si>
  <si>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</si>
  <si>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</si>
  <si>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</si>
  <si>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</si>
  <si>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</si>
  <si>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</si>
  <si>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</si>
  <si>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</si>
  <si>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</si>
  <si>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</si>
  <si>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</si>
  <si>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</si>
  <si>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</si>
  <si>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</si>
  <si>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</si>
  <si>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</si>
  <si>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</si>
  <si>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</si>
  <si>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</si>
  <si>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</si>
  <si>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</si>
  <si>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</si>
  <si>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</si>
  <si>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</si>
  <si>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</si>
  <si>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</si>
  <si>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</si>
  <si>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</si>
  <si>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</si>
  <si>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</si>
  <si>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</si>
  <si>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</si>
  <si>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</si>
  <si>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</si>
  <si>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</si>
  <si>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</si>
  <si>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</si>
  <si>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</si>
  <si>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</si>
  <si>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</si>
  <si>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</si>
  <si>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</si>
  <si>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</si>
  <si>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</si>
  <si>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</si>
  <si>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</si>
  <si>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</si>
  <si>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</si>
  <si>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</si>
  <si>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</si>
  <si>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</si>
  <si>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</si>
  <si>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</si>
  <si>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</si>
  <si>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</si>
  <si>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</si>
  <si>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</si>
  <si>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</si>
  <si>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</si>
  <si>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</si>
  <si>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</si>
  <si>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</si>
  <si>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</si>
  <si>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</si>
  <si>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</si>
  <si>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</si>
  <si>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</si>
  <si>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</si>
  <si>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</si>
  <si>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</si>
  <si>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</si>
  <si>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</si>
  <si>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</si>
  <si>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</si>
  <si>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</si>
  <si>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</si>
  <si>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</si>
  <si>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</si>
  <si>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</si>
  <si>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</si>
  <si>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</si>
  <si>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</si>
  <si>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</si>
  <si>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</si>
  <si>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</si>
  <si>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</si>
  <si>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</si>
  <si>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</si>
  <si>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</si>
  <si>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</si>
  <si>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</si>
  <si>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</si>
  <si>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</si>
  <si>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</si>
  <si>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</si>
  <si>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</si>
  <si>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</si>
  <si>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</si>
  <si>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</si>
  <si>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</si>
  <si>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</si>
  <si>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</si>
  <si>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</si>
  <si>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</si>
  <si>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</si>
  <si>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</si>
  <si>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</si>
  <si>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</si>
  <si>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</si>
  <si>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</si>
  <si>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</si>
  <si>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</si>
  <si>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</si>
  <si>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</si>
  <si>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</si>
  <si>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</si>
  <si>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</si>
  <si>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</si>
  <si>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</si>
  <si>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</si>
  <si>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</si>
  <si>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</si>
  <si>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</si>
  <si>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</si>
  <si>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</si>
  <si>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</si>
  <si>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</si>
  <si>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</si>
  <si>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</si>
  <si>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</si>
  <si>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</si>
  <si>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</si>
  <si>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</si>
  <si>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</si>
  <si>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</si>
  <si>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</si>
  <si>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</si>
  <si>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</si>
  <si>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</si>
  <si>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</si>
  <si>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</si>
  <si>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</si>
  <si>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</si>
  <si>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</si>
  <si>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</si>
  <si>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</si>
  <si>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</si>
  <si>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</si>
  <si>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</si>
  <si>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</si>
  <si>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</si>
  <si>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</si>
  <si>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</si>
  <si>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</si>
  <si>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</si>
  <si>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</si>
  <si>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</si>
  <si>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</si>
  <si>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</si>
  <si>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</si>
  <si>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</si>
  <si>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</si>
  <si>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</si>
  <si>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</si>
  <si>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</si>
  <si>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</si>
  <si>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</si>
  <si>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</si>
  <si>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</si>
  <si>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</si>
  <si>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</si>
  <si>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</si>
  <si>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</si>
  <si>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</si>
  <si>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</si>
  <si>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</si>
  <si>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</si>
  <si>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</si>
  <si>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</si>
  <si>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</si>
  <si>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</si>
  <si>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</si>
  <si>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</si>
  <si>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</si>
  <si>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</si>
  <si>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</si>
  <si>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</si>
  <si>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</si>
  <si>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</si>
  <si>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</si>
  <si>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</si>
  <si>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</si>
  <si>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</si>
  <si>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</si>
  <si>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</si>
  <si>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</si>
  <si>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</si>
  <si>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</si>
  <si>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</si>
  <si>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</si>
  <si>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</si>
  <si>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</si>
  <si>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</si>
  <si>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</si>
  <si>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</si>
  <si>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</si>
  <si>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</si>
  <si>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</si>
  <si>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</si>
  <si>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</si>
  <si>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</si>
  <si>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</si>
  <si>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</si>
  <si>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</si>
  <si>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</si>
  <si>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</si>
  <si>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</si>
  <si>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</si>
  <si>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</si>
  <si>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</si>
  <si>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</si>
  <si>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</si>
  <si>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</si>
  <si>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</si>
  <si>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</si>
  <si>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</si>
  <si>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</si>
  <si>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</si>
  <si>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</si>
  <si>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</si>
  <si>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</si>
  <si>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</si>
  <si>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</si>
  <si>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</si>
  <si>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</si>
  <si>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</si>
  <si>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</si>
  <si>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</si>
  <si>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</si>
  <si>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</si>
  <si>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</si>
  <si>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</si>
  <si>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</si>
  <si>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</si>
  <si>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</si>
  <si>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</si>
  <si>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</si>
  <si>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</si>
  <si>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</si>
  <si>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</si>
  <si>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</si>
  <si>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</si>
  <si>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</si>
  <si>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</si>
  <si>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</si>
  <si>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</si>
  <si>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</si>
  <si>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</si>
  <si>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</si>
  <si>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</si>
  <si>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</si>
  <si>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</si>
  <si>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</si>
  <si>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</si>
  <si>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</si>
  <si>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</si>
  <si>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</si>
  <si>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</si>
  <si>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</si>
  <si>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</si>
  <si>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</si>
  <si>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</si>
  <si>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</si>
  <si>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</si>
  <si>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</si>
  <si>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</si>
  <si>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</si>
  <si>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</si>
  <si>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</si>
  <si>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</si>
  <si>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</si>
  <si>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</si>
  <si>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</si>
  <si>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</si>
  <si>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</si>
  <si>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</si>
  <si>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</si>
  <si>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</si>
  <si>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</si>
  <si>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</si>
  <si>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</si>
  <si>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</si>
  <si>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</si>
  <si>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</si>
  <si>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</si>
  <si>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</si>
  <si>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</si>
  <si>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</si>
  <si>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</si>
  <si>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</si>
  <si>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</si>
  <si>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</si>
  <si>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</si>
  <si>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</si>
  <si>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</si>
  <si>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</si>
  <si>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</si>
  <si>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</si>
  <si>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</si>
  <si>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</si>
  <si>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</si>
  <si>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</si>
  <si>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</si>
  <si>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</si>
  <si>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</si>
  <si>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</si>
  <si>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</si>
  <si>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</si>
  <si>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</si>
  <si>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</si>
  <si>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</si>
  <si>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</si>
  <si>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</si>
  <si>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</si>
  <si>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</si>
  <si>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</si>
  <si>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</si>
  <si>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</si>
  <si>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</si>
  <si>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</si>
  <si>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</si>
  <si>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</si>
  <si>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</si>
  <si>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</si>
  <si>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</si>
  <si>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</si>
  <si>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</si>
  <si>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</si>
  <si>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</si>
  <si>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</si>
  <si>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</si>
  <si>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</si>
  <si>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</si>
  <si>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</si>
  <si>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</si>
  <si>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</si>
  <si>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</si>
  <si>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</si>
  <si>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</si>
  <si>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</si>
  <si>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</si>
  <si>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</si>
  <si>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</si>
  <si>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</si>
  <si>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</si>
  <si>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</si>
  <si>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</si>
  <si>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</si>
  <si>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</si>
  <si>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</si>
  <si>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</si>
  <si>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</si>
  <si>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</si>
  <si>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</si>
  <si>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</si>
  <si>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</si>
  <si>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</si>
  <si>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</si>
  <si>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</si>
  <si>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</si>
  <si>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</si>
  <si>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</si>
  <si>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</si>
  <si>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</si>
  <si>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</si>
  <si>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</si>
  <si>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</si>
  <si>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</si>
  <si>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</si>
  <si>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</si>
  <si>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</si>
  <si>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</si>
  <si>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</si>
  <si>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</si>
  <si>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</si>
  <si>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</si>
  <si>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</si>
  <si>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</si>
  <si>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</si>
  <si>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</si>
  <si>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</si>
  <si>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</si>
  <si>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</si>
  <si>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</si>
  <si>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</si>
  <si>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</si>
  <si>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</si>
  <si>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</si>
  <si>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</si>
  <si>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</si>
  <si>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</si>
  <si>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</si>
  <si>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</si>
  <si>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</si>
  <si>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</si>
  <si>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</si>
  <si>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</si>
  <si>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</si>
  <si>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</si>
  <si>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</si>
  <si>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</si>
  <si>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</si>
  <si>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</si>
  <si>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</si>
  <si>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</si>
  <si>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</si>
  <si>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</si>
  <si>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</si>
  <si>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</si>
  <si>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</si>
  <si>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</si>
  <si>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</si>
  <si>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</si>
  <si>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</si>
  <si>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</si>
  <si>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</si>
  <si>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</si>
  <si>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</si>
  <si>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</si>
  <si>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</si>
  <si>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</si>
  <si>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</si>
  <si>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</si>
  <si>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</si>
  <si>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</si>
  <si>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</si>
  <si>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</si>
  <si>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</si>
  <si>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</si>
  <si>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</si>
  <si>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</si>
  <si>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</si>
  <si>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</si>
  <si>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</si>
  <si>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</si>
  <si>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</si>
  <si>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</si>
  <si>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</si>
  <si>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</si>
  <si>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</si>
  <si>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</si>
  <si>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</si>
  <si>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</si>
  <si>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</si>
  <si>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</si>
  <si>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</si>
  <si>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</si>
  <si>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</si>
  <si>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</si>
  <si>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</si>
  <si>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</si>
  <si>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</si>
  <si>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</si>
  <si>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</si>
  <si>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</si>
  <si>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</si>
  <si>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</si>
  <si>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</si>
  <si>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</si>
  <si>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</si>
  <si>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</si>
  <si>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</si>
  <si>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</si>
  <si>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</si>
  <si>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</si>
  <si>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</si>
  <si>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</si>
  <si>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</si>
  <si>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</si>
  <si>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</si>
  <si>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</si>
  <si>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</si>
  <si>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</si>
  <si>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</si>
  <si>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</si>
  <si>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</si>
  <si>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</si>
  <si>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</si>
  <si>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</si>
  <si>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</si>
  <si>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</si>
  <si>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</si>
  <si>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</si>
  <si>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</si>
  <si>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</si>
  <si>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</si>
  <si>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</si>
  <si>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</si>
  <si>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</si>
  <si>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</si>
  <si>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</si>
  <si>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</si>
  <si>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</si>
  <si>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</si>
  <si>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</si>
  <si>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</si>
  <si>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</si>
  <si>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</si>
  <si>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</si>
  <si>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</si>
  <si>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</si>
  <si>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</si>
  <si>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</si>
  <si>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</si>
  <si>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</si>
  <si>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</si>
  <si>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</si>
  <si>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</si>
  <si>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</si>
  <si>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</si>
  <si>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</si>
  <si>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</si>
  <si>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</si>
  <si>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</si>
  <si>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</si>
  <si>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</si>
  <si>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</si>
  <si>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</si>
  <si>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</si>
  <si>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</si>
  <si>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</si>
  <si>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</si>
  <si>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</si>
  <si>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</si>
  <si>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</si>
  <si>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</si>
  <si>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</si>
  <si>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</si>
  <si>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</si>
  <si>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</si>
  <si>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</si>
  <si>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</si>
  <si>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</si>
  <si>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</si>
  <si>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</si>
  <si>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</si>
  <si>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</si>
  <si>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</si>
  <si>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</si>
  <si>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</si>
  <si>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</si>
  <si>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</si>
  <si>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</si>
  <si>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</si>
  <si>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</si>
  <si>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</si>
  <si>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</si>
  <si>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</si>
  <si>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</si>
  <si>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</si>
  <si>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</si>
  <si>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</si>
  <si>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</si>
  <si>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</si>
  <si>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</si>
  <si>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</si>
  <si>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</si>
  <si>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</si>
  <si>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</si>
  <si>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</si>
  <si>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</si>
  <si>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</si>
  <si>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</si>
  <si>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</si>
  <si>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</si>
  <si>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</si>
  <si>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</si>
  <si>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</si>
  <si>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</si>
  <si>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</si>
  <si>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</si>
  <si>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</si>
  <si>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</si>
  <si>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</si>
  <si>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</si>
  <si>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</si>
  <si>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</si>
  <si>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</si>
  <si>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</si>
  <si>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</si>
  <si>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</si>
  <si>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</si>
  <si>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</si>
  <si>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</si>
  <si>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</si>
  <si>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</si>
  <si>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</si>
  <si>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</si>
  <si>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</si>
  <si>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</si>
  <si>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</si>
  <si>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</si>
  <si>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</si>
  <si>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</si>
  <si>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</si>
  <si>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</si>
  <si>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</si>
  <si>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</si>
  <si>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</si>
  <si>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</si>
  <si>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</si>
  <si>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</si>
  <si>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</si>
  <si>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</si>
  <si>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</si>
  <si>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</si>
  <si>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</si>
  <si>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</si>
  <si>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</si>
  <si>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</si>
  <si>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</si>
  <si>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</si>
  <si>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</si>
  <si>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</si>
  <si>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</si>
  <si>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</si>
  <si>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</si>
  <si>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</si>
  <si>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</si>
  <si>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</si>
  <si>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</si>
  <si>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</si>
  <si>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</si>
  <si>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</si>
  <si>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</si>
  <si>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</si>
  <si>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</si>
  <si>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</si>
  <si>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</si>
  <si>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</si>
  <si>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</si>
  <si>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</si>
  <si>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</si>
  <si>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</si>
  <si>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</si>
  <si>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</si>
  <si>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</si>
  <si>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</si>
  <si>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</si>
  <si>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</si>
  <si>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</si>
  <si>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</si>
  <si>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</si>
  <si>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</si>
  <si>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</si>
  <si>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</si>
  <si>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</si>
  <si>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</si>
  <si>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</si>
  <si>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</si>
  <si>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</si>
  <si>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</si>
  <si>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</si>
  <si>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</si>
  <si>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</si>
  <si>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</si>
  <si>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</si>
  <si>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</si>
  <si>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</si>
  <si>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</si>
  <si>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</si>
  <si>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</si>
  <si>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</si>
  <si>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</si>
  <si>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</si>
  <si>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</si>
  <si>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</si>
  <si>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</si>
  <si>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</si>
  <si>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</si>
  <si>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</si>
  <si>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</si>
  <si>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</si>
  <si>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</si>
  <si>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</si>
  <si>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</si>
  <si>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</si>
  <si>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</si>
  <si>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</si>
  <si>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</si>
  <si>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</si>
  <si>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</si>
  <si>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</si>
  <si>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</si>
  <si>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</si>
  <si>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</si>
  <si>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</si>
  <si>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</si>
  <si>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</si>
  <si>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</si>
  <si>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</si>
  <si>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</si>
  <si>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</si>
  <si>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</si>
  <si>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</si>
  <si>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</si>
  <si>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</si>
  <si>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</si>
  <si>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</si>
  <si>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</si>
  <si>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</si>
  <si>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</si>
  <si>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</si>
  <si>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</si>
  <si>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</si>
  <si>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</si>
  <si>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</si>
  <si>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</si>
  <si>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</si>
  <si>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</si>
  <si>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</si>
  <si>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</si>
  <si>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</si>
  <si>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</si>
  <si>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</si>
  <si>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</si>
  <si>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</si>
  <si>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</si>
  <si>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</si>
  <si>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</si>
  <si>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</si>
  <si>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</si>
  <si>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</si>
  <si>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</si>
  <si>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</si>
  <si>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</si>
  <si>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</si>
  <si>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</si>
  <si>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</si>
  <si>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</si>
  <si>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</si>
  <si>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</si>
  <si>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</si>
  <si>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</si>
  <si>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</si>
  <si>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</si>
  <si>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</si>
  <si>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</si>
  <si>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</si>
  <si>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</si>
  <si>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</si>
  <si>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</si>
  <si>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</si>
  <si>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</si>
  <si>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</si>
  <si>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</si>
  <si>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</si>
  <si>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</si>
  <si>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</si>
  <si>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</si>
  <si>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</si>
  <si>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</si>
  <si>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</si>
  <si>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</si>
  <si>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</si>
  <si>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</si>
  <si>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</si>
  <si>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</si>
  <si>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</si>
  <si>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</si>
  <si>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</si>
  <si>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</si>
  <si>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</si>
  <si>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</si>
  <si>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</si>
  <si>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</si>
  <si>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</si>
  <si>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</si>
  <si>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</si>
  <si>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</si>
  <si>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</si>
  <si>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</si>
  <si>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</si>
  <si>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</si>
  <si>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</si>
  <si>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</si>
  <si>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</si>
  <si>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</si>
  <si>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</si>
  <si>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</si>
  <si>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</si>
  <si>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</si>
  <si>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</si>
  <si>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</si>
  <si>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</si>
  <si>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</si>
  <si>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</si>
  <si>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</si>
  <si>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</si>
  <si>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</si>
  <si>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</si>
  <si>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</si>
  <si>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</si>
  <si>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</si>
  <si>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</si>
  <si>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</si>
  <si>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</si>
  <si>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</si>
  <si>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</si>
  <si>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</si>
  <si>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</si>
  <si>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</si>
  <si>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</si>
  <si>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</si>
  <si>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</si>
  <si>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</si>
  <si>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</si>
  <si>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</si>
  <si>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</si>
  <si>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</si>
  <si>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</si>
  <si>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</si>
  <si>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</si>
  <si>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</si>
  <si>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</si>
  <si>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</si>
  <si>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</si>
  <si>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</si>
  <si>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</si>
  <si>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</si>
  <si>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</si>
  <si>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</si>
  <si>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</si>
  <si>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</si>
  <si>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</si>
  <si>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</si>
  <si>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</si>
  <si>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</si>
  <si>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</si>
  <si>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</si>
  <si>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</si>
  <si>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</si>
  <si>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</si>
  <si>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</si>
  <si>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</si>
  <si>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</si>
  <si>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</si>
  <si>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</si>
  <si>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</si>
  <si>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</si>
  <si>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</si>
  <si>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</si>
  <si>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</si>
  <si>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</si>
  <si>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</si>
  <si>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</si>
  <si>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</si>
  <si>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</si>
  <si>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</si>
  <si>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</si>
  <si>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</si>
  <si>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</si>
  <si>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</si>
  <si>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</si>
  <si>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</si>
  <si>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</si>
  <si>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</si>
  <si>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</si>
  <si>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</si>
  <si>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</si>
  <si>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</si>
  <si>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</si>
  <si>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</si>
  <si>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</si>
  <si>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</si>
  <si>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</si>
  <si>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</si>
  <si>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</si>
  <si>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</si>
  <si>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</si>
  <si>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</si>
  <si>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</si>
  <si>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</si>
  <si>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</si>
  <si>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</si>
  <si>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</si>
  <si>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</si>
  <si>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</si>
  <si>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</si>
  <si>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</si>
  <si>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</si>
  <si>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</si>
  <si>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</si>
  <si>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</si>
  <si>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</si>
  <si>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</si>
  <si>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</si>
  <si>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</si>
  <si>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</si>
  <si>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</si>
  <si>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</si>
  <si>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</si>
  <si>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</si>
  <si>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</si>
  <si>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</si>
  <si>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</si>
  <si>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</si>
  <si>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</si>
  <si>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</si>
  <si>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</si>
  <si>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</si>
  <si>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</si>
  <si>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</si>
  <si>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</si>
  <si>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</si>
  <si>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</si>
  <si>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</si>
  <si>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</si>
  <si>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</si>
  <si>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</si>
  <si>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</si>
  <si>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</si>
  <si>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</si>
  <si>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</si>
  <si>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</si>
  <si>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</si>
  <si>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</si>
  <si>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</si>
  <si>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</si>
  <si>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</si>
  <si>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</si>
  <si>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</si>
  <si>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</si>
  <si>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</si>
  <si>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</si>
  <si>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</si>
  <si>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</si>
  <si>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</si>
  <si>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</si>
  <si>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</si>
  <si>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</si>
  <si>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</si>
  <si>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</si>
  <si>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</si>
  <si>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</si>
  <si>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</si>
  <si>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</si>
  <si>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</si>
  <si>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</si>
  <si>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</si>
  <si>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</si>
  <si>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</si>
  <si>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</si>
  <si>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</si>
  <si>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</si>
  <si>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</si>
  <si>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</si>
  <si>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</si>
  <si>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</si>
  <si>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</si>
  <si>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</si>
  <si>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</si>
  <si>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</si>
  <si>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</si>
  <si>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</si>
  <si>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</si>
  <si>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</si>
  <si>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</si>
  <si>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</si>
  <si>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</si>
  <si>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</si>
  <si>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</si>
  <si>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</si>
  <si>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</si>
  <si>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</si>
  <si>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</si>
  <si>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</si>
  <si>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</si>
  <si>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</si>
  <si>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</si>
  <si>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</si>
  <si>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</si>
  <si>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</si>
  <si>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</si>
  <si>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</si>
  <si>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</si>
  <si>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</si>
  <si>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</si>
  <si>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</si>
  <si>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</si>
  <si>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</si>
  <si>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</si>
  <si>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</si>
  <si>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</si>
  <si>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</si>
  <si>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</si>
  <si>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</si>
  <si>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</si>
  <si>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</si>
  <si>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</si>
  <si>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</si>
  <si>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</si>
  <si>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</si>
  <si>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</si>
  <si>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</si>
  <si>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</si>
  <si>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</si>
  <si>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</si>
  <si>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</si>
  <si>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</si>
  <si>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</si>
  <si>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</si>
  <si>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</si>
  <si>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</si>
  <si>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</si>
  <si>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</si>
  <si>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</si>
  <si>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</si>
  <si>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</si>
  <si>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</si>
  <si>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</si>
  <si>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</si>
  <si>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</si>
  <si>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</si>
  <si>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</si>
  <si>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</si>
  <si>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</si>
  <si>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</si>
  <si>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</si>
  <si>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</si>
  <si>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</si>
  <si>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</si>
  <si>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</si>
  <si>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</si>
  <si>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</si>
  <si>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</si>
  <si>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</si>
  <si>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</si>
  <si>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</si>
  <si>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</si>
  <si>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</si>
  <si>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</si>
  <si>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</si>
  <si>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</si>
  <si>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</si>
  <si>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</si>
  <si>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</si>
  <si>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</si>
  <si>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</si>
  <si>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</si>
  <si>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</si>
  <si>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</si>
  <si>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</si>
  <si>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</si>
  <si>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</si>
  <si>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</si>
  <si>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</si>
  <si>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</si>
  <si>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</si>
  <si>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</si>
  <si>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</si>
  <si>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</si>
  <si>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</si>
  <si>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</si>
  <si>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</si>
  <si>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</si>
  <si>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</si>
  <si>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</si>
  <si>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</si>
  <si>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</si>
  <si>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</si>
  <si>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</si>
  <si>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</si>
  <si>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</si>
  <si>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</si>
  <si>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</si>
  <si>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</si>
  <si>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</si>
  <si>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</si>
  <si>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</si>
  <si>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</si>
  <si>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</si>
  <si>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</si>
  <si>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</si>
  <si>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</si>
  <si>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</si>
  <si>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</si>
  <si>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</si>
  <si>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</si>
  <si>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</si>
  <si>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</si>
  <si>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</si>
  <si>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</si>
  <si>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</si>
  <si>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</si>
  <si>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</si>
  <si>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</si>
  <si>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</si>
  <si>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</si>
  <si>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</si>
  <si>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</si>
  <si>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</si>
  <si>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</si>
  <si>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</si>
  <si>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</si>
  <si>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</si>
  <si>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</si>
  <si>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</si>
  <si>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</si>
  <si>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</si>
  <si>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</si>
  <si>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</si>
  <si>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</si>
  <si>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</si>
  <si>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</si>
  <si>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</si>
  <si>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</si>
  <si>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</si>
  <si>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</si>
  <si>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</si>
  <si>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</si>
  <si>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</si>
  <si>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</si>
  <si>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</si>
  <si>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</si>
  <si>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</si>
  <si>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</si>
  <si>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</si>
  <si>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</si>
  <si>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</si>
  <si>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</si>
  <si>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</si>
  <si>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</si>
  <si>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</si>
  <si>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</si>
  <si>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</si>
  <si>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</si>
  <si>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</si>
  <si>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</si>
  <si>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</si>
  <si>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</si>
  <si>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</si>
  <si>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</si>
  <si>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</si>
  <si>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</si>
  <si>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</si>
  <si>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</si>
  <si>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</si>
  <si>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</si>
  <si>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</si>
  <si>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</si>
  <si>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</si>
  <si>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</si>
  <si>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</si>
  <si>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</si>
  <si>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</si>
  <si>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</si>
  <si>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</si>
  <si>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</si>
  <si>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</si>
  <si>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</si>
  <si>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</si>
  <si>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</si>
  <si>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</si>
  <si>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</si>
  <si>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</si>
  <si>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</si>
  <si>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</si>
  <si>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</si>
  <si>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</si>
  <si>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</si>
  <si>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</si>
  <si>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</si>
  <si>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</si>
  <si>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</si>
  <si>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</si>
  <si>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</si>
  <si>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</si>
  <si>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</si>
  <si>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</si>
  <si>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</si>
  <si>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</si>
  <si>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</si>
  <si>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</si>
  <si>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</si>
  <si>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</si>
  <si>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</si>
  <si>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</si>
  <si>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</si>
  <si>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</si>
  <si>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</si>
  <si>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</si>
  <si>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</si>
  <si>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</si>
  <si>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</si>
  <si>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</si>
  <si>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</si>
  <si>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</si>
  <si>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</si>
  <si>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</si>
  <si>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</si>
  <si>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</si>
  <si>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</si>
  <si>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</si>
  <si>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</si>
  <si>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</si>
  <si>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</si>
  <si>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</si>
  <si>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</si>
  <si>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</si>
  <si>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</si>
  <si>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</si>
  <si>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</si>
  <si>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</si>
  <si>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</si>
  <si>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</si>
  <si>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</si>
  <si>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</si>
  <si>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</si>
  <si>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</si>
  <si>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</si>
  <si>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</si>
  <si>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</si>
  <si>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</si>
  <si>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</si>
  <si>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</si>
  <si>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</si>
  <si>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</si>
  <si>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</si>
  <si>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</si>
  <si>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</si>
  <si>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</si>
  <si>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</si>
  <si>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</si>
  <si>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</si>
  <si>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</si>
  <si>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</si>
  <si>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</si>
  <si>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</si>
  <si>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</si>
  <si>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</si>
  <si>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</si>
  <si>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</si>
  <si>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</si>
  <si>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</si>
  <si>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</si>
  <si>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</si>
  <si>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</si>
  <si>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</si>
  <si>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</si>
  <si>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</si>
  <si>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</si>
  <si>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</si>
  <si>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</si>
  <si>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</si>
  <si>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</si>
  <si>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</si>
  <si>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</si>
  <si>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</si>
  <si>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</si>
  <si>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</si>
  <si>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</si>
  <si>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</si>
  <si>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</si>
  <si>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</si>
  <si>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</si>
  <si>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</si>
  <si>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</si>
  <si>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</si>
  <si>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</si>
  <si>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</si>
  <si>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</si>
  <si>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</si>
  <si>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</si>
  <si>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</si>
  <si>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</si>
  <si>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</si>
  <si>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</si>
  <si>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</si>
  <si>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</si>
  <si>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</si>
  <si>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</si>
  <si>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</si>
  <si>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</si>
  <si>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</si>
  <si>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</si>
  <si>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</si>
  <si>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</si>
  <si>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</si>
  <si>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</si>
  <si>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</si>
  <si>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</si>
  <si>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</si>
  <si>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</si>
  <si>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</si>
  <si>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</si>
  <si>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</si>
  <si>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</si>
  <si>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</si>
  <si>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</si>
  <si>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</si>
  <si>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</si>
  <si>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</si>
  <si>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</si>
  <si>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</si>
  <si>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</si>
  <si>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</si>
  <si>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</si>
  <si>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</si>
  <si>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</si>
  <si>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</si>
  <si>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</si>
  <si>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</si>
  <si>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</si>
  <si>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</si>
  <si>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</si>
  <si>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</si>
  <si>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</si>
  <si>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</si>
  <si>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</si>
  <si>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</si>
  <si>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</si>
  <si>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</si>
  <si>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</si>
  <si>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</si>
  <si>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</si>
  <si>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</si>
  <si>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</si>
  <si>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</si>
  <si>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</si>
  <si>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</si>
  <si>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</si>
  <si>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</si>
  <si>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</si>
  <si>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</si>
  <si>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</si>
  <si>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</si>
  <si>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</si>
  <si>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</si>
  <si>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</si>
  <si>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</si>
  <si>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</si>
  <si>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</si>
  <si>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</si>
  <si>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</si>
  <si>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</si>
  <si>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</si>
  <si>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</si>
  <si>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</si>
  <si>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</si>
  <si>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</si>
  <si>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</si>
  <si>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</si>
  <si>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</si>
  <si>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</si>
  <si>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</si>
  <si>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</si>
  <si>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</si>
  <si>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</si>
  <si>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</si>
  <si>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</si>
  <si>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</si>
  <si>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</si>
  <si>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</si>
  <si>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</si>
  <si>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</si>
  <si>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</si>
  <si>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</si>
  <si>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</si>
  <si>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</si>
  <si>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</si>
  <si>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</si>
  <si>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</si>
  <si>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</si>
  <si>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</si>
  <si>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</si>
  <si>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</si>
  <si>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</si>
  <si>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</si>
  <si>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</si>
  <si>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</si>
  <si>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</si>
  <si>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</si>
  <si>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</si>
  <si>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</si>
  <si>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</si>
  <si>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</si>
  <si>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</si>
  <si>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</si>
  <si>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</si>
  <si>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</si>
  <si>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</si>
  <si>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</si>
  <si>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</si>
  <si>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</si>
  <si>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</si>
  <si>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</si>
  <si>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</si>
  <si>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</si>
  <si>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</si>
  <si>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</si>
  <si>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</si>
  <si>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</si>
  <si>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</si>
  <si>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</si>
  <si>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</si>
  <si>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</si>
  <si>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</si>
  <si>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</si>
  <si>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</si>
  <si>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</si>
  <si>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</si>
  <si>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</si>
  <si>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</si>
  <si>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</si>
  <si>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</si>
  <si>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</si>
  <si>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</si>
  <si>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</si>
  <si>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</si>
  <si>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</si>
  <si>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</si>
  <si>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</si>
  <si>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</si>
  <si>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</si>
  <si>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</si>
  <si>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</si>
  <si>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</si>
  <si>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</si>
  <si>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</si>
  <si>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</si>
  <si>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</si>
  <si>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</si>
  <si>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</si>
  <si>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</si>
  <si>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</si>
  <si>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</si>
  <si>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</si>
  <si>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</si>
  <si>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</si>
  <si>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</si>
  <si>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</si>
  <si>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</si>
  <si>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</si>
  <si>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</si>
  <si>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</si>
  <si>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</si>
  <si>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</si>
  <si>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</si>
  <si>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</si>
  <si>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</si>
  <si>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</si>
  <si>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</si>
  <si>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</si>
  <si>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</si>
  <si>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</si>
  <si>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</si>
  <si>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</si>
  <si>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</si>
  <si>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</si>
  <si>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</si>
  <si>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</si>
  <si>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</si>
  <si>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</si>
  <si>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</si>
  <si>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</si>
  <si>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</si>
  <si>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</si>
  <si>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</si>
  <si>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</si>
  <si>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</si>
  <si>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</si>
  <si>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</si>
  <si>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</si>
  <si>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</si>
  <si>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</si>
  <si>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</si>
  <si>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</si>
  <si>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</si>
  <si>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</si>
  <si>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</si>
  <si>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</si>
  <si>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</si>
  <si>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</si>
  <si>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</si>
  <si>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</si>
  <si>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</si>
  <si>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</si>
  <si>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</si>
  <si>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</si>
  <si>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</si>
  <si>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</si>
  <si>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</si>
  <si>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</si>
  <si>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</si>
  <si>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</si>
  <si>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</si>
  <si>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</si>
  <si>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</si>
  <si>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</si>
  <si>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</si>
  <si>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</si>
  <si>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</si>
  <si>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</si>
  <si>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</si>
  <si>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</si>
  <si>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</si>
  <si>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</si>
  <si>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</si>
  <si>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</si>
  <si>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</si>
  <si>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</si>
  <si>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</si>
  <si>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</si>
  <si>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</si>
  <si>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</si>
  <si>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</si>
  <si>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</si>
  <si>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</si>
  <si>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</si>
  <si>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</si>
  <si>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</si>
  <si>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</si>
  <si>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</si>
  <si>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</si>
  <si>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</si>
  <si>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</si>
  <si>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</si>
  <si>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</si>
  <si>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</si>
  <si>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</si>
  <si>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</si>
  <si>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</si>
  <si>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</si>
  <si>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</si>
  <si>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</si>
  <si>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</si>
  <si>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</si>
  <si>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</si>
  <si>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</si>
  <si>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</si>
  <si>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</si>
  <si>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</si>
  <si>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</si>
  <si>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</si>
  <si>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</si>
  <si>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</si>
  <si>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</si>
  <si>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</si>
  <si>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</si>
  <si>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</si>
  <si>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</si>
  <si>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</si>
  <si>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</si>
  <si>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</si>
  <si>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</si>
  <si>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</si>
  <si>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</si>
  <si>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</si>
  <si>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</si>
  <si>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</si>
  <si>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</si>
  <si>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</si>
  <si>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</si>
  <si>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</si>
  <si>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</si>
  <si>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</si>
  <si>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</si>
  <si>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</si>
  <si>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</si>
  <si>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</si>
  <si>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</si>
  <si>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</si>
  <si>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</si>
  <si>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</si>
  <si>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</si>
  <si>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</si>
  <si>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</si>
  <si>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</si>
  <si>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</si>
  <si>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</si>
  <si>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</si>
  <si>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</si>
  <si>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</si>
  <si>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</si>
  <si>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</si>
  <si>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</si>
  <si>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</si>
  <si>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</si>
  <si>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</si>
  <si>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</si>
  <si>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</si>
  <si>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</si>
  <si>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</si>
  <si>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</si>
  <si>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</si>
  <si>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</si>
  <si>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</si>
  <si>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</si>
  <si>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</si>
  <si>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</si>
  <si>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</si>
  <si>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</si>
  <si>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</si>
  <si>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</si>
  <si>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</si>
  <si>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</si>
  <si>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</si>
  <si>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</si>
  <si>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</si>
  <si>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</si>
  <si>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</si>
  <si>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</si>
  <si>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</si>
  <si>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</si>
  <si>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</si>
  <si>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</si>
  <si>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</si>
  <si>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</si>
  <si>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</si>
  <si>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</si>
  <si>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</si>
  <si>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</si>
  <si>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</si>
  <si>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</si>
  <si>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</si>
  <si>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</si>
  <si>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</si>
  <si>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</si>
  <si>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</si>
  <si>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</si>
  <si>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</si>
  <si>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</si>
  <si>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</si>
  <si>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</si>
  <si>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</si>
  <si>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</si>
  <si>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</si>
  <si>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</si>
  <si>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</si>
  <si>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</si>
  <si>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</si>
  <si>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</si>
  <si>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</si>
  <si>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</si>
  <si>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</si>
  <si>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</si>
  <si>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</si>
  <si>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</si>
  <si>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</si>
  <si>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</si>
  <si>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</si>
  <si>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</si>
  <si>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</si>
  <si>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</si>
  <si>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</si>
  <si>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</si>
  <si>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</si>
  <si>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</si>
  <si>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</si>
  <si>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</si>
  <si>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</si>
  <si>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</si>
  <si>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</si>
  <si>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</si>
  <si>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</si>
  <si>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</si>
  <si>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</si>
  <si>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</si>
  <si>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</si>
  <si>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</si>
  <si>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</si>
  <si>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</si>
  <si>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</si>
  <si>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</si>
  <si>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</si>
  <si>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</si>
  <si>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</si>
  <si>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</si>
  <si>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</si>
  <si>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</si>
  <si>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</si>
  <si>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</si>
  <si>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</si>
  <si>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</si>
  <si>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</si>
  <si>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</si>
  <si>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</si>
  <si>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</si>
  <si>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</si>
  <si>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</si>
  <si>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</si>
  <si>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</si>
  <si>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</si>
  <si>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</si>
  <si>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</si>
  <si>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</si>
  <si>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</si>
  <si>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</si>
  <si>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</si>
  <si>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</si>
  <si>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</si>
  <si>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</si>
  <si>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</si>
  <si>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</si>
  <si>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</si>
  <si>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</si>
  <si>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</si>
  <si>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</si>
  <si>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</si>
  <si>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</si>
  <si>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</si>
  <si>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</si>
  <si>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</si>
  <si>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</si>
  <si>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</si>
  <si>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</si>
  <si>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</si>
  <si>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</si>
  <si>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</si>
  <si>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</si>
  <si>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</si>
  <si>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</si>
  <si>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</si>
  <si>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</si>
  <si>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</si>
  <si>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</si>
  <si>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</si>
  <si>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</si>
  <si>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</si>
  <si>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</si>
  <si>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</si>
  <si>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</si>
  <si>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</si>
  <si>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</si>
  <si>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</si>
  <si>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</si>
  <si>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</si>
  <si>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</si>
  <si>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</si>
  <si>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</si>
  <si>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</si>
  <si>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</si>
  <si>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</si>
  <si>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</si>
  <si>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</si>
  <si>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</si>
  <si>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</si>
  <si>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</si>
  <si>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</si>
  <si>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</si>
  <si>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</si>
  <si>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</si>
  <si>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</si>
  <si>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</si>
  <si>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</si>
  <si>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</si>
  <si>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</si>
  <si>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</si>
  <si>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</si>
  <si>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</si>
  <si>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</si>
  <si>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</si>
  <si>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</si>
  <si>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</si>
  <si>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</si>
  <si>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</si>
  <si>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</si>
  <si>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</si>
  <si>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</si>
  <si>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</si>
  <si>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</si>
  <si>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</si>
  <si>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</si>
  <si>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</si>
  <si>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</si>
  <si>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</si>
  <si>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</si>
  <si>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</si>
  <si>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</si>
  <si>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</si>
  <si>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</si>
  <si>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</si>
  <si>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</si>
  <si>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</si>
  <si>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</si>
  <si>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</si>
  <si>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</si>
  <si>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</si>
  <si>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</si>
  <si>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</si>
  <si>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</si>
  <si>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</si>
  <si>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</si>
  <si>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</si>
  <si>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</si>
  <si>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</si>
  <si>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</si>
  <si>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</si>
  <si>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</si>
  <si>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</si>
  <si>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</si>
  <si>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</si>
  <si>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</si>
  <si>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</si>
  <si>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</si>
  <si>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</si>
  <si>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</si>
  <si>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</si>
  <si>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</si>
  <si>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</si>
  <si>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</si>
  <si>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</si>
  <si>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</si>
  <si>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</si>
  <si>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</si>
  <si>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</si>
  <si>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</si>
  <si>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</si>
  <si>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</si>
  <si>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</si>
  <si>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</si>
  <si>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</si>
  <si>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</si>
  <si>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</si>
  <si>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</si>
  <si>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</si>
  <si>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</si>
  <si>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</si>
  <si>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</si>
  <si>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</si>
  <si>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</si>
  <si>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</si>
  <si>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</si>
  <si>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</si>
  <si>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</si>
  <si>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</si>
  <si>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</si>
  <si>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</si>
  <si>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</si>
  <si>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</si>
  <si>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</si>
  <si>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</si>
  <si>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</si>
  <si>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</si>
  <si>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</si>
  <si>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</si>
  <si>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</si>
  <si>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</si>
  <si>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</si>
  <si>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</si>
  <si>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</si>
  <si>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</si>
  <si>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</si>
  <si>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</si>
  <si>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</si>
  <si>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</si>
  <si>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</si>
  <si>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</si>
  <si>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</si>
  <si>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</si>
  <si>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</si>
  <si>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</si>
  <si>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</si>
  <si>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</si>
  <si>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</si>
  <si>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</si>
  <si>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</si>
  <si>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</si>
  <si>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</si>
  <si>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</si>
  <si>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</si>
  <si>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</si>
  <si>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</si>
  <si>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</si>
  <si>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</si>
  <si>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</si>
  <si>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</si>
  <si>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</si>
  <si>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</si>
  <si>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</si>
  <si>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</si>
  <si>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</si>
  <si>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</si>
  <si>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</si>
  <si>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</si>
  <si>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</si>
  <si>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</si>
  <si>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</si>
  <si>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</si>
  <si>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</si>
  <si>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</si>
  <si>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</si>
  <si>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</si>
  <si>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</si>
  <si>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</si>
  <si>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</si>
  <si>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</si>
  <si>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</si>
  <si>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</si>
  <si>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</si>
  <si>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</si>
  <si>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</si>
  <si>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</si>
  <si>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</si>
  <si>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</si>
  <si>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</si>
  <si>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</si>
  <si>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</si>
  <si>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</si>
  <si>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</si>
  <si>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</si>
  <si>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</si>
  <si>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</si>
  <si>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</si>
  <si>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</si>
  <si>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</si>
  <si>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</si>
  <si>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</si>
  <si>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</si>
  <si>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</si>
  <si>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</si>
  <si>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</si>
  <si>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</si>
  <si>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</si>
  <si>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</si>
  <si>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</si>
  <si>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</si>
  <si>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</si>
  <si>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</si>
  <si>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</si>
  <si>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</si>
  <si>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</si>
  <si>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</si>
  <si>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</si>
  <si>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</si>
  <si>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</si>
  <si>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</si>
  <si>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</si>
  <si>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</si>
  <si>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</si>
  <si>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</si>
  <si>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</si>
  <si>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</si>
  <si>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</si>
  <si>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</si>
  <si>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</si>
  <si>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</si>
  <si>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</si>
  <si>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</si>
  <si>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</si>
  <si>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</si>
  <si>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</si>
  <si>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</si>
  <si>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</si>
  <si>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</si>
  <si>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</si>
  <si>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</si>
  <si>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</si>
  <si>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</si>
  <si>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</si>
  <si>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</si>
  <si>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</si>
  <si>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</si>
  <si>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</si>
  <si>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</si>
  <si>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</si>
  <si>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</si>
  <si>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</si>
  <si>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</si>
  <si>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</si>
  <si>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</si>
  <si>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</si>
  <si>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</si>
  <si>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</si>
  <si>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</si>
  <si>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</si>
  <si>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</si>
  <si>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</si>
  <si>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</si>
  <si>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</si>
  <si>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</si>
  <si>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</si>
  <si>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</si>
  <si>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</si>
  <si>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</si>
  <si>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</si>
  <si>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</si>
  <si>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</si>
  <si>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</si>
  <si>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</si>
  <si>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</si>
  <si>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</si>
  <si>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</si>
  <si>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</si>
  <si>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</si>
  <si>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</si>
  <si>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</si>
  <si>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</si>
  <si>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</si>
  <si>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</si>
  <si>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</si>
  <si>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</si>
  <si>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</si>
  <si>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</si>
  <si>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</si>
  <si>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</si>
  <si>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</si>
  <si>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</si>
  <si>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</si>
  <si>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</si>
  <si>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</si>
  <si>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</si>
  <si>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</si>
  <si>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</si>
  <si>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</si>
  <si>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</si>
  <si>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</si>
  <si>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</si>
  <si>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</si>
  <si>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</si>
  <si>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</si>
  <si>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</si>
  <si>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</si>
  <si>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</si>
  <si>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</si>
  <si>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</si>
  <si>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</si>
  <si>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</si>
  <si>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</si>
  <si>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</si>
  <si>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</si>
  <si>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</si>
  <si>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</si>
  <si>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</si>
  <si>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</si>
  <si>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</si>
  <si>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</si>
  <si>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</si>
  <si>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</si>
  <si>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</si>
  <si>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</si>
  <si>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</si>
  <si>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</si>
  <si>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</si>
  <si>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</si>
  <si>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</si>
  <si>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</si>
  <si>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</si>
  <si>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</si>
  <si>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</si>
  <si>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</si>
  <si>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</si>
  <si>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</si>
  <si>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</si>
  <si>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</si>
  <si>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</si>
  <si>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</si>
  <si>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</si>
  <si>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</si>
  <si>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</si>
  <si>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</si>
  <si>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</si>
  <si>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</si>
  <si>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</si>
  <si>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</si>
  <si>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</si>
  <si>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</si>
  <si>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</si>
  <si>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</si>
  <si>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</si>
  <si>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</si>
  <si>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</si>
  <si>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</si>
  <si>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</si>
  <si>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</si>
  <si>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</si>
  <si>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</si>
  <si>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</si>
  <si>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</si>
  <si>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</si>
  <si>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</si>
  <si>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</si>
  <si>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</si>
  <si>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</si>
  <si>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</si>
  <si>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</si>
  <si>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</si>
  <si>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</si>
  <si>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</si>
  <si>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</si>
  <si>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</si>
  <si>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</si>
  <si>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</si>
  <si>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</si>
  <si>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</si>
  <si>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</si>
  <si>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</si>
  <si>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</si>
  <si>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</si>
  <si>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</si>
  <si>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</si>
  <si>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</si>
  <si>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</si>
  <si>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</si>
  <si>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</si>
  <si>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</si>
  <si>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</si>
  <si>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</si>
  <si>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</si>
  <si>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</si>
  <si>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</si>
  <si>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</si>
  <si>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</si>
  <si>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</si>
  <si>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</si>
  <si>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</si>
  <si>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</si>
  <si>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</si>
  <si>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</si>
  <si>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</si>
  <si>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</si>
  <si>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</si>
  <si>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</si>
  <si>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</si>
  <si>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</si>
  <si>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</si>
  <si>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</si>
  <si>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</si>
  <si>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</si>
  <si>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</si>
  <si>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</si>
  <si>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</si>
  <si>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</si>
  <si>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</si>
  <si>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</si>
  <si>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</si>
  <si>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</si>
  <si>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</si>
  <si>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</si>
  <si>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</si>
  <si>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</si>
  <si>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</si>
  <si>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</si>
  <si>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</si>
  <si>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</si>
  <si>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</si>
  <si>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</si>
  <si>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</si>
  <si>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</si>
  <si>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</si>
  <si>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</si>
  <si>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</si>
  <si>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</si>
  <si>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</si>
  <si>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</si>
  <si>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</si>
  <si>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</si>
  <si>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</si>
  <si>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</si>
  <si>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</si>
  <si>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</si>
  <si>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</si>
  <si>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</si>
  <si>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</si>
  <si>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</si>
  <si>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</si>
  <si>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</si>
  <si>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</si>
  <si>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</si>
  <si>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</si>
  <si>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</si>
  <si>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</si>
  <si>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</si>
  <si>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</si>
  <si>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</si>
  <si>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</si>
  <si>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</si>
  <si>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</si>
  <si>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</si>
  <si>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</si>
  <si>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</si>
  <si>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</si>
  <si>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</si>
  <si>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</si>
  <si>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</si>
  <si>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</si>
  <si>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</si>
  <si>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</si>
  <si>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</si>
  <si>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</si>
  <si>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</si>
  <si>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</si>
  <si>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</si>
  <si>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</si>
  <si>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</si>
  <si>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</si>
  <si>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</si>
  <si>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</si>
  <si>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</si>
  <si>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</si>
  <si>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</si>
  <si>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</si>
  <si>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</si>
  <si>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</si>
  <si>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</si>
  <si>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</si>
  <si>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</si>
  <si>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</si>
  <si>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</si>
  <si>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</si>
  <si>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</si>
  <si>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</si>
  <si>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</si>
  <si>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</si>
  <si>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</si>
  <si>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</si>
  <si>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</si>
  <si>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</si>
  <si>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</si>
  <si>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</si>
  <si>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</si>
  <si>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</si>
  <si>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</si>
  <si>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</si>
  <si>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</si>
  <si>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</si>
  <si>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</si>
  <si>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</si>
  <si>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</si>
  <si>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</si>
  <si>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</si>
  <si>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</si>
  <si>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</si>
  <si>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</si>
  <si>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</si>
  <si>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</si>
  <si>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</si>
  <si>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</si>
  <si>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</si>
  <si>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</si>
  <si>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</si>
  <si>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</si>
  <si>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</si>
  <si>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</si>
  <si>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</si>
  <si>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</si>
  <si>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</si>
  <si>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</si>
  <si>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</si>
  <si>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</si>
  <si>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</si>
  <si>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</si>
  <si>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</si>
  <si>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</si>
  <si>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</si>
  <si>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</si>
  <si>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</si>
  <si>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</si>
  <si>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</si>
  <si>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</si>
  <si>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</si>
  <si>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</si>
  <si>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</si>
  <si>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</si>
  <si>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</si>
  <si>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</si>
  <si>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</si>
  <si>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</si>
  <si>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</si>
  <si>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</si>
  <si>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</si>
  <si>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</si>
  <si>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</si>
  <si>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</si>
  <si>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</si>
  <si>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</si>
  <si>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</si>
  <si>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</si>
  <si>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</si>
  <si>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</si>
  <si>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</si>
  <si>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</si>
  <si>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</si>
  <si>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</si>
  <si>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</si>
  <si>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</si>
  <si>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</si>
  <si>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</si>
  <si>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</si>
  <si>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</si>
  <si>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</si>
  <si>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</si>
  <si>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</si>
  <si>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</si>
  <si>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</si>
  <si>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</si>
  <si>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</si>
  <si>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</si>
  <si>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</si>
  <si>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</si>
  <si>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</si>
  <si>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</si>
  <si>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</si>
  <si>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</si>
  <si>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</si>
  <si>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</si>
  <si>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</si>
  <si>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</si>
  <si>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</si>
  <si>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</si>
  <si>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</si>
  <si>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</si>
  <si>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</si>
  <si>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</si>
  <si>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</si>
  <si>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</si>
  <si>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</si>
  <si>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</si>
  <si>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</si>
  <si>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</si>
  <si>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</si>
  <si>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</si>
  <si>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</si>
  <si>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</si>
  <si>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</si>
  <si>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</si>
  <si>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</si>
  <si>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</si>
  <si>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</si>
  <si>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</si>
  <si>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</si>
  <si>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</si>
  <si>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</si>
  <si>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</si>
  <si>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</si>
  <si>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</si>
  <si>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</si>
  <si>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</si>
  <si>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</si>
  <si>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</si>
  <si>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</si>
  <si>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</si>
  <si>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</si>
  <si>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</si>
  <si>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</si>
  <si>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</si>
  <si>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</si>
  <si>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</si>
  <si>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</si>
  <si>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</si>
  <si>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</si>
  <si>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</si>
  <si>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</si>
  <si>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</si>
  <si>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</si>
  <si>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</si>
  <si>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</si>
  <si>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</si>
  <si>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</si>
  <si>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</si>
  <si>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</si>
  <si>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</si>
  <si>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</si>
  <si>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</si>
  <si>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</si>
  <si>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</si>
  <si>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</si>
  <si>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</si>
  <si>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</si>
  <si>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</si>
  <si>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</si>
  <si>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</si>
  <si>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</si>
  <si>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</si>
  <si>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</si>
  <si>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</si>
  <si>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</si>
  <si>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</si>
  <si>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</si>
  <si>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</si>
  <si>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</si>
  <si>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</si>
  <si>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</si>
  <si>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</si>
  <si>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</si>
  <si>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</si>
  <si>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</si>
  <si>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</si>
  <si>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</si>
  <si>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</si>
  <si>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</si>
  <si>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</si>
  <si>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</si>
  <si>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</si>
  <si>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</si>
  <si>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</si>
  <si>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</si>
  <si>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</si>
  <si>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</si>
  <si>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</si>
  <si>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</si>
  <si>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</si>
  <si>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</si>
  <si>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</si>
  <si>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</si>
  <si>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</si>
  <si>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</si>
  <si>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</si>
  <si>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</si>
  <si>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</si>
  <si>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</si>
  <si>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</si>
  <si>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</si>
  <si>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</si>
  <si>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</si>
  <si>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</si>
  <si>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</si>
  <si>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</si>
  <si>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</si>
  <si>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</si>
  <si>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</si>
  <si>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</si>
  <si>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</si>
  <si>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</si>
  <si>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</si>
  <si>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</si>
  <si>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</si>
  <si>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</si>
  <si>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</si>
  <si>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</si>
  <si>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</si>
  <si>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</si>
  <si>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</si>
  <si>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</si>
  <si>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</si>
  <si>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</si>
  <si>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</si>
  <si>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</si>
  <si>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</si>
  <si>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</si>
  <si>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</si>
  <si>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</si>
  <si>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</si>
  <si>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</si>
  <si>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</si>
  <si>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</si>
  <si>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</si>
  <si>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</si>
  <si>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</si>
  <si>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</si>
  <si>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</si>
  <si>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</si>
  <si>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</si>
  <si>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</si>
  <si>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</si>
  <si>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</si>
  <si>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</si>
  <si>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</si>
  <si>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</si>
  <si>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</si>
  <si>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</si>
  <si>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</si>
  <si>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Full Name</t>
  </si>
  <si>
    <t>Roast Type Full Name</t>
  </si>
  <si>
    <t>Date</t>
  </si>
  <si>
    <t>Price</t>
  </si>
  <si>
    <t>Open</t>
  </si>
  <si>
    <t>High</t>
  </si>
  <si>
    <t>Low</t>
  </si>
  <si>
    <t>Vol.</t>
  </si>
  <si>
    <t>Change %</t>
  </si>
  <si>
    <t>0.02K</t>
  </si>
  <si>
    <t>0.01K</t>
  </si>
  <si>
    <t>0.00K</t>
  </si>
  <si>
    <t>0.03K</t>
  </si>
  <si>
    <t>0.04K</t>
  </si>
  <si>
    <t>0.05K</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</si>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</sst>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quot;$&quot;#,##0"/>
  </numFmts>
  <fonts count="5"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1"/>
      <color indexed="8"/>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44" fontId="0" fillId="0" borderId="0" xfId="1" applyFont="1"/>
    <xf numFmtId="165" fontId="4" fillId="2" borderId="0" xfId="0" applyNumberFormat="1" applyFont="1" applyFill="1" applyAlignment="1">
      <alignment vertical="center"/>
    </xf>
    <xf numFmtId="0" fontId="4" fillId="2" borderId="0" xfId="0" applyFont="1" applyFill="1" applyAlignment="1">
      <alignment vertical="center"/>
    </xf>
    <xf numFmtId="10" fontId="0" fillId="0" borderId="0" xfId="0" applyNumberFormat="1"/>
    <xf numFmtId="0" fontId="3" fillId="2" borderId="0" xfId="0" applyFont="1" applyFill="1"/>
    <xf numFmtId="0" fontId="0" fillId="0" borderId="0" xfId="0" pivotButton="1"/>
    <xf numFmtId="3" fontId="0" fillId="0" borderId="0" xfId="0" applyNumberFormat="1"/>
    <xf numFmtId="167" fontId="0" fillId="0" borderId="0" xfId="0" applyNumberFormat="1"/>
  </cellXfs>
  <cellStyles count="2">
    <cellStyle name="Currency" xfId="1" builtinId="4"/>
    <cellStyle name="Normal" xfId="0" builtinId="0"/>
  </cellStyles>
  <dxfs count="15">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rgb="FFFFFF00"/>
        </patternFill>
      </fill>
      <alignment horizontal="general" vertical="center" textRotation="0" wrapText="0" indent="0" justifyLastLine="0" shrinkToFit="0" readingOrder="0"/>
    </dxf>
    <dxf>
      <font>
        <b/>
        <i val="0"/>
        <sz val="11"/>
        <name val="Calibri"/>
        <family val="2"/>
        <scheme val="minor"/>
      </font>
      <fill>
        <patternFill>
          <bgColor theme="7" tint="0.39994506668294322"/>
        </patternFill>
      </fill>
      <border>
        <left style="thin">
          <color auto="1"/>
        </left>
        <right style="thin">
          <color auto="1"/>
        </right>
        <top style="thin">
          <color auto="1"/>
        </top>
        <bottom style="thin">
          <color auto="1"/>
        </bottom>
      </border>
    </dxf>
    <dxf>
      <fill>
        <patternFill>
          <bgColor theme="0" tint="-0.34998626667073579"/>
        </patternFill>
      </fill>
      <border diagonalUp="0" diagonalDown="0">
        <left style="thin">
          <color auto="1"/>
        </left>
        <right style="thin">
          <color auto="1"/>
        </right>
        <top style="thin">
          <color auto="1"/>
        </top>
        <bottom style="thin">
          <color auto="1"/>
        </bottom>
        <vertical/>
        <horizontal/>
      </border>
    </dxf>
    <dxf>
      <font>
        <b/>
        <sz val="11"/>
        <color theme="1"/>
      </font>
      <fill>
        <patternFill>
          <bgColor theme="7" tint="0.39994506668294322"/>
        </patternFill>
      </fill>
    </dxf>
    <dxf>
      <font>
        <b/>
        <i val="0"/>
        <sz val="12"/>
        <name val="Calibri"/>
        <family val="2"/>
        <scheme val="minor"/>
      </font>
      <fill>
        <patternFill patternType="solid">
          <fgColor theme="0"/>
          <bgColor theme="0" tint="-0.34998626667073579"/>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s>
  <tableStyles count="2" defaultTableStyle="TableStyleMedium2" defaultPivotStyle="PivotStyleMedium9">
    <tableStyle name="Genesis Timeline" pivot="0" table="0" count="9" xr9:uid="{2BF7CEFA-6051-40D8-ADDA-55CCDCA113FD}">
      <tableStyleElement type="wholeTable" dxfId="14"/>
      <tableStyleElement type="headerRow" dxfId="13"/>
    </tableStyle>
    <tableStyle name="Slicer Style 1" pivot="0" table="0" count="6" xr9:uid="{63815F31-7003-48F6-8DC4-7752BC8FB9CD}">
      <tableStyleElement type="wholeTable" dxfId="12"/>
      <tableStyleElement type="headerRow" dxfId="11"/>
    </tableStyle>
  </tableStyles>
  <colors>
    <mruColors>
      <color rgb="FFFFFDF7"/>
    </mruColors>
  </colors>
  <extLst>
    <ext xmlns:x14="http://schemas.microsoft.com/office/spreadsheetml/2009/9/main" uri="{46F421CA-312F-682f-3DD2-61675219B42D}">
      <x14:dxfs count="4">
        <dxf>
          <fill>
            <patternFill>
              <bgColor theme="7" tint="0.39994506668294322"/>
            </patternFill>
          </fill>
        </dxf>
        <dxf>
          <fill>
            <patternFill>
              <bgColor theme="7" tint="-0.24994659260841701"/>
            </patternFill>
          </fill>
        </dxf>
        <dxf>
          <fill>
            <patternFill>
              <bgColor theme="7" tint="0.39994506668294322"/>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theme="1"/>
            </patternFill>
          </fill>
        </dxf>
        <dxf>
          <fill>
            <patternFill patternType="solid">
              <fgColor theme="0" tint="-0.14993743705557422"/>
              <bgColor theme="0"/>
            </patternFill>
          </fill>
          <border>
            <left style="thin">
              <color auto="1"/>
            </left>
            <right style="thin">
              <color auto="1"/>
            </right>
            <top style="thin">
              <color auto="1"/>
            </top>
            <bottom style="thin">
              <color auto="1"/>
            </bottom>
          </border>
        </dxf>
        <dxf>
          <fill>
            <patternFill patternType="solid">
              <fgColor theme="0"/>
              <bgColor theme="7" tint="0.39994506668294322"/>
            </patternFill>
          </fill>
        </dxf>
        <dxf>
          <font>
            <b val="0"/>
            <i val="0"/>
            <sz val="9"/>
            <color theme="0"/>
            <name val="Calibri"/>
            <family val="2"/>
            <scheme val="minor"/>
          </font>
        </dxf>
        <dxf>
          <font>
            <b/>
            <i val="0"/>
            <sz val="9"/>
            <color theme="5" tint="-0.499984740745262"/>
            <name val="Calibri"/>
            <family val="2"/>
            <scheme val="minor"/>
          </font>
        </dxf>
        <dxf>
          <font>
            <sz val="9"/>
            <color theme="1"/>
            <name val="Calibri"/>
            <family val="2"/>
            <scheme val="minor"/>
          </font>
        </dxf>
        <dxf>
          <font>
            <b/>
            <i val="0"/>
            <sz val="10"/>
            <color theme="7" tint="0.39994506668294322"/>
            <name val="Calibri"/>
            <family val="2"/>
            <scheme val="minor"/>
          </font>
        </dxf>
      </x15:dxfs>
    </ext>
    <ext xmlns:x15="http://schemas.microsoft.com/office/spreadsheetml/2010/11/main" uri="{9260A510-F301-46a8-8635-F512D64BE5F5}">
      <x15:timelineStyles defaultTimelineStyle="TimeSlicerStyleLight1">
        <x15:timelineStyle name="Genesis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[BigLoveCoffee.xlsx]SalesOverTime!PivotTable1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r>
              <a:rPr lang="en-US" b="1"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SalesOverTime!$C$3:$C$4</c:f>
              <c:strCache>
                <c:ptCount val="1"/>
                <c:pt idx="0">
                  <c:v>Arabica</c:v>
                </c:pt>
              </c:strCache>
            </c:strRef>
          </c:tx>
          <c:spPr>
            <a:ln w="28575" cap="rnd">
              <a:solidFill>
                <a:schemeClr val="accent4">
                  <a:lumMod val="60000"/>
                  <a:lumOff val="40000"/>
                </a:schemeClr>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1-1F40-40AE-AEB9-2CC293D9C2DF}"/>
            </c:ext>
          </c:extLst>
        </c:ser>
        <c:ser>
          <c:idx val="1"/>
          <c:order val="1"/>
          <c:tx>
            <c:strRef>
              <c:f>SalesOverTime!$D$3:$D$4</c:f>
              <c:strCache>
                <c:ptCount val="1"/>
                <c:pt idx="0">
                  <c:v>Excelsa</c:v>
                </c:pt>
              </c:strCache>
            </c:strRef>
          </c:tx>
          <c:spPr>
            <a:ln w="28575" cap="rnd">
              <a:solidFill>
                <a:schemeClr val="accent4">
                  <a:lumMod val="75000"/>
                </a:schemeClr>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2-1F40-40AE-AEB9-2CC293D9C2DF}"/>
            </c:ext>
          </c:extLst>
        </c:ser>
        <c:ser>
          <c:idx val="2"/>
          <c:order val="2"/>
          <c:tx>
            <c:strRef>
              <c:f>SalesOverTime!$E$3:$E$4</c:f>
              <c:strCache>
                <c:ptCount val="1"/>
                <c:pt idx="0">
                  <c:v>Liberica</c:v>
                </c:pt>
              </c:strCache>
            </c:strRef>
          </c:tx>
          <c:spPr>
            <a:ln w="28575" cap="rnd">
              <a:solidFill>
                <a:schemeClr val="accent6"/>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3-1F40-40AE-AEB9-2CC293D9C2DF}"/>
            </c:ext>
          </c:extLst>
        </c:ser>
        <c:ser>
          <c:idx val="3"/>
          <c:order val="3"/>
          <c:tx>
            <c:strRef>
              <c:f>SalesOverTime!$F$3:$F$4</c:f>
              <c:strCache>
                <c:ptCount val="1"/>
                <c:pt idx="0">
                  <c:v>Robusta</c:v>
                </c:pt>
              </c:strCache>
            </c:strRef>
          </c:tx>
          <c:spPr>
            <a:ln w="28575" cap="rnd">
              <a:solidFill>
                <a:schemeClr val="accent6">
                  <a:lumMod val="50000"/>
                </a:schemeClr>
              </a:solidFill>
              <a:round/>
            </a:ln>
            <a:effectLst/>
          </c:spPr>
          <c:marker>
            <c:symbol val="none"/>
          </c:marker>
          <c:cat>
            <c:multiLvlStrRef>
              <c:f>SalesOverTime!$A$5:$B$48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SalesOverTime!$F$5:$F$48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4-1F40-40AE-AEB9-2CC293D9C2DF}"/>
            </c:ext>
          </c:extLst>
        </c:ser>
        <c:dLbls>
          <c:showLegendKey val="0"/>
          <c:showVal val="0"/>
          <c:showCatName val="0"/>
          <c:showSerName val="0"/>
          <c:showPercent val="0"/>
          <c:showBubbleSize val="0"/>
        </c:dLbls>
        <c:smooth val="0"/>
        <c:axId val="623855136"/>
        <c:axId val="623853472"/>
      </c:lineChart>
      <c:catAx>
        <c:axId val="62385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53472"/>
        <c:crosses val="autoZero"/>
        <c:auto val="1"/>
        <c:lblAlgn val="ctr"/>
        <c:lblOffset val="100"/>
        <c:noMultiLvlLbl val="0"/>
      </c:catAx>
      <c:valAx>
        <c:axId val="62385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5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[BigLoveCoffee.xlsx]SalesByCountry!PivotTable1</c:name>
    <c:fmtId val="2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 Sales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w="635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635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6350" cap="flat" cmpd="sng" algn="ctr">
            <a:solidFill>
              <a:schemeClr val="accent4"/>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w="6350" cap="flat" cmpd="sng" algn="ctr">
            <a:solidFill>
              <a:schemeClr val="accent4"/>
            </a:solidFill>
            <a:prstDash val="solid"/>
            <a:miter lim="800000"/>
          </a:ln>
          <a:effectLst/>
        </c:spPr>
      </c:pivotFmt>
      <c:pivotFmt>
        <c:idx val="4"/>
        <c:spPr>
          <a:solidFill>
            <a:schemeClr val="accent4">
              <a:lumMod val="60000"/>
              <a:lumOff val="40000"/>
            </a:schemeClr>
          </a:solidFill>
          <a:ln w="6350" cap="flat" cmpd="sng" algn="ctr">
            <a:solidFill>
              <a:schemeClr val="accent4"/>
            </a:solidFill>
            <a:prstDash val="solid"/>
            <a:miter lim="800000"/>
          </a:ln>
          <a:effectLst/>
        </c:spPr>
      </c:pivotFmt>
    </c:pivotFmts>
    <c:plotArea>
      <c:layout/>
      <c:barChart>
        <c:barDir val="bar"/>
        <c:grouping val="clustered"/>
        <c:varyColors val="0"/>
        <c:ser>
          <c:idx val="0"/>
          <c:order val="0"/>
          <c:tx>
            <c:strRef>
              <c:f>SalesByCountry!$B$3</c:f>
              <c:strCache>
                <c:ptCount val="1"/>
                <c:pt idx="0">
                  <c:v>Total</c:v>
                </c:pt>
              </c:strCache>
            </c:strRef>
          </c:tx>
          <c:spPr>
            <a:solidFill>
              <a:schemeClr val="accent4">
                <a:lumMod val="75000"/>
              </a:schemeClr>
            </a:solidFill>
            <a:ln w="6350" cap="flat" cmpd="sng" algn="ctr">
              <a:solidFill>
                <a:schemeClr val="accent4"/>
              </a:solidFill>
              <a:prstDash val="solid"/>
              <a:miter lim="800000"/>
            </a:ln>
            <a:effectLst/>
          </c:spPr>
          <c:invertIfNegative val="0"/>
          <c:dPt>
            <c:idx val="0"/>
            <c:invertIfNegative val="0"/>
            <c:bubble3D val="0"/>
            <c:spPr>
              <a:solidFill>
                <a:schemeClr val="accent4">
                  <a:lumMod val="40000"/>
                  <a:lumOff val="60000"/>
                </a:schemeClr>
              </a:solidFill>
              <a:ln w="6350" cap="flat" cmpd="sng" algn="ctr">
                <a:solidFill>
                  <a:schemeClr val="accent4"/>
                </a:solidFill>
                <a:prstDash val="solid"/>
                <a:miter lim="800000"/>
              </a:ln>
              <a:effectLst/>
            </c:spPr>
            <c:extLst>
              <c:ext xmlns:c16="http://schemas.microsoft.com/office/drawing/2014/chart" uri="{C3380CC4-5D6E-409C-BE32-E72D297353CC}">
                <c16:uniqueId val="{00000001-2B37-48F3-AA07-6F35183DCF55}"/>
              </c:ext>
            </c:extLst>
          </c:dPt>
          <c:dPt>
            <c:idx val="1"/>
            <c:invertIfNegative val="0"/>
            <c:bubble3D val="0"/>
            <c:spPr>
              <a:solidFill>
                <a:schemeClr val="accent4">
                  <a:lumMod val="60000"/>
                  <a:lumOff val="40000"/>
                </a:schemeClr>
              </a:solidFill>
              <a:ln w="6350" cap="flat" cmpd="sng" algn="ctr">
                <a:solidFill>
                  <a:schemeClr val="accent4"/>
                </a:solidFill>
                <a:prstDash val="solid"/>
                <a:miter lim="800000"/>
              </a:ln>
              <a:effectLst/>
            </c:spPr>
            <c:extLst>
              <c:ext xmlns:c16="http://schemas.microsoft.com/office/drawing/2014/chart" uri="{C3380CC4-5D6E-409C-BE32-E72D297353CC}">
                <c16:uniqueId val="{00000003-2B37-48F3-AA07-6F35183DCF55}"/>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97B-427A-A935-F952F35689CF}"/>
            </c:ext>
          </c:extLst>
        </c:ser>
        <c:dLbls>
          <c:dLblPos val="outEnd"/>
          <c:showLegendKey val="0"/>
          <c:showVal val="1"/>
          <c:showCatName val="0"/>
          <c:showSerName val="0"/>
          <c:showPercent val="0"/>
          <c:showBubbleSize val="0"/>
        </c:dLbls>
        <c:gapWidth val="182"/>
        <c:axId val="587246671"/>
        <c:axId val="587259567"/>
      </c:barChart>
      <c:catAx>
        <c:axId val="587246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7259567"/>
        <c:crosses val="autoZero"/>
        <c:auto val="1"/>
        <c:lblAlgn val="ctr"/>
        <c:lblOffset val="100"/>
        <c:noMultiLvlLbl val="0"/>
      </c:catAx>
      <c:valAx>
        <c:axId val="587259567"/>
        <c:scaling>
          <c:orientation val="minMax"/>
        </c:scaling>
        <c:delete val="1"/>
        <c:axPos val="b"/>
        <c:numFmt formatCode="&quot;$&quot;#,##0" sourceLinked="1"/>
        <c:majorTickMark val="out"/>
        <c:minorTickMark val="none"/>
        <c:tickLblPos val="nextTo"/>
        <c:crossAx val="58724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[BigLoveCoffee.xlsx]SalesByCustomer!PivotTable1</c:name>
    <c:fmtId val="4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 Purchasing Customers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solidFill>
              <a:schemeClr val="bg1"/>
            </a:solidFill>
          </a:ln>
          <a:effectLst/>
        </c:spPr>
      </c:pivotFmt>
      <c:pivotFmt>
        <c:idx val="4"/>
        <c:spPr>
          <a:solidFill>
            <a:schemeClr val="accent4">
              <a:lumMod val="60000"/>
              <a:lumOff val="40000"/>
            </a:schemeClr>
          </a:solidFill>
          <a:ln>
            <a:solidFill>
              <a:schemeClr val="bg1"/>
            </a:solidFill>
          </a:ln>
          <a:effectLst/>
        </c:spPr>
      </c:pivotFmt>
      <c:pivotFmt>
        <c:idx val="5"/>
        <c:spPr>
          <a:solidFill>
            <a:schemeClr val="accent4">
              <a:lumMod val="60000"/>
              <a:lumOff val="40000"/>
            </a:schemeClr>
          </a:solidFill>
          <a:ln>
            <a:solidFill>
              <a:schemeClr val="bg1"/>
            </a:solidFill>
          </a:ln>
          <a:effectLst/>
        </c:spPr>
      </c:pivotFmt>
      <c:pivotFmt>
        <c:idx val="6"/>
        <c:spPr>
          <a:solidFill>
            <a:schemeClr val="accent4">
              <a:lumMod val="60000"/>
              <a:lumOff val="40000"/>
            </a:schemeClr>
          </a:solidFill>
          <a:ln>
            <a:solidFill>
              <a:schemeClr val="bg1"/>
            </a:solidFill>
          </a:ln>
          <a:effectLst/>
        </c:spPr>
      </c:pivotFmt>
    </c:pivotFmts>
    <c:plotArea>
      <c:layout/>
      <c:barChart>
        <c:barDir val="bar"/>
        <c:grouping val="clustered"/>
        <c:varyColors val="0"/>
        <c:ser>
          <c:idx val="0"/>
          <c:order val="0"/>
          <c:tx>
            <c:strRef>
              <c:f>SalesByCustomer!$B$3</c:f>
              <c:strCache>
                <c:ptCount val="1"/>
                <c:pt idx="0">
                  <c:v>Total</c:v>
                </c:pt>
              </c:strCache>
            </c:strRef>
          </c:tx>
          <c:spPr>
            <a:solidFill>
              <a:schemeClr val="accent4">
                <a:lumMod val="60000"/>
                <a:lumOff val="40000"/>
              </a:schemeClr>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SalesByCustomer!$A$4:$A$8</c:f>
              <c:strCache>
                <c:ptCount val="5"/>
                <c:pt idx="0">
                  <c:v>Don Flintiff</c:v>
                </c:pt>
                <c:pt idx="1">
                  <c:v>Nealson Cuttler</c:v>
                </c:pt>
                <c:pt idx="2">
                  <c:v>Terri Farra</c:v>
                </c:pt>
                <c:pt idx="3">
                  <c:v>Brenn Dundredge</c:v>
                </c:pt>
                <c:pt idx="4">
                  <c:v>Allis Wilmore</c:v>
                </c:pt>
              </c:strCache>
            </c:strRef>
          </c:cat>
          <c:val>
            <c:numRef>
              <c:f>SalesByCustomer!$B$4:$B$8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8283-4AA9-8CC3-C5AB21109F9D}"/>
            </c:ext>
          </c:extLst>
        </c:ser>
        <c:dLbls>
          <c:dLblPos val="outEnd"/>
          <c:showLegendKey val="0"/>
          <c:showVal val="1"/>
          <c:showCatName val="0"/>
          <c:showSerName val="0"/>
          <c:showPercent val="0"/>
          <c:showBubbleSize val="0"/>
        </c:dLbls>
        <c:gapWidth val="182"/>
        <c:axId val="598148911"/>
        <c:axId val="598143503"/>
      </c:barChart>
      <c:catAx>
        <c:axId val="59814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98143503"/>
        <c:crosses val="autoZero"/>
        <c:auto val="1"/>
        <c:lblAlgn val="ctr"/>
        <c:lblOffset val="100"/>
        <c:noMultiLvlLbl val="0"/>
      </c:catAx>
      <c:valAx>
        <c:axId val="598143503"/>
        <c:scaling>
          <c:orientation val="minMax"/>
        </c:scaling>
        <c:delete val="1"/>
        <c:axPos val="b"/>
        <c:numFmt formatCode="&quot;$&quot;#,##0" sourceLinked="1"/>
        <c:majorTickMark val="none"/>
        <c:minorTickMark val="none"/>
        <c:tickLblPos val="nextTo"/>
        <c:crossAx val="59814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15240</xdr:rowOff>
    </xdr:from>
    <xdr:to>
      <xdr:col>22</xdr:col>
      <xdr:colOff>0</xdr:colOff>
      <xdr:row>4</xdr:row>
      <xdr:rowOff>30480</xdr:rowOff>
    </xdr:to>
    <xdr:sp macro="" textlink="">
      <xdr:nvSpPr>
        <xdr:cNvPr id="2" name="Rectangle 1">
          <a:extLst>
            <a:ext uri="{FF2B5EF4-FFF2-40B4-BE49-F238E27FC236}">
              <a16:creationId xmlns:a16="http://schemas.microsoft.com/office/drawing/2014/main" id="{37DA1229-2379-4580-A883-EC326B0E392A}"/>
            </a:ext>
          </a:extLst>
        </xdr:cNvPr>
        <xdr:cNvSpPr/>
      </xdr:nvSpPr>
      <xdr:spPr>
        <a:xfrm>
          <a:off x="125506" y="77993"/>
          <a:ext cx="12801600" cy="553122"/>
        </a:xfrm>
        <a:prstGeom prst="rect">
          <a:avLst/>
        </a:prstGeom>
        <a:solidFill>
          <a:schemeClr val="accent4">
            <a:lumMod val="75000"/>
          </a:schemeClr>
        </a:solid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3200" b="1">
              <a:solidFill>
                <a:schemeClr val="bg1"/>
              </a:solidFill>
            </a:rPr>
            <a:t>BIG</a:t>
          </a:r>
          <a:r>
            <a:rPr lang="en-US" sz="3200" b="1" baseline="0">
              <a:solidFill>
                <a:schemeClr val="bg1"/>
              </a:solidFill>
            </a:rPr>
            <a:t> LOVE COFFEE SALES REVENUE</a:t>
          </a:r>
          <a:endParaRPr lang="en-US" sz="3200" b="1">
            <a:solidFill>
              <a:schemeClr val="bg1"/>
            </a:solidFill>
          </a:endParaRPr>
        </a:p>
      </xdr:txBody>
    </xdr:sp>
    <xdr:clientData/>
  </xdr:twoCellAnchor>
  <xdr:twoCellAnchor>
    <xdr:from>
      <xdr:col>1</xdr:col>
      <xdr:colOff>0</xdr:colOff>
      <xdr:row>12</xdr:row>
      <xdr:rowOff>71718</xdr:rowOff>
    </xdr:from>
    <xdr:to>
      <xdr:col>11</xdr:col>
      <xdr:colOff>259976</xdr:colOff>
      <xdr:row>30</xdr:row>
      <xdr:rowOff>0</xdr:rowOff>
    </xdr:to>
    <xdr:graphicFrame macro="">
      <xdr:nvGraphicFramePr>
        <xdr:cNvPr id="3" name="Chart 2">
          <a:extLst>
            <a:ext uri="{FF2B5EF4-FFF2-40B4-BE49-F238E27FC236}">
              <a16:creationId xmlns:a16="http://schemas.microsoft.com/office/drawing/2014/main" id="{E8830DFE-A847-4AFF-B0BE-99D803052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98612</xdr:rowOff>
    </xdr:from>
    <xdr:to>
      <xdr:col>11</xdr:col>
      <xdr:colOff>251012</xdr:colOff>
      <xdr:row>12</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DF1B0E02-F31D-4192-B649-80608524886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708212"/>
              <a:ext cx="6347012" cy="13644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200365</xdr:colOff>
      <xdr:row>4</xdr:row>
      <xdr:rowOff>91440</xdr:rowOff>
    </xdr:from>
    <xdr:to>
      <xdr:col>19</xdr:col>
      <xdr:colOff>116545</xdr:colOff>
      <xdr:row>8</xdr:row>
      <xdr:rowOff>0</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86237D57-DA40-446B-8A94-BF7A1FB8036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856685" y="701040"/>
              <a:ext cx="235458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340659</xdr:colOff>
      <xdr:row>4</xdr:row>
      <xdr:rowOff>91440</xdr:rowOff>
    </xdr:from>
    <xdr:to>
      <xdr:col>15</xdr:col>
      <xdr:colOff>161367</xdr:colOff>
      <xdr:row>8</xdr:row>
      <xdr:rowOff>0</xdr:rowOff>
    </xdr:to>
    <mc:AlternateContent xmlns:mc="http://schemas.openxmlformats.org/markup-compatibility/2006" xmlns:a14="http://schemas.microsoft.com/office/drawing/2010/main">
      <mc:Choice Requires="a14">
        <xdr:graphicFrame macro="">
          <xdr:nvGraphicFramePr>
            <xdr:cNvPr id="6" name="Roast Type Full Name 1">
              <a:extLst>
                <a:ext uri="{FF2B5EF4-FFF2-40B4-BE49-F238E27FC236}">
                  <a16:creationId xmlns:a16="http://schemas.microsoft.com/office/drawing/2014/main" id="{E484B6F9-EB7D-46F1-84FC-DA3FEE7938B8}"/>
                </a:ext>
              </a:extLst>
            </xdr:cNvPr>
            <xdr:cNvGraphicFramePr/>
          </xdr:nvGraphicFramePr>
          <xdr:xfrm>
            <a:off x="0" y="0"/>
            <a:ext cx="0" cy="0"/>
          </xdr:xfrm>
          <a:graphic>
            <a:graphicData uri="http://schemas.microsoft.com/office/drawing/2010/slicer">
              <sle:slicer xmlns:sle="http://schemas.microsoft.com/office/drawing/2010/slicer" name="Roast Type Full Name 1"/>
            </a:graphicData>
          </a:graphic>
        </xdr:graphicFrame>
      </mc:Choice>
      <mc:Fallback xmlns="">
        <xdr:sp macro="" textlink="">
          <xdr:nvSpPr>
            <xdr:cNvPr id="0" name=""/>
            <xdr:cNvSpPr>
              <a:spLocks noTextEdit="1"/>
            </xdr:cNvSpPr>
          </xdr:nvSpPr>
          <xdr:spPr>
            <a:xfrm>
              <a:off x="6558579" y="701040"/>
              <a:ext cx="22591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4</xdr:row>
      <xdr:rowOff>91440</xdr:rowOff>
    </xdr:from>
    <xdr:to>
      <xdr:col>22</xdr:col>
      <xdr:colOff>0</xdr:colOff>
      <xdr:row>8</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653D3373-344D-43FB-945D-90E3911121E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247120" y="701040"/>
              <a:ext cx="16764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334383</xdr:colOff>
      <xdr:row>8</xdr:row>
      <xdr:rowOff>35859</xdr:rowOff>
    </xdr:from>
    <xdr:to>
      <xdr:col>21</xdr:col>
      <xdr:colOff>594360</xdr:colOff>
      <xdr:row>18</xdr:row>
      <xdr:rowOff>48858</xdr:rowOff>
    </xdr:to>
    <xdr:graphicFrame macro="">
      <xdr:nvGraphicFramePr>
        <xdr:cNvPr id="11" name="Chart 10">
          <a:extLst>
            <a:ext uri="{FF2B5EF4-FFF2-40B4-BE49-F238E27FC236}">
              <a16:creationId xmlns:a16="http://schemas.microsoft.com/office/drawing/2014/main" id="{E19EBA15-02A2-45AD-A1C7-6B8485C1F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334383</xdr:colOff>
      <xdr:row>18</xdr:row>
      <xdr:rowOff>91440</xdr:rowOff>
    </xdr:from>
    <xdr:to>
      <xdr:col>21</xdr:col>
      <xdr:colOff>585395</xdr:colOff>
      <xdr:row>30</xdr:row>
      <xdr:rowOff>0</xdr:rowOff>
    </xdr:to>
    <xdr:graphicFrame macro="">
      <xdr:nvGraphicFramePr>
        <xdr:cNvPr id="12" name="Chart 11">
          <a:extLst>
            <a:ext uri="{FF2B5EF4-FFF2-40B4-BE49-F238E27FC236}">
              <a16:creationId xmlns:a16="http://schemas.microsoft.com/office/drawing/2014/main" id="{D6B99210-6779-4255-A05D-F3C89E2F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om Karunwi" refreshedDate="45477.766148495371" createdVersion="7" refreshedVersion="7" minRefreshableVersion="3" recordCount="1000" xr:uid="{D6F16386-5A61-44D4-82BD-5D64C74FB561}">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Full Name" numFmtId="0">
      <sharedItems count="4">
        <s v="Robusta"/>
        <s v="Excelsa"/>
        <s v="Arabica"/>
        <s v="Liberica"/>
      </sharedItems>
    </cacheField>
    <cacheField name="Roast Type Full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98791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72557-BF5C-4318-A1F8-2CC01EEBAD13}"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2">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5">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B5DE18-6268-40E9-90CE-216991ED8ABD}"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3">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4">
    <chartFormat chart="10" format="8"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2" format="4">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418D4-5E67-49E4-A855-2AA77E3B2AC1}"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6">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255" numFmtId="167"/>
  </dataFields>
  <chartFormats count="8">
    <chartFormat chart="10"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5" count="1" selected="0">
            <x v="28"/>
          </reference>
        </references>
      </pivotArea>
    </chartFormat>
    <chartFormat chart="45" format="4">
      <pivotArea type="data" outline="0" fieldPosition="0">
        <references count="2">
          <reference field="4294967294" count="1" selected="0">
            <x v="0"/>
          </reference>
          <reference field="5" count="1" selected="0">
            <x v="831"/>
          </reference>
        </references>
      </pivotArea>
    </chartFormat>
    <chartFormat chart="45" format="5">
      <pivotArea type="data" outline="0" fieldPosition="0">
        <references count="2">
          <reference field="4294967294" count="1" selected="0">
            <x v="0"/>
          </reference>
          <reference field="5" count="1" selected="0">
            <x v="646"/>
          </reference>
        </references>
      </pivotArea>
    </chartFormat>
    <chartFormat chart="45" format="6">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3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E6B18AE-8030-4A21-8B83-7E9B5FC028E2}" sourceName="Size">
  <pivotTables>
    <pivotTable tabId="18" name="PivotTable1"/>
    <pivotTable tabId="20" name="PivotTable1"/>
    <pivotTable tabId="21" name="PivotTable1"/>
  </pivotTables>
  <data>
    <tabular pivotCacheId="12987918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_Name" xr10:uid="{A5937B49-C166-4C9D-8798-C522E947DF97}" sourceName="Roast Type Full Name">
  <pivotTables>
    <pivotTable tabId="18" name="PivotTable1"/>
    <pivotTable tabId="20" name="PivotTable1"/>
    <pivotTable tabId="21" name="PivotTable1"/>
  </pivotTables>
  <data>
    <tabular pivotCacheId="12987918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11AC014-0548-403D-94BA-BD4630AD972E}" sourceName="Loyalty Card">
  <pivotTables>
    <pivotTable tabId="18" name="PivotTable1"/>
    <pivotTable tabId="20" name="PivotTable1"/>
    <pivotTable tabId="21" name="PivotTable1"/>
  </pivotTables>
  <data>
    <tabular pivotCacheId="12987918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A7922D4-42E2-486E-BDCC-AAA8CECCA1FC}" cache="Slicer_Size" caption="Size" columnCount="4" style="Slicer Style 1" rowHeight="234950"/>
  <slicer name="Roast Type Full Name 1" xr10:uid="{E1EC9F8B-1A83-4B8F-9493-4A258F7B120A}" cache="Slicer_Roast_Type_Full_Name" caption="Roast Type" columnCount="3" style="Slicer Style 1" rowHeight="234950"/>
  <slicer name="Loyalty Card 1" xr10:uid="{7DE63A61-2C3A-40F0-B161-F0009CE7D7BB}" cache="Slicer_Loyalty_Card" caption="Loyalty Card"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55B575-8EEB-43AC-9811-1A730140D613}" name="Orders" displayName="Orders" ref="A1:O1001" totalsRowShown="0" headerRowDxfId="10">
  <autoFilter ref="A1:O1001" xr:uid="{F955B575-8EEB-43AC-9811-1A730140D613}"/>
  <tableColumns count="15">
    <tableColumn id="1" xr3:uid="{57BC07AE-5509-42F4-B89F-6B5F5AD78CAA}" name="Order ID" dataDxfId="9"/>
    <tableColumn id="2" xr3:uid="{FEB84CAD-3E79-43D0-A498-315A2BB53D03}" name="Order Date" dataDxfId="8"/>
    <tableColumn id="3" xr3:uid="{6179C8EC-8E97-4CF8-B69E-F26FA0CD5510}" name="Customer ID" dataDxfId="7"/>
    <tableColumn id="4" xr3:uid="{A5739A1E-3A05-482E-9456-58C193E76500}" name="Product ID"/>
    <tableColumn id="5" xr3:uid="{333467D1-6F70-4847-808C-9AACC2D6E90C}" name="Quantity" dataDxfId="6"/>
    <tableColumn id="6" xr3:uid="{37D0A22F-7ACD-46E9-B7EB-5AB013CDAB7D}" name="Customer Name" dataDxfId="5">
      <calculatedColumnFormula>_xlfn.XLOOKUP(C2,customers!$A$2:$A$1001,customers!$B$2:$B$1001,,0)</calculatedColumnFormula>
    </tableColumn>
    <tableColumn id="8" xr3:uid="{DB1E4AC6-D435-42AD-9470-FDA584428214}" name="Country" dataDxfId="4">
      <calculatedColumnFormula>_xlfn.XLOOKUP(C2,customers!$A$2:$A$1001,customers!$G$2:$G$1001,,0)</calculatedColumnFormula>
    </tableColumn>
    <tableColumn id="9" xr3:uid="{D094D006-F486-4949-9704-237BE96F7384}" name="Coffee Type">
      <calculatedColumnFormula>INDEX(products!$A$1:$G$49,MATCH(orders!$D2,products!$A$1:$A$49,0),MATCH(orders!H$1,products!$A$1:$G$1,0))</calculatedColumnFormula>
    </tableColumn>
    <tableColumn id="10" xr3:uid="{0D86E4BD-C0B4-47B6-80D6-C029B489F189}" name="Roast Type">
      <calculatedColumnFormula>INDEX(products!$A$1:$G$49,MATCH(orders!$D2,products!$A$1:$A$49,0),MATCH(orders!I$1,products!$A$1:$G$1,0))</calculatedColumnFormula>
    </tableColumn>
    <tableColumn id="11" xr3:uid="{04A36058-61F9-446D-A9AA-1DAAC179FBEA}" name="Size" dataDxfId="3">
      <calculatedColumnFormula>INDEX(products!$A$1:$G$49,MATCH(orders!$D2,products!$A$1:$A$49,0),MATCH(orders!J$1,products!$A$1:$G$1,0))</calculatedColumnFormula>
    </tableColumn>
    <tableColumn id="12" xr3:uid="{B20AF0C7-302F-4E69-953A-E1F096D7FE07}" name="Unit Price" dataDxfId="2" dataCellStyle="Currency">
      <calculatedColumnFormula>INDEX(products!$A$1:$G$49,MATCH(orders!$D2,products!$A$1:$A$49,0),MATCH(orders!K$1,products!$A$1:$G$1,0))</calculatedColumnFormula>
    </tableColumn>
    <tableColumn id="13" xr3:uid="{CD6C3EAA-D7BE-4668-BC08-4F82D7E6AB73}" name="Sales" dataDxfId="1" dataCellStyle="Currency">
      <calculatedColumnFormula>K2*E2</calculatedColumnFormula>
    </tableColumn>
    <tableColumn id="14" xr3:uid="{7B8BAD32-B22D-4BD4-B229-0C81FE034000}" name="Coffee Type Full Name">
      <calculatedColumnFormula array="1">_xlfn.IFS(H2="Rob","Robusta",H2="Exc","Excelsa",H2="Ara","Arabica",H2="Lib","Liberica")</calculatedColumnFormula>
    </tableColumn>
    <tableColumn id="15" xr3:uid="{D95598F6-66C3-4CD3-BA4A-674CCF08043A}" name="Roast Type Full Name">
      <calculatedColumnFormula array="1">_xlfn.IFS(I2="M","Medium",I2="L","Light",I2="D","Dark")</calculatedColumnFormula>
    </tableColumn>
    <tableColumn id="16" xr3:uid="{90E4A093-DA0A-494E-8286-731CD5F0FFB2}" name="Loyalty Card" dataDxfId="0">
      <calculatedColumnFormula>_xlfn.XLOOKUP(Orders[[#This Row],[Customer ID]],customers!$A$2:$A$1001,customers!$I$2:$I$1001,,0)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D36D54-5333-4C6A-BC71-68DA30FBC05B}" sourceName="Order Date">
  <pivotTables>
    <pivotTable tabId="18" name="PivotTable1"/>
    <pivotTable tabId="20" name="PivotTable1"/>
    <pivotTable tabId="21" name="PivotTable1"/>
  </pivotTables>
  <state minimalRefreshVersion="6" lastRefreshVersion="6" pivotCacheId="12987918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DCDDCE7-C63F-4C33-804D-955FA92E882B}" cache="NativeTimeline_Order_Date" caption="Order Date" level="2" selectionLevel="2" scrollPosition="2020-06-08T00:00:00" style="Genesis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928D-9870-4DCA-932F-CEEF471DF933}">
  <dimension ref="A1"/>
  <sheetViews>
    <sheetView showGridLines="0" zoomScaleNormal="100" workbookViewId="0">
      <selection activeCell="W7" sqref="W7"/>
    </sheetView>
  </sheetViews>
  <sheetFormatPr defaultRowHeight="14.4" x14ac:dyDescent="0.3"/>
  <cols>
    <col min="1" max="1" width="1.77734375" customWidth="1"/>
  </cols>
  <sheetData>
    <row r="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651AA-EEE7-4576-B117-AAF21B53BDC1}">
  <dimension ref="A3:F48"/>
  <sheetViews>
    <sheetView workbookViewId="0">
      <selection activeCell="C18" sqref="C18"/>
    </sheetView>
  </sheetViews>
  <sheetFormatPr defaultRowHeight="14.4" x14ac:dyDescent="0.3"/>
  <cols>
    <col min="1" max="1" width="12.5546875" bestFit="1" customWidth="1"/>
    <col min="2" max="2" width="12.33203125" bestFit="1" customWidth="1"/>
    <col min="3" max="3" width="22.33203125" bestFit="1" customWidth="1"/>
    <col min="4" max="4" width="7" bestFit="1" customWidth="1"/>
    <col min="5" max="5" width="7.44140625" bestFit="1" customWidth="1"/>
    <col min="6" max="6" width="7.88671875" bestFit="1" customWidth="1"/>
  </cols>
  <sheetData>
    <row r="3" spans="1:6" x14ac:dyDescent="0.3">
      <c r="A3" s="11" t="s">
        <v>6232</v>
      </c>
      <c r="C3" s="11" t="s">
        <v>6196</v>
      </c>
    </row>
    <row r="4" spans="1:6" x14ac:dyDescent="0.3">
      <c r="A4" s="11" t="s">
        <v>6227</v>
      </c>
      <c r="B4" s="11" t="s">
        <v>1</v>
      </c>
      <c r="C4" t="s">
        <v>6228</v>
      </c>
      <c r="D4" t="s">
        <v>6229</v>
      </c>
      <c r="E4" t="s">
        <v>6230</v>
      </c>
      <c r="F4" t="s">
        <v>6231</v>
      </c>
    </row>
    <row r="5" spans="1:6" x14ac:dyDescent="0.3">
      <c r="A5" t="s">
        <v>6211</v>
      </c>
      <c r="B5" s="4" t="s">
        <v>6212</v>
      </c>
      <c r="C5" s="12">
        <v>186.85499999999999</v>
      </c>
      <c r="D5" s="12">
        <v>305.97000000000003</v>
      </c>
      <c r="E5" s="12">
        <v>213.15999999999997</v>
      </c>
      <c r="F5" s="12">
        <v>123</v>
      </c>
    </row>
    <row r="6" spans="1:6" x14ac:dyDescent="0.3">
      <c r="B6" s="4" t="s">
        <v>6213</v>
      </c>
      <c r="C6" s="12">
        <v>251.96499999999997</v>
      </c>
      <c r="D6" s="12">
        <v>129.46</v>
      </c>
      <c r="E6" s="12">
        <v>434.03999999999996</v>
      </c>
      <c r="F6" s="12">
        <v>171.93999999999997</v>
      </c>
    </row>
    <row r="7" spans="1:6" x14ac:dyDescent="0.3">
      <c r="B7" s="4" t="s">
        <v>6214</v>
      </c>
      <c r="C7" s="12">
        <v>224.94499999999999</v>
      </c>
      <c r="D7" s="12">
        <v>349.12</v>
      </c>
      <c r="E7" s="12">
        <v>321.04000000000002</v>
      </c>
      <c r="F7" s="12">
        <v>126.035</v>
      </c>
    </row>
    <row r="8" spans="1:6" x14ac:dyDescent="0.3">
      <c r="B8" s="4" t="s">
        <v>6215</v>
      </c>
      <c r="C8" s="12">
        <v>307.12</v>
      </c>
      <c r="D8" s="12">
        <v>681.07499999999993</v>
      </c>
      <c r="E8" s="12">
        <v>533.70499999999993</v>
      </c>
      <c r="F8" s="12">
        <v>158.85</v>
      </c>
    </row>
    <row r="9" spans="1:6" x14ac:dyDescent="0.3">
      <c r="B9" s="4" t="s">
        <v>6216</v>
      </c>
      <c r="C9" s="12">
        <v>53.664999999999992</v>
      </c>
      <c r="D9" s="12">
        <v>83.025000000000006</v>
      </c>
      <c r="E9" s="12">
        <v>193.83499999999998</v>
      </c>
      <c r="F9" s="12">
        <v>68.039999999999992</v>
      </c>
    </row>
    <row r="10" spans="1:6" x14ac:dyDescent="0.3">
      <c r="B10" s="4" t="s">
        <v>6217</v>
      </c>
      <c r="C10" s="12">
        <v>163.01999999999998</v>
      </c>
      <c r="D10" s="12">
        <v>678.3599999999999</v>
      </c>
      <c r="E10" s="12">
        <v>171.04500000000002</v>
      </c>
      <c r="F10" s="12">
        <v>372.255</v>
      </c>
    </row>
    <row r="11" spans="1:6" x14ac:dyDescent="0.3">
      <c r="B11" s="4" t="s">
        <v>6218</v>
      </c>
      <c r="C11" s="12">
        <v>345.02</v>
      </c>
      <c r="D11" s="12">
        <v>273.86999999999995</v>
      </c>
      <c r="E11" s="12">
        <v>184.12999999999997</v>
      </c>
      <c r="F11" s="12">
        <v>201.11499999999998</v>
      </c>
    </row>
    <row r="12" spans="1:6" x14ac:dyDescent="0.3">
      <c r="B12" s="4" t="s">
        <v>6219</v>
      </c>
      <c r="C12" s="12">
        <v>334.89</v>
      </c>
      <c r="D12" s="12">
        <v>70.95</v>
      </c>
      <c r="E12" s="12">
        <v>134.23000000000002</v>
      </c>
      <c r="F12" s="12">
        <v>166.27499999999998</v>
      </c>
    </row>
    <row r="13" spans="1:6" x14ac:dyDescent="0.3">
      <c r="B13" s="4" t="s">
        <v>6220</v>
      </c>
      <c r="C13" s="12">
        <v>178.70999999999998</v>
      </c>
      <c r="D13" s="12">
        <v>166.1</v>
      </c>
      <c r="E13" s="12">
        <v>439.30999999999995</v>
      </c>
      <c r="F13" s="12">
        <v>492.9</v>
      </c>
    </row>
    <row r="14" spans="1:6" x14ac:dyDescent="0.3">
      <c r="B14" s="4" t="s">
        <v>6221</v>
      </c>
      <c r="C14" s="12">
        <v>301.98500000000001</v>
      </c>
      <c r="D14" s="12">
        <v>153.76499999999999</v>
      </c>
      <c r="E14" s="12">
        <v>215.55499999999998</v>
      </c>
      <c r="F14" s="12">
        <v>213.66499999999999</v>
      </c>
    </row>
    <row r="15" spans="1:6" x14ac:dyDescent="0.3">
      <c r="B15" s="4" t="s">
        <v>6222</v>
      </c>
      <c r="C15" s="12">
        <v>312.83499999999998</v>
      </c>
      <c r="D15" s="12">
        <v>63.249999999999993</v>
      </c>
      <c r="E15" s="12">
        <v>350.89500000000004</v>
      </c>
      <c r="F15" s="12">
        <v>96.405000000000001</v>
      </c>
    </row>
    <row r="16" spans="1:6" x14ac:dyDescent="0.3">
      <c r="B16" s="4" t="s">
        <v>6223</v>
      </c>
      <c r="C16" s="12">
        <v>265.62</v>
      </c>
      <c r="D16" s="12">
        <v>526.51499999999987</v>
      </c>
      <c r="E16" s="12">
        <v>187.06</v>
      </c>
      <c r="F16" s="12">
        <v>210.58999999999997</v>
      </c>
    </row>
    <row r="17" spans="1:6" x14ac:dyDescent="0.3">
      <c r="A17" t="s">
        <v>6224</v>
      </c>
      <c r="B17" s="4" t="s">
        <v>6212</v>
      </c>
      <c r="C17" s="12">
        <v>47.25</v>
      </c>
      <c r="D17" s="12">
        <v>65.805000000000007</v>
      </c>
      <c r="E17" s="12">
        <v>274.67500000000001</v>
      </c>
      <c r="F17" s="12">
        <v>179.22</v>
      </c>
    </row>
    <row r="18" spans="1:6" x14ac:dyDescent="0.3">
      <c r="B18" s="4" t="s">
        <v>6213</v>
      </c>
      <c r="C18" s="12">
        <v>745.44999999999993</v>
      </c>
      <c r="D18" s="12">
        <v>428.88499999999999</v>
      </c>
      <c r="E18" s="12">
        <v>194.17499999999998</v>
      </c>
      <c r="F18" s="12">
        <v>429.82999999999993</v>
      </c>
    </row>
    <row r="19" spans="1:6" x14ac:dyDescent="0.3">
      <c r="B19" s="4" t="s">
        <v>6214</v>
      </c>
      <c r="C19" s="12">
        <v>130.47</v>
      </c>
      <c r="D19" s="12">
        <v>271.48500000000001</v>
      </c>
      <c r="E19" s="12">
        <v>281.20499999999998</v>
      </c>
      <c r="F19" s="12">
        <v>231.63000000000002</v>
      </c>
    </row>
    <row r="20" spans="1:6" x14ac:dyDescent="0.3">
      <c r="B20" s="4" t="s">
        <v>6215</v>
      </c>
      <c r="C20" s="12">
        <v>27</v>
      </c>
      <c r="D20" s="12">
        <v>347.26</v>
      </c>
      <c r="E20" s="12">
        <v>147.51</v>
      </c>
      <c r="F20" s="12">
        <v>240.04</v>
      </c>
    </row>
    <row r="21" spans="1:6" x14ac:dyDescent="0.3">
      <c r="B21" s="4" t="s">
        <v>6216</v>
      </c>
      <c r="C21" s="12">
        <v>255.11499999999995</v>
      </c>
      <c r="D21" s="12">
        <v>541.73</v>
      </c>
      <c r="E21" s="12">
        <v>83.43</v>
      </c>
      <c r="F21" s="12">
        <v>59.079999999999991</v>
      </c>
    </row>
    <row r="22" spans="1:6" x14ac:dyDescent="0.3">
      <c r="B22" s="4" t="s">
        <v>6217</v>
      </c>
      <c r="C22" s="12">
        <v>584.78999999999985</v>
      </c>
      <c r="D22" s="12">
        <v>357.42999999999995</v>
      </c>
      <c r="E22" s="12">
        <v>355.34</v>
      </c>
      <c r="F22" s="12">
        <v>140.88</v>
      </c>
    </row>
    <row r="23" spans="1:6" x14ac:dyDescent="0.3">
      <c r="B23" s="4" t="s">
        <v>6218</v>
      </c>
      <c r="C23" s="12">
        <v>430.62</v>
      </c>
      <c r="D23" s="12">
        <v>227.42500000000001</v>
      </c>
      <c r="E23" s="12">
        <v>236.315</v>
      </c>
      <c r="F23" s="12">
        <v>414.58499999999992</v>
      </c>
    </row>
    <row r="24" spans="1:6" x14ac:dyDescent="0.3">
      <c r="B24" s="4" t="s">
        <v>6219</v>
      </c>
      <c r="C24" s="12">
        <v>22.5</v>
      </c>
      <c r="D24" s="12">
        <v>77.72</v>
      </c>
      <c r="E24" s="12">
        <v>60.5</v>
      </c>
      <c r="F24" s="12">
        <v>139.67999999999998</v>
      </c>
    </row>
    <row r="25" spans="1:6" x14ac:dyDescent="0.3">
      <c r="B25" s="4" t="s">
        <v>6220</v>
      </c>
      <c r="C25" s="12">
        <v>126.14999999999999</v>
      </c>
      <c r="D25" s="12">
        <v>195.11</v>
      </c>
      <c r="E25" s="12">
        <v>89.13</v>
      </c>
      <c r="F25" s="12">
        <v>302.65999999999997</v>
      </c>
    </row>
    <row r="26" spans="1:6" x14ac:dyDescent="0.3">
      <c r="B26" s="4" t="s">
        <v>6221</v>
      </c>
      <c r="C26" s="12">
        <v>376.03</v>
      </c>
      <c r="D26" s="12">
        <v>523.24</v>
      </c>
      <c r="E26" s="12">
        <v>440.96499999999997</v>
      </c>
      <c r="F26" s="12">
        <v>174.46999999999997</v>
      </c>
    </row>
    <row r="27" spans="1:6" x14ac:dyDescent="0.3">
      <c r="B27" s="4" t="s">
        <v>6222</v>
      </c>
      <c r="C27" s="12">
        <v>515.17999999999995</v>
      </c>
      <c r="D27" s="12">
        <v>142.56</v>
      </c>
      <c r="E27" s="12">
        <v>347.03999999999996</v>
      </c>
      <c r="F27" s="12">
        <v>104.08499999999999</v>
      </c>
    </row>
    <row r="28" spans="1:6" x14ac:dyDescent="0.3">
      <c r="B28" s="4" t="s">
        <v>6223</v>
      </c>
      <c r="C28" s="12">
        <v>95.859999999999985</v>
      </c>
      <c r="D28" s="12">
        <v>484.76</v>
      </c>
      <c r="E28" s="12">
        <v>94.17</v>
      </c>
      <c r="F28" s="12">
        <v>77.10499999999999</v>
      </c>
    </row>
    <row r="29" spans="1:6" x14ac:dyDescent="0.3">
      <c r="A29" t="s">
        <v>6225</v>
      </c>
      <c r="B29" s="4" t="s">
        <v>6212</v>
      </c>
      <c r="C29" s="12">
        <v>258.34500000000003</v>
      </c>
      <c r="D29" s="12">
        <v>139.625</v>
      </c>
      <c r="E29" s="12">
        <v>279.52000000000004</v>
      </c>
      <c r="F29" s="12">
        <v>160.19499999999999</v>
      </c>
    </row>
    <row r="30" spans="1:6" x14ac:dyDescent="0.3">
      <c r="B30" s="4" t="s">
        <v>6213</v>
      </c>
      <c r="C30" s="12">
        <v>342.2</v>
      </c>
      <c r="D30" s="12">
        <v>284.24999999999994</v>
      </c>
      <c r="E30" s="12">
        <v>251.83</v>
      </c>
      <c r="F30" s="12">
        <v>80.550000000000011</v>
      </c>
    </row>
    <row r="31" spans="1:6" x14ac:dyDescent="0.3">
      <c r="B31" s="4" t="s">
        <v>6214</v>
      </c>
      <c r="C31" s="12">
        <v>418.30499999999989</v>
      </c>
      <c r="D31" s="12">
        <v>468.125</v>
      </c>
      <c r="E31" s="12">
        <v>405.05500000000006</v>
      </c>
      <c r="F31" s="12">
        <v>253.15499999999997</v>
      </c>
    </row>
    <row r="32" spans="1:6" x14ac:dyDescent="0.3">
      <c r="B32" s="4" t="s">
        <v>6215</v>
      </c>
      <c r="C32" s="12">
        <v>102.32999999999998</v>
      </c>
      <c r="D32" s="12">
        <v>242.14000000000001</v>
      </c>
      <c r="E32" s="12">
        <v>554.875</v>
      </c>
      <c r="F32" s="12">
        <v>106.23999999999998</v>
      </c>
    </row>
    <row r="33" spans="1:6" x14ac:dyDescent="0.3">
      <c r="B33" s="4" t="s">
        <v>6216</v>
      </c>
      <c r="C33" s="12">
        <v>234.71999999999997</v>
      </c>
      <c r="D33" s="12">
        <v>133.08000000000001</v>
      </c>
      <c r="E33" s="12">
        <v>267.2</v>
      </c>
      <c r="F33" s="12">
        <v>272.68999999999994</v>
      </c>
    </row>
    <row r="34" spans="1:6" x14ac:dyDescent="0.3">
      <c r="B34" s="4" t="s">
        <v>6217</v>
      </c>
      <c r="C34" s="12">
        <v>430.39</v>
      </c>
      <c r="D34" s="12">
        <v>136.20500000000001</v>
      </c>
      <c r="E34" s="12">
        <v>209.6</v>
      </c>
      <c r="F34" s="12">
        <v>88.334999999999994</v>
      </c>
    </row>
    <row r="35" spans="1:6" x14ac:dyDescent="0.3">
      <c r="B35" s="4" t="s">
        <v>6218</v>
      </c>
      <c r="C35" s="12">
        <v>109.005</v>
      </c>
      <c r="D35" s="12">
        <v>393.57499999999999</v>
      </c>
      <c r="E35" s="12">
        <v>61.034999999999997</v>
      </c>
      <c r="F35" s="12">
        <v>199.48999999999998</v>
      </c>
    </row>
    <row r="36" spans="1:6" x14ac:dyDescent="0.3">
      <c r="B36" s="4" t="s">
        <v>6219</v>
      </c>
      <c r="C36" s="12">
        <v>287.52499999999998</v>
      </c>
      <c r="D36" s="12">
        <v>288.67</v>
      </c>
      <c r="E36" s="12">
        <v>125.58</v>
      </c>
      <c r="F36" s="12">
        <v>374.13499999999999</v>
      </c>
    </row>
    <row r="37" spans="1:6" x14ac:dyDescent="0.3">
      <c r="B37" s="4" t="s">
        <v>6220</v>
      </c>
      <c r="C37" s="12">
        <v>840.92999999999984</v>
      </c>
      <c r="D37" s="12">
        <v>409.875</v>
      </c>
      <c r="E37" s="12">
        <v>171.32999999999998</v>
      </c>
      <c r="F37" s="12">
        <v>221.43999999999997</v>
      </c>
    </row>
    <row r="38" spans="1:6" x14ac:dyDescent="0.3">
      <c r="B38" s="4" t="s">
        <v>6221</v>
      </c>
      <c r="C38" s="12">
        <v>299.07</v>
      </c>
      <c r="D38" s="12">
        <v>260.32499999999999</v>
      </c>
      <c r="E38" s="12">
        <v>584.64</v>
      </c>
      <c r="F38" s="12">
        <v>256.36500000000001</v>
      </c>
    </row>
    <row r="39" spans="1:6" x14ac:dyDescent="0.3">
      <c r="B39" s="4" t="s">
        <v>6222</v>
      </c>
      <c r="C39" s="12">
        <v>323.32499999999999</v>
      </c>
      <c r="D39" s="12">
        <v>565.57000000000005</v>
      </c>
      <c r="E39" s="12">
        <v>537.80999999999995</v>
      </c>
      <c r="F39" s="12">
        <v>189.47499999999999</v>
      </c>
    </row>
    <row r="40" spans="1:6" x14ac:dyDescent="0.3">
      <c r="B40" s="4" t="s">
        <v>6223</v>
      </c>
      <c r="C40" s="12">
        <v>399.48499999999996</v>
      </c>
      <c r="D40" s="12">
        <v>148.19999999999999</v>
      </c>
      <c r="E40" s="12">
        <v>388.21999999999997</v>
      </c>
      <c r="F40" s="12">
        <v>212.07499999999999</v>
      </c>
    </row>
    <row r="41" spans="1:6" x14ac:dyDescent="0.3">
      <c r="A41" t="s">
        <v>6226</v>
      </c>
      <c r="B41" s="4" t="s">
        <v>6212</v>
      </c>
      <c r="C41" s="12">
        <v>112.69499999999999</v>
      </c>
      <c r="D41" s="12">
        <v>166.32</v>
      </c>
      <c r="E41" s="12">
        <v>843.71499999999992</v>
      </c>
      <c r="F41" s="12">
        <v>146.685</v>
      </c>
    </row>
    <row r="42" spans="1:6" x14ac:dyDescent="0.3">
      <c r="B42" s="4" t="s">
        <v>6213</v>
      </c>
      <c r="C42" s="12">
        <v>114.87999999999998</v>
      </c>
      <c r="D42" s="12">
        <v>133.815</v>
      </c>
      <c r="E42" s="12">
        <v>91.175000000000011</v>
      </c>
      <c r="F42" s="12">
        <v>53.759999999999991</v>
      </c>
    </row>
    <row r="43" spans="1:6" x14ac:dyDescent="0.3">
      <c r="B43" s="4" t="s">
        <v>6214</v>
      </c>
      <c r="C43" s="12">
        <v>277.76</v>
      </c>
      <c r="D43" s="12">
        <v>175.41</v>
      </c>
      <c r="E43" s="12">
        <v>462.50999999999993</v>
      </c>
      <c r="F43" s="12">
        <v>399.52499999999998</v>
      </c>
    </row>
    <row r="44" spans="1:6" x14ac:dyDescent="0.3">
      <c r="B44" s="4" t="s">
        <v>6215</v>
      </c>
      <c r="C44" s="12">
        <v>197.89499999999998</v>
      </c>
      <c r="D44" s="12">
        <v>289.755</v>
      </c>
      <c r="E44" s="12">
        <v>88.545000000000002</v>
      </c>
      <c r="F44" s="12">
        <v>200.25499999999997</v>
      </c>
    </row>
    <row r="45" spans="1:6" x14ac:dyDescent="0.3">
      <c r="B45" s="4" t="s">
        <v>6216</v>
      </c>
      <c r="C45" s="12">
        <v>193.11499999999998</v>
      </c>
      <c r="D45" s="12">
        <v>212.49499999999998</v>
      </c>
      <c r="E45" s="12">
        <v>292.29000000000002</v>
      </c>
      <c r="F45" s="12">
        <v>304.46999999999997</v>
      </c>
    </row>
    <row r="46" spans="1:6" x14ac:dyDescent="0.3">
      <c r="B46" s="4" t="s">
        <v>6217</v>
      </c>
      <c r="C46" s="12">
        <v>179.79</v>
      </c>
      <c r="D46" s="12">
        <v>426.2</v>
      </c>
      <c r="E46" s="12">
        <v>170.08999999999997</v>
      </c>
      <c r="F46" s="12">
        <v>379.31</v>
      </c>
    </row>
    <row r="47" spans="1:6" x14ac:dyDescent="0.3">
      <c r="B47" s="4" t="s">
        <v>6218</v>
      </c>
      <c r="C47" s="12">
        <v>247.28999999999996</v>
      </c>
      <c r="D47" s="12">
        <v>246.685</v>
      </c>
      <c r="E47" s="12">
        <v>271.05499999999995</v>
      </c>
      <c r="F47" s="12">
        <v>141.69999999999999</v>
      </c>
    </row>
    <row r="48" spans="1:6" x14ac:dyDescent="0.3">
      <c r="B48" s="4" t="s">
        <v>6219</v>
      </c>
      <c r="C48" s="12">
        <v>116.39499999999998</v>
      </c>
      <c r="D48" s="12">
        <v>41.25</v>
      </c>
      <c r="E48" s="12">
        <v>15.54</v>
      </c>
      <c r="F48" s="12">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C3D1-9F74-4817-8003-E964D8E73EEC}">
  <dimension ref="A3:B6"/>
  <sheetViews>
    <sheetView workbookViewId="0">
      <selection activeCell="B3" sqref="B3"/>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11" t="s">
        <v>7</v>
      </c>
      <c r="B3" t="s">
        <v>6232</v>
      </c>
    </row>
    <row r="4" spans="1:2" x14ac:dyDescent="0.3">
      <c r="A4" t="s">
        <v>28</v>
      </c>
      <c r="B4" s="13">
        <v>2798.5050000000001</v>
      </c>
    </row>
    <row r="5" spans="1:2" x14ac:dyDescent="0.3">
      <c r="A5" t="s">
        <v>318</v>
      </c>
      <c r="B5" s="13">
        <v>6696.8649999999989</v>
      </c>
    </row>
    <row r="6" spans="1:2" x14ac:dyDescent="0.3">
      <c r="A6" t="s">
        <v>19</v>
      </c>
      <c r="B6" s="13">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133F-D5A9-4D41-96A0-9C9BA929F5AC}">
  <dimension ref="A3:B8"/>
  <sheetViews>
    <sheetView workbookViewId="0">
      <selection activeCell="B3" sqref="B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11" t="s">
        <v>4</v>
      </c>
      <c r="B3" t="s">
        <v>6232</v>
      </c>
    </row>
    <row r="4" spans="1:2" x14ac:dyDescent="0.3">
      <c r="A4" t="s">
        <v>3753</v>
      </c>
      <c r="B4" s="13">
        <v>278.01</v>
      </c>
    </row>
    <row r="5" spans="1:2" x14ac:dyDescent="0.3">
      <c r="A5" t="s">
        <v>1598</v>
      </c>
      <c r="B5" s="13">
        <v>281.67499999999995</v>
      </c>
    </row>
    <row r="6" spans="1:2" x14ac:dyDescent="0.3">
      <c r="A6" t="s">
        <v>2587</v>
      </c>
      <c r="B6" s="13">
        <v>289.11</v>
      </c>
    </row>
    <row r="7" spans="1:2" x14ac:dyDescent="0.3">
      <c r="A7" t="s">
        <v>5765</v>
      </c>
      <c r="B7" s="13">
        <v>307.04499999999996</v>
      </c>
    </row>
    <row r="8" spans="1:2" x14ac:dyDescent="0.3">
      <c r="A8" t="s">
        <v>5114</v>
      </c>
      <c r="B8" s="13">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zoomScaleNormal="100" workbookViewId="0">
      <selection activeCell="F1" sqref="F1"/>
    </sheetView>
  </sheetViews>
  <sheetFormatPr defaultRowHeight="14.4" x14ac:dyDescent="0.3"/>
  <cols>
    <col min="1" max="1" width="15.5546875" bestFit="1" customWidth="1"/>
    <col min="2" max="2" width="12" style="4" customWidth="1"/>
    <col min="3" max="3" width="16.44140625" bestFit="1" customWidth="1"/>
    <col min="4" max="4" width="11.77734375" customWidth="1"/>
    <col min="5" max="5" width="10.21875" customWidth="1"/>
    <col min="6" max="6" width="21.88671875" bestFit="1" customWidth="1"/>
    <col min="7" max="7" width="14" bestFit="1" customWidth="1"/>
    <col min="8" max="8" width="13" customWidth="1"/>
    <col min="9" max="9" width="12.109375" customWidth="1"/>
    <col min="10" max="10" width="6.109375" customWidth="1"/>
    <col min="11" max="11" width="11" customWidth="1"/>
    <col min="12" max="12" width="8.6640625" bestFit="1" customWidth="1"/>
    <col min="13" max="13" width="21.77734375" customWidth="1"/>
    <col min="14" max="14" width="20.88671875" customWidth="1"/>
    <col min="15" max="15" width="13.6640625" bestFit="1" customWidth="1"/>
  </cols>
  <sheetData>
    <row r="1" spans="1:15" x14ac:dyDescent="0.3">
      <c r="A1" s="7" t="s">
        <v>0</v>
      </c>
      <c r="B1" s="7" t="s">
        <v>1</v>
      </c>
      <c r="C1" s="8" t="s">
        <v>3</v>
      </c>
      <c r="D1" s="8" t="s">
        <v>11</v>
      </c>
      <c r="E1" s="8" t="s">
        <v>14</v>
      </c>
      <c r="F1" s="8" t="s">
        <v>4</v>
      </c>
      <c r="G1" s="8" t="s">
        <v>7</v>
      </c>
      <c r="H1" s="8" t="s">
        <v>9</v>
      </c>
      <c r="I1" s="8" t="s">
        <v>10</v>
      </c>
      <c r="J1" s="8" t="s">
        <v>12</v>
      </c>
      <c r="K1" s="8" t="s">
        <v>13</v>
      </c>
      <c r="L1" s="8" t="s">
        <v>15</v>
      </c>
      <c r="M1" s="8" t="s">
        <v>6196</v>
      </c>
      <c r="N1" s="8" t="s">
        <v>6197</v>
      </c>
      <c r="O1" s="8" t="s">
        <v>6189</v>
      </c>
    </row>
    <row r="2" spans="1:15" x14ac:dyDescent="0.3">
      <c r="A2" s="2" t="s">
        <v>490</v>
      </c>
      <c r="B2" s="3">
        <v>43713</v>
      </c>
      <c r="C2" s="2" t="s">
        <v>491</v>
      </c>
      <c r="D2" t="s">
        <v>6138</v>
      </c>
      <c r="E2" s="2">
        <v>2</v>
      </c>
      <c r="F2" s="2" t="str">
        <f>_xlfn.XLOOKUP(C2,customers!$A$2:$A$1001,customers!$B$2:$B$1001,,0)</f>
        <v>Aloisia Allner</v>
      </c>
      <c r="G2" s="2" t="str">
        <f>_xlfn.XLOOKUP(C2,customers!$A$2:$A$1001,customers!$G$2:$G$1001,,0)</f>
        <v>United States</v>
      </c>
      <c r="H2" t="str">
        <f>INDEX(products!$A$1:$G$49,MATCH(orders!$D2,products!$A$1:$A$49,0),MATCH(orders!H$1,products!$A$1:$G$1,0))</f>
        <v>Rob</v>
      </c>
      <c r="I2" t="str">
        <f>INDEX(products!$A$1:$G$49,MATCH(orders!$D2,products!$A$1:$A$49,0),MATCH(orders!I$1,products!$A$1:$G$1,0))</f>
        <v>M</v>
      </c>
      <c r="J2" s="5">
        <f>INDEX(products!$A$1:$G$49,MATCH(orders!$D2,products!$A$1:$A$49,0),MATCH(orders!J$1,products!$A$1:$G$1,0))</f>
        <v>1</v>
      </c>
      <c r="K2" s="6">
        <f>INDEX(products!$A$1:$G$49,MATCH(orders!$D2,products!$A$1:$A$49,0),MATCH(orders!K$1,products!$A$1:$G$1,0))</f>
        <v>9.9499999999999993</v>
      </c>
      <c r="L2" s="6">
        <f>K2*E2</f>
        <v>19.899999999999999</v>
      </c>
      <c r="M2" t="str" cm="1">
        <f t="array" ref="M2">_xlfn.IFS(H2="Rob","Robusta",H2="Exc","Excelsa",H2="Ara","Arabica",H2="Lib","Liberica")</f>
        <v>Robusta</v>
      </c>
      <c r="N2" t="str" cm="1">
        <f t="array" ref="N2">_xlfn.IFS(I2="M","Medium",I2="L","Light",I2="D","Dark")</f>
        <v>Medium</v>
      </c>
      <c r="O2" t="str">
        <f>_xlfn.XLOOKUP(Orders[[#This Row],[Customer ID]],customers!$A$2:$A$1001,customers!$I$2:$I$1001,,0)</f>
        <v>Yes</v>
      </c>
    </row>
    <row r="3" spans="1:15" x14ac:dyDescent="0.3">
      <c r="A3" s="2" t="s">
        <v>490</v>
      </c>
      <c r="B3" s="3">
        <v>43713</v>
      </c>
      <c r="C3" s="2" t="s">
        <v>491</v>
      </c>
      <c r="D3" t="s">
        <v>6139</v>
      </c>
      <c r="E3" s="2">
        <v>5</v>
      </c>
      <c r="F3" s="2" t="str">
        <f>_xlfn.XLOOKUP(C3,customers!$A$2:$A$1001,customers!$B$2:$B$1001,,0)</f>
        <v>Aloisia Allner</v>
      </c>
      <c r="G3" s="2" t="str">
        <f>_xlfn.XLOOKUP(C3,customers!$A$2:$A$1001,customers!$G$2:$G$1001,,0)</f>
        <v>United States</v>
      </c>
      <c r="H3" t="str">
        <f>INDEX(products!$A$1:$G$49,MATCH(orders!$D3,products!$A$1:$A$49,0),MATCH(orders!H$1,products!$A$1:$G$1,0))</f>
        <v>Exc</v>
      </c>
      <c r="I3" t="str">
        <f>INDEX(products!$A$1:$G$49,MATCH(orders!$D3,products!$A$1:$A$49,0),MATCH(orders!I$1,products!$A$1:$G$1,0))</f>
        <v>M</v>
      </c>
      <c r="J3" s="5">
        <f>INDEX(products!$A$1:$G$49,MATCH(orders!$D3,products!$A$1:$A$49,0),MATCH(orders!J$1,products!$A$1:$G$1,0))</f>
        <v>0.5</v>
      </c>
      <c r="K3" s="6">
        <f>INDEX(products!$A$1:$G$49,MATCH(orders!$D3,products!$A$1:$A$49,0),MATCH(orders!K$1,products!$A$1:$G$1,0))</f>
        <v>8.25</v>
      </c>
      <c r="L3" s="6">
        <f>K3*E3</f>
        <v>41.25</v>
      </c>
      <c r="M3" t="str" cm="1">
        <f t="array" ref="M3">_xlfn.IFS(H3="Rob","Robusta",H3="Exc","Excelsa",H3="Ara","Arabica",H3="Lib","Liberica")</f>
        <v>Excelsa</v>
      </c>
      <c r="N3" t="str" cm="1">
        <f t="array" ref="N3">_xlfn.IFS(I3="M","Medium",I3="L","Light",I3="D","Dark")</f>
        <v>Medium</v>
      </c>
      <c r="O3" t="str">
        <f>_xlfn.XLOOKUP(Orders[[#This Row],[Customer ID]],customers!$A$2:$A$1001,customers!$I$2:$I$1001,,0)</f>
        <v>Yes</v>
      </c>
    </row>
    <row r="4" spans="1:15" x14ac:dyDescent="0.3">
      <c r="A4" s="2" t="s">
        <v>501</v>
      </c>
      <c r="B4" s="3">
        <v>44364</v>
      </c>
      <c r="C4" s="2" t="s">
        <v>502</v>
      </c>
      <c r="D4" t="s">
        <v>6140</v>
      </c>
      <c r="E4" s="2">
        <v>1</v>
      </c>
      <c r="F4" s="2" t="str">
        <f>_xlfn.XLOOKUP(C4,customers!$A$2:$A$1001,customers!$B$2:$B$1001,,0)</f>
        <v>Jami Redholes</v>
      </c>
      <c r="G4" s="2" t="str">
        <f>_xlfn.XLOOKUP(C4,customers!$A$2:$A$1001,customers!$G$2:$G$1001,,0)</f>
        <v>United States</v>
      </c>
      <c r="H4" t="str">
        <f>INDEX(products!$A$1:$G$49,MATCH(orders!$D4,products!$A$1:$A$49,0),MATCH(orders!H$1,products!$A$1:$G$1,0))</f>
        <v>Ara</v>
      </c>
      <c r="I4" t="str">
        <f>INDEX(products!$A$1:$G$49,MATCH(orders!$D4,products!$A$1:$A$49,0),MATCH(orders!I$1,products!$A$1:$G$1,0))</f>
        <v>L</v>
      </c>
      <c r="J4" s="5">
        <f>INDEX(products!$A$1:$G$49,MATCH(orders!$D4,products!$A$1:$A$49,0),MATCH(orders!J$1,products!$A$1:$G$1,0))</f>
        <v>1</v>
      </c>
      <c r="K4" s="6">
        <f>INDEX(products!$A$1:$G$49,MATCH(orders!$D4,products!$A$1:$A$49,0),MATCH(orders!K$1,products!$A$1:$G$1,0))</f>
        <v>12.95</v>
      </c>
      <c r="L4" s="6">
        <f>K4*E4</f>
        <v>12.95</v>
      </c>
      <c r="M4" t="str" cm="1">
        <f t="array" ref="M4">_xlfn.IFS(H4="Rob","Robusta",H4="Exc","Excelsa",H4="Ara","Arabica",H4="Lib","Liberica")</f>
        <v>Arabica</v>
      </c>
      <c r="N4" t="str" cm="1">
        <f t="array" ref="N4">_xlfn.IFS(I4="M","Medium",I4="L","Light",I4="D","Dark")</f>
        <v>Light</v>
      </c>
      <c r="O4" t="str">
        <f>_xlfn.XLOOKUP(Orders[[#This Row],[Customer ID]],customers!$A$2:$A$1001,customers!$I$2:$I$1001,,0)</f>
        <v>Yes</v>
      </c>
    </row>
    <row r="5" spans="1:15" x14ac:dyDescent="0.3">
      <c r="A5" s="2" t="s">
        <v>512</v>
      </c>
      <c r="B5" s="3">
        <v>44392</v>
      </c>
      <c r="C5" s="2" t="s">
        <v>513</v>
      </c>
      <c r="D5" t="s">
        <v>6141</v>
      </c>
      <c r="E5" s="2">
        <v>2</v>
      </c>
      <c r="F5" s="2" t="str">
        <f>_xlfn.XLOOKUP(C5,customers!$A$2:$A$1001,customers!$B$2:$B$1001,,0)</f>
        <v>Christoffer O' Shea</v>
      </c>
      <c r="G5" s="2" t="str">
        <f>_xlfn.XLOOKUP(C5,customers!$A$2:$A$1001,customers!$G$2:$G$1001,,0)</f>
        <v>Ireland</v>
      </c>
      <c r="H5" t="str">
        <f>INDEX(products!$A$1:$G$49,MATCH(orders!$D5,products!$A$1:$A$49,0),MATCH(orders!H$1,products!$A$1:$G$1,0))</f>
        <v>Exc</v>
      </c>
      <c r="I5" t="str">
        <f>INDEX(products!$A$1:$G$49,MATCH(orders!$D5,products!$A$1:$A$49,0),MATCH(orders!I$1,products!$A$1:$G$1,0))</f>
        <v>M</v>
      </c>
      <c r="J5" s="5">
        <f>INDEX(products!$A$1:$G$49,MATCH(orders!$D5,products!$A$1:$A$49,0),MATCH(orders!J$1,products!$A$1:$G$1,0))</f>
        <v>1</v>
      </c>
      <c r="K5" s="6">
        <f>INDEX(products!$A$1:$G$49,MATCH(orders!$D5,products!$A$1:$A$49,0),MATCH(orders!K$1,products!$A$1:$G$1,0))</f>
        <v>13.75</v>
      </c>
      <c r="L5" s="6">
        <f>K5*E5</f>
        <v>27.5</v>
      </c>
      <c r="M5" t="str" cm="1">
        <f t="array" ref="M5">_xlfn.IFS(H5="Rob","Robusta",H5="Exc","Excelsa",H5="Ara","Arabica",H5="Lib","Liberica")</f>
        <v>Excelsa</v>
      </c>
      <c r="N5" t="str" cm="1">
        <f t="array" ref="N5">_xlfn.IFS(I5="M","Medium",I5="L","Light",I5="D","Dark")</f>
        <v>Medium</v>
      </c>
      <c r="O5" t="str">
        <f>_xlfn.XLOOKUP(Orders[[#This Row],[Customer ID]],customers!$A$2:$A$1001,customers!$I$2:$I$1001,,0)</f>
        <v>No</v>
      </c>
    </row>
    <row r="6" spans="1:15" x14ac:dyDescent="0.3">
      <c r="A6" s="2" t="s">
        <v>512</v>
      </c>
      <c r="B6" s="3">
        <v>44392</v>
      </c>
      <c r="C6" s="2" t="s">
        <v>513</v>
      </c>
      <c r="D6" t="s">
        <v>6142</v>
      </c>
      <c r="E6" s="2">
        <v>2</v>
      </c>
      <c r="F6" s="2" t="str">
        <f>_xlfn.XLOOKUP(C6,customers!$A$2:$A$1001,customers!$B$2:$B$1001,,0)</f>
        <v>Christoffer O' Shea</v>
      </c>
      <c r="G6" s="2" t="str">
        <f>_xlfn.XLOOKUP(C6,customers!$A$2:$A$1001,customers!$G$2:$G$1001,,0)</f>
        <v>Ireland</v>
      </c>
      <c r="H6" t="str">
        <f>INDEX(products!$A$1:$G$49,MATCH(orders!$D6,products!$A$1:$A$49,0),MATCH(orders!H$1,products!$A$1:$G$1,0))</f>
        <v>Rob</v>
      </c>
      <c r="I6" t="str">
        <f>INDEX(products!$A$1:$G$49,MATCH(orders!$D6,products!$A$1:$A$49,0),MATCH(orders!I$1,products!$A$1:$G$1,0))</f>
        <v>L</v>
      </c>
      <c r="J6" s="5">
        <f>INDEX(products!$A$1:$G$49,MATCH(orders!$D6,products!$A$1:$A$49,0),MATCH(orders!J$1,products!$A$1:$G$1,0))</f>
        <v>2.5</v>
      </c>
      <c r="K6" s="6">
        <f>INDEX(products!$A$1:$G$49,MATCH(orders!$D6,products!$A$1:$A$49,0),MATCH(orders!K$1,products!$A$1:$G$1,0))</f>
        <v>27.484999999999996</v>
      </c>
      <c r="L6" s="6">
        <f>K6*E6</f>
        <v>54.969999999999992</v>
      </c>
      <c r="M6" t="str" cm="1">
        <f t="array" ref="M6">_xlfn.IFS(H6="Rob","Robusta",H6="Exc","Excelsa",H6="Ara","Arabica",H6="Lib","Liberica")</f>
        <v>Robusta</v>
      </c>
      <c r="N6" t="str" cm="1">
        <f t="array" ref="N6">_xlfn.IFS(I6="M","Medium",I6="L","Light",I6="D","Dark")</f>
        <v>Light</v>
      </c>
      <c r="O6" t="str">
        <f>_xlfn.XLOOKUP(Orders[[#This Row],[Customer ID]],customers!$A$2:$A$1001,customers!$I$2:$I$1001,,0)</f>
        <v>No</v>
      </c>
    </row>
    <row r="7" spans="1:15" x14ac:dyDescent="0.3">
      <c r="A7" s="2" t="s">
        <v>519</v>
      </c>
      <c r="B7" s="3">
        <v>44412</v>
      </c>
      <c r="C7" s="2" t="s">
        <v>520</v>
      </c>
      <c r="D7" t="s">
        <v>6143</v>
      </c>
      <c r="E7" s="2">
        <v>3</v>
      </c>
      <c r="F7" s="2" t="str">
        <f>_xlfn.XLOOKUP(C7,customers!$A$2:$A$1001,customers!$B$2:$B$1001,,0)</f>
        <v>Beryle Cottier</v>
      </c>
      <c r="G7" s="2" t="str">
        <f>_xlfn.XLOOKUP(C7,customers!$A$2:$A$1001,customers!$G$2:$G$1001,,0)</f>
        <v>United States</v>
      </c>
      <c r="H7" t="str">
        <f>INDEX(products!$A$1:$G$49,MATCH(orders!$D7,products!$A$1:$A$49,0),MATCH(orders!H$1,products!$A$1:$G$1,0))</f>
        <v>Lib</v>
      </c>
      <c r="I7" t="str">
        <f>INDEX(products!$A$1:$G$49,MATCH(orders!$D7,products!$A$1:$A$49,0),MATCH(orders!I$1,products!$A$1:$G$1,0))</f>
        <v>D</v>
      </c>
      <c r="J7" s="5">
        <f>INDEX(products!$A$1:$G$49,MATCH(orders!$D7,products!$A$1:$A$49,0),MATCH(orders!J$1,products!$A$1:$G$1,0))</f>
        <v>1</v>
      </c>
      <c r="K7" s="6">
        <f>INDEX(products!$A$1:$G$49,MATCH(orders!$D7,products!$A$1:$A$49,0),MATCH(orders!K$1,products!$A$1:$G$1,0))</f>
        <v>12.95</v>
      </c>
      <c r="L7" s="6">
        <f>K7*E7</f>
        <v>38.849999999999994</v>
      </c>
      <c r="M7" t="str" cm="1">
        <f t="array" ref="M7">_xlfn.IFS(H7="Rob","Robusta",H7="Exc","Excelsa",H7="Ara","Arabica",H7="Lib","Liberica")</f>
        <v>Liberica</v>
      </c>
      <c r="N7" t="str" cm="1">
        <f t="array" ref="N7">_xlfn.IFS(I7="M","Medium",I7="L","Light",I7="D","Dark")</f>
        <v>Dark</v>
      </c>
      <c r="O7" t="str">
        <f>_xlfn.XLOOKUP(Orders[[#This Row],[Customer ID]],customers!$A$2:$A$1001,customers!$I$2:$I$1001,,0)</f>
        <v>No</v>
      </c>
    </row>
    <row r="8" spans="1:15" x14ac:dyDescent="0.3">
      <c r="A8" s="2" t="s">
        <v>524</v>
      </c>
      <c r="B8" s="3">
        <v>44582</v>
      </c>
      <c r="C8" s="2" t="s">
        <v>525</v>
      </c>
      <c r="D8" t="s">
        <v>6144</v>
      </c>
      <c r="E8" s="2">
        <v>3</v>
      </c>
      <c r="F8" s="2" t="str">
        <f>_xlfn.XLOOKUP(C8,customers!$A$2:$A$1001,customers!$B$2:$B$1001,,0)</f>
        <v>Shaylynn Lobe</v>
      </c>
      <c r="G8" s="2" t="str">
        <f>_xlfn.XLOOKUP(C8,customers!$A$2:$A$1001,customers!$G$2:$G$1001,,0)</f>
        <v>United States</v>
      </c>
      <c r="H8" t="str">
        <f>INDEX(products!$A$1:$G$49,MATCH(orders!$D8,products!$A$1:$A$49,0),MATCH(orders!H$1,products!$A$1:$G$1,0))</f>
        <v>Exc</v>
      </c>
      <c r="I8" t="str">
        <f>INDEX(products!$A$1:$G$49,MATCH(orders!$D8,products!$A$1:$A$49,0),MATCH(orders!I$1,products!$A$1:$G$1,0))</f>
        <v>D</v>
      </c>
      <c r="J8" s="5">
        <f>INDEX(products!$A$1:$G$49,MATCH(orders!$D8,products!$A$1:$A$49,0),MATCH(orders!J$1,products!$A$1:$G$1,0))</f>
        <v>0.5</v>
      </c>
      <c r="K8" s="6">
        <f>INDEX(products!$A$1:$G$49,MATCH(orders!$D8,products!$A$1:$A$49,0),MATCH(orders!K$1,products!$A$1:$G$1,0))</f>
        <v>7.29</v>
      </c>
      <c r="L8" s="6">
        <f>K8*E8</f>
        <v>21.87</v>
      </c>
      <c r="M8" t="str" cm="1">
        <f t="array" ref="M8">_xlfn.IFS(H8="Rob","Robusta",H8="Exc","Excelsa",H8="Ara","Arabica",H8="Lib","Liberica")</f>
        <v>Excelsa</v>
      </c>
      <c r="N8" t="str" cm="1">
        <f t="array" ref="N8">_xlfn.IFS(I8="M","Medium",I8="L","Light",I8="D","Dark")</f>
        <v>Dark</v>
      </c>
      <c r="O8" t="str">
        <f>_xlfn.XLOOKUP(Orders[[#This Row],[Customer ID]],customers!$A$2:$A$1001,customers!$I$2:$I$1001,,0)</f>
        <v>Yes</v>
      </c>
    </row>
    <row r="9" spans="1:15" x14ac:dyDescent="0.3">
      <c r="A9" s="2" t="s">
        <v>530</v>
      </c>
      <c r="B9" s="3">
        <v>44701</v>
      </c>
      <c r="C9" s="2" t="s">
        <v>531</v>
      </c>
      <c r="D9" t="s">
        <v>6145</v>
      </c>
      <c r="E9" s="2">
        <v>1</v>
      </c>
      <c r="F9" s="2" t="str">
        <f>_xlfn.XLOOKUP(C9,customers!$A$2:$A$1001,customers!$B$2:$B$1001,,0)</f>
        <v>Melvin Wharfe</v>
      </c>
      <c r="G9" s="2" t="str">
        <f>_xlfn.XLOOKUP(C9,customers!$A$2:$A$1001,customers!$G$2:$G$1001,,0)</f>
        <v>Ireland</v>
      </c>
      <c r="H9" t="str">
        <f>INDEX(products!$A$1:$G$49,MATCH(orders!$D9,products!$A$1:$A$49,0),MATCH(orders!H$1,products!$A$1:$G$1,0))</f>
        <v>Lib</v>
      </c>
      <c r="I9" t="str">
        <f>INDEX(products!$A$1:$G$49,MATCH(orders!$D9,products!$A$1:$A$49,0),MATCH(orders!I$1,products!$A$1:$G$1,0))</f>
        <v>L</v>
      </c>
      <c r="J9" s="5">
        <f>INDEX(products!$A$1:$G$49,MATCH(orders!$D9,products!$A$1:$A$49,0),MATCH(orders!J$1,products!$A$1:$G$1,0))</f>
        <v>0.2</v>
      </c>
      <c r="K9" s="6">
        <f>INDEX(products!$A$1:$G$49,MATCH(orders!$D9,products!$A$1:$A$49,0),MATCH(orders!K$1,products!$A$1:$G$1,0))</f>
        <v>4.7549999999999999</v>
      </c>
      <c r="L9" s="6">
        <f>K9*E9</f>
        <v>4.7549999999999999</v>
      </c>
      <c r="M9" t="str" cm="1">
        <f t="array" ref="M9">_xlfn.IFS(H9="Rob","Robusta",H9="Exc","Excelsa",H9="Ara","Arabica",H9="Lib","Liberica")</f>
        <v>Liberica</v>
      </c>
      <c r="N9" t="str" cm="1">
        <f t="array" ref="N9">_xlfn.IFS(I9="M","Medium",I9="L","Light",I9="D","Dark")</f>
        <v>Light</v>
      </c>
      <c r="O9" t="str">
        <f>_xlfn.XLOOKUP(Orders[[#This Row],[Customer ID]],customers!$A$2:$A$1001,customers!$I$2:$I$1001,,0)</f>
        <v>Yes</v>
      </c>
    </row>
    <row r="10" spans="1:15" x14ac:dyDescent="0.3">
      <c r="A10" s="2" t="s">
        <v>535</v>
      </c>
      <c r="B10" s="3">
        <v>43467</v>
      </c>
      <c r="C10" s="2" t="s">
        <v>536</v>
      </c>
      <c r="D10" t="s">
        <v>6146</v>
      </c>
      <c r="E10" s="2">
        <v>3</v>
      </c>
      <c r="F10" s="2" t="str">
        <f>_xlfn.XLOOKUP(C10,customers!$A$2:$A$1001,customers!$B$2:$B$1001,,0)</f>
        <v>Guthrey Petracci</v>
      </c>
      <c r="G10" s="2" t="str">
        <f>_xlfn.XLOOKUP(C10,customers!$A$2:$A$1001,customers!$G$2:$G$1001,,0)</f>
        <v>United States</v>
      </c>
      <c r="H10" t="str">
        <f>INDEX(products!$A$1:$G$49,MATCH(orders!$D10,products!$A$1:$A$49,0),MATCH(orders!H$1,products!$A$1:$G$1,0))</f>
        <v>Rob</v>
      </c>
      <c r="I10" t="str">
        <f>INDEX(products!$A$1:$G$49,MATCH(orders!$D10,products!$A$1:$A$49,0),MATCH(orders!I$1,products!$A$1:$G$1,0))</f>
        <v>M</v>
      </c>
      <c r="J10" s="5">
        <f>INDEX(products!$A$1:$G$49,MATCH(orders!$D10,products!$A$1:$A$49,0),MATCH(orders!J$1,products!$A$1:$G$1,0))</f>
        <v>0.5</v>
      </c>
      <c r="K10" s="6">
        <f>INDEX(products!$A$1:$G$49,MATCH(orders!$D10,products!$A$1:$A$49,0),MATCH(orders!K$1,products!$A$1:$G$1,0))</f>
        <v>5.97</v>
      </c>
      <c r="L10" s="6">
        <f>K10*E10</f>
        <v>17.91</v>
      </c>
      <c r="M10" t="str" cm="1">
        <f t="array" ref="M10">_xlfn.IFS(H10="Rob","Robusta",H10="Exc","Excelsa",H10="Ara","Arabica",H10="Lib","Liberica")</f>
        <v>Robusta</v>
      </c>
      <c r="N10" t="str" cm="1">
        <f t="array" ref="N10">_xlfn.IFS(I10="M","Medium",I10="L","Light",I10="D","Dark")</f>
        <v>Medium</v>
      </c>
      <c r="O10" t="str">
        <f>_xlfn.XLOOKUP(Orders[[#This Row],[Customer ID]],customers!$A$2:$A$1001,customers!$I$2:$I$1001,,0)</f>
        <v>No</v>
      </c>
    </row>
    <row r="11" spans="1:15" x14ac:dyDescent="0.3">
      <c r="A11" s="2" t="s">
        <v>541</v>
      </c>
      <c r="B11" s="3">
        <v>43713</v>
      </c>
      <c r="C11" s="2" t="s">
        <v>542</v>
      </c>
      <c r="D11" t="s">
        <v>6146</v>
      </c>
      <c r="E11" s="2">
        <v>1</v>
      </c>
      <c r="F11" s="2" t="str">
        <f>_xlfn.XLOOKUP(C11,customers!$A$2:$A$1001,customers!$B$2:$B$1001,,0)</f>
        <v>Rodger Raven</v>
      </c>
      <c r="G11" s="2" t="str">
        <f>_xlfn.XLOOKUP(C11,customers!$A$2:$A$1001,customers!$G$2:$G$1001,,0)</f>
        <v>United States</v>
      </c>
      <c r="H11" t="str">
        <f>INDEX(products!$A$1:$G$49,MATCH(orders!$D11,products!$A$1:$A$49,0),MATCH(orders!H$1,products!$A$1:$G$1,0))</f>
        <v>Rob</v>
      </c>
      <c r="I11" t="str">
        <f>INDEX(products!$A$1:$G$49,MATCH(orders!$D11,products!$A$1:$A$49,0),MATCH(orders!I$1,products!$A$1:$G$1,0))</f>
        <v>M</v>
      </c>
      <c r="J11" s="5">
        <f>INDEX(products!$A$1:$G$49,MATCH(orders!$D11,products!$A$1:$A$49,0),MATCH(orders!J$1,products!$A$1:$G$1,0))</f>
        <v>0.5</v>
      </c>
      <c r="K11" s="6">
        <f>INDEX(products!$A$1:$G$49,MATCH(orders!$D11,products!$A$1:$A$49,0),MATCH(orders!K$1,products!$A$1:$G$1,0))</f>
        <v>5.97</v>
      </c>
      <c r="L11" s="6">
        <f>K11*E11</f>
        <v>5.97</v>
      </c>
      <c r="M11" t="str" cm="1">
        <f t="array" ref="M11">_xlfn.IFS(H11="Rob","Robusta",H11="Exc","Excelsa",H11="Ara","Arabica",H11="Lib","Liberica")</f>
        <v>Robusta</v>
      </c>
      <c r="N11" t="str" cm="1">
        <f t="array" ref="N11">_xlfn.IFS(I11="M","Medium",I11="L","Light",I11="D","Dark")</f>
        <v>Medium</v>
      </c>
      <c r="O11" t="str">
        <f>_xlfn.XLOOKUP(Orders[[#This Row],[Customer ID]],customers!$A$2:$A$1001,customers!$I$2:$I$1001,,0)</f>
        <v>No</v>
      </c>
    </row>
    <row r="12" spans="1:15" x14ac:dyDescent="0.3">
      <c r="A12" s="2" t="s">
        <v>547</v>
      </c>
      <c r="B12" s="3">
        <v>44263</v>
      </c>
      <c r="C12" s="2" t="s">
        <v>548</v>
      </c>
      <c r="D12" t="s">
        <v>6147</v>
      </c>
      <c r="E12" s="2">
        <v>4</v>
      </c>
      <c r="F12" s="2" t="str">
        <f>_xlfn.XLOOKUP(C12,customers!$A$2:$A$1001,customers!$B$2:$B$1001,,0)</f>
        <v>Ferrell Ferber</v>
      </c>
      <c r="G12" s="2" t="str">
        <f>_xlfn.XLOOKUP(C12,customers!$A$2:$A$1001,customers!$G$2:$G$1001,,0)</f>
        <v>United States</v>
      </c>
      <c r="H12" t="str">
        <f>INDEX(products!$A$1:$G$49,MATCH(orders!$D12,products!$A$1:$A$49,0),MATCH(orders!H$1,products!$A$1:$G$1,0))</f>
        <v>Ara</v>
      </c>
      <c r="I12" t="str">
        <f>INDEX(products!$A$1:$G$49,MATCH(orders!$D12,products!$A$1:$A$49,0),MATCH(orders!I$1,products!$A$1:$G$1,0))</f>
        <v>D</v>
      </c>
      <c r="J12" s="5">
        <f>INDEX(products!$A$1:$G$49,MATCH(orders!$D12,products!$A$1:$A$49,0),MATCH(orders!J$1,products!$A$1:$G$1,0))</f>
        <v>1</v>
      </c>
      <c r="K12" s="6">
        <f>INDEX(products!$A$1:$G$49,MATCH(orders!$D12,products!$A$1:$A$49,0),MATCH(orders!K$1,products!$A$1:$G$1,0))</f>
        <v>9.9499999999999993</v>
      </c>
      <c r="L12" s="6">
        <f>K12*E12</f>
        <v>39.799999999999997</v>
      </c>
      <c r="M12" t="str" cm="1">
        <f t="array" ref="M12">_xlfn.IFS(H12="Rob","Robusta",H12="Exc","Excelsa",H12="Ara","Arabica",H12="Lib","Liberica")</f>
        <v>Arabica</v>
      </c>
      <c r="N12" t="str" cm="1">
        <f t="array" ref="N12">_xlfn.IFS(I12="M","Medium",I12="L","Light",I12="D","Dark")</f>
        <v>Dark</v>
      </c>
      <c r="O12" t="str">
        <f>_xlfn.XLOOKUP(Orders[[#This Row],[Customer ID]],customers!$A$2:$A$1001,customers!$I$2:$I$1001,,0)</f>
        <v>No</v>
      </c>
    </row>
    <row r="13" spans="1:15" x14ac:dyDescent="0.3">
      <c r="A13" s="2" t="s">
        <v>553</v>
      </c>
      <c r="B13" s="3">
        <v>44132</v>
      </c>
      <c r="C13" s="2" t="s">
        <v>554</v>
      </c>
      <c r="D13" t="s">
        <v>6148</v>
      </c>
      <c r="E13" s="2">
        <v>5</v>
      </c>
      <c r="F13" s="2" t="str">
        <f>_xlfn.XLOOKUP(C13,customers!$A$2:$A$1001,customers!$B$2:$B$1001,,0)</f>
        <v>Duky Phizackerly</v>
      </c>
      <c r="G13" s="2" t="str">
        <f>_xlfn.XLOOKUP(C13,customers!$A$2:$A$1001,customers!$G$2:$G$1001,,0)</f>
        <v>United States</v>
      </c>
      <c r="H13" t="str">
        <f>INDEX(products!$A$1:$G$49,MATCH(orders!$D13,products!$A$1:$A$49,0),MATCH(orders!H$1,products!$A$1:$G$1,0))</f>
        <v>Exc</v>
      </c>
      <c r="I13" t="str">
        <f>INDEX(products!$A$1:$G$49,MATCH(orders!$D13,products!$A$1:$A$49,0),MATCH(orders!I$1,products!$A$1:$G$1,0))</f>
        <v>L</v>
      </c>
      <c r="J13" s="5">
        <f>INDEX(products!$A$1:$G$49,MATCH(orders!$D13,products!$A$1:$A$49,0),MATCH(orders!J$1,products!$A$1:$G$1,0))</f>
        <v>2.5</v>
      </c>
      <c r="K13" s="6">
        <f>INDEX(products!$A$1:$G$49,MATCH(orders!$D13,products!$A$1:$A$49,0),MATCH(orders!K$1,products!$A$1:$G$1,0))</f>
        <v>34.154999999999994</v>
      </c>
      <c r="L13" s="6">
        <f>K13*E13</f>
        <v>170.77499999999998</v>
      </c>
      <c r="M13" t="str" cm="1">
        <f t="array" ref="M13">_xlfn.IFS(H13="Rob","Robusta",H13="Exc","Excelsa",H13="Ara","Arabica",H13="Lib","Liberica")</f>
        <v>Excelsa</v>
      </c>
      <c r="N13" t="str" cm="1">
        <f t="array" ref="N13">_xlfn.IFS(I13="M","Medium",I13="L","Light",I13="D","Dark")</f>
        <v>Light</v>
      </c>
      <c r="O13" t="str">
        <f>_xlfn.XLOOKUP(Orders[[#This Row],[Customer ID]],customers!$A$2:$A$1001,customers!$I$2:$I$1001,,0)</f>
        <v>Yes</v>
      </c>
    </row>
    <row r="14" spans="1:15" x14ac:dyDescent="0.3">
      <c r="A14" s="2" t="s">
        <v>559</v>
      </c>
      <c r="B14" s="3">
        <v>44744</v>
      </c>
      <c r="C14" s="2" t="s">
        <v>560</v>
      </c>
      <c r="D14" t="s">
        <v>6138</v>
      </c>
      <c r="E14" s="2">
        <v>5</v>
      </c>
      <c r="F14" s="2" t="str">
        <f>_xlfn.XLOOKUP(C14,customers!$A$2:$A$1001,customers!$B$2:$B$1001,,0)</f>
        <v>Rosaleen Scholar</v>
      </c>
      <c r="G14" s="2" t="str">
        <f>_xlfn.XLOOKUP(C14,customers!$A$2:$A$1001,customers!$G$2:$G$1001,,0)</f>
        <v>United States</v>
      </c>
      <c r="H14" t="str">
        <f>INDEX(products!$A$1:$G$49,MATCH(orders!$D14,products!$A$1:$A$49,0),MATCH(orders!H$1,products!$A$1:$G$1,0))</f>
        <v>Rob</v>
      </c>
      <c r="I14" t="str">
        <f>INDEX(products!$A$1:$G$49,MATCH(orders!$D14,products!$A$1:$A$49,0),MATCH(orders!I$1,products!$A$1:$G$1,0))</f>
        <v>M</v>
      </c>
      <c r="J14" s="5">
        <f>INDEX(products!$A$1:$G$49,MATCH(orders!$D14,products!$A$1:$A$49,0),MATCH(orders!J$1,products!$A$1:$G$1,0))</f>
        <v>1</v>
      </c>
      <c r="K14" s="6">
        <f>INDEX(products!$A$1:$G$49,MATCH(orders!$D14,products!$A$1:$A$49,0),MATCH(orders!K$1,products!$A$1:$G$1,0))</f>
        <v>9.9499999999999993</v>
      </c>
      <c r="L14" s="6">
        <f>K14*E14</f>
        <v>49.75</v>
      </c>
      <c r="M14" t="str" cm="1">
        <f t="array" ref="M14">_xlfn.IFS(H14="Rob","Robusta",H14="Exc","Excelsa",H14="Ara","Arabica",H14="Lib","Liberica")</f>
        <v>Robusta</v>
      </c>
      <c r="N14" t="str" cm="1">
        <f t="array" ref="N14">_xlfn.IFS(I14="M","Medium",I14="L","Light",I14="D","Dark")</f>
        <v>Medium</v>
      </c>
      <c r="O14" t="str">
        <f>_xlfn.XLOOKUP(Orders[[#This Row],[Customer ID]],customers!$A$2:$A$1001,customers!$I$2:$I$1001,,0)</f>
        <v>No</v>
      </c>
    </row>
    <row r="15" spans="1:15" x14ac:dyDescent="0.3">
      <c r="A15" s="2" t="s">
        <v>565</v>
      </c>
      <c r="B15" s="3">
        <v>43973</v>
      </c>
      <c r="C15" s="2" t="s">
        <v>566</v>
      </c>
      <c r="D15" t="s">
        <v>6149</v>
      </c>
      <c r="E15" s="2">
        <v>2</v>
      </c>
      <c r="F15" s="2" t="str">
        <f>_xlfn.XLOOKUP(C15,customers!$A$2:$A$1001,customers!$B$2:$B$1001,,0)</f>
        <v>Terence Vanyutin</v>
      </c>
      <c r="G15" s="2" t="str">
        <f>_xlfn.XLOOKUP(C15,customers!$A$2:$A$1001,customers!$G$2:$G$1001,,0)</f>
        <v>United States</v>
      </c>
      <c r="H15" t="str">
        <f>INDEX(products!$A$1:$G$49,MATCH(orders!$D15,products!$A$1:$A$49,0),MATCH(orders!H$1,products!$A$1:$G$1,0))</f>
        <v>Rob</v>
      </c>
      <c r="I15" t="str">
        <f>INDEX(products!$A$1:$G$49,MATCH(orders!$D15,products!$A$1:$A$49,0),MATCH(orders!I$1,products!$A$1:$G$1,0))</f>
        <v>D</v>
      </c>
      <c r="J15" s="5">
        <f>INDEX(products!$A$1:$G$49,MATCH(orders!$D15,products!$A$1:$A$49,0),MATCH(orders!J$1,products!$A$1:$G$1,0))</f>
        <v>2.5</v>
      </c>
      <c r="K15" s="6">
        <f>INDEX(products!$A$1:$G$49,MATCH(orders!$D15,products!$A$1:$A$49,0),MATCH(orders!K$1,products!$A$1:$G$1,0))</f>
        <v>20.584999999999997</v>
      </c>
      <c r="L15" s="6">
        <f>K15*E15</f>
        <v>41.169999999999995</v>
      </c>
      <c r="M15" t="str" cm="1">
        <f t="array" ref="M15">_xlfn.IFS(H15="Rob","Robusta",H15="Exc","Excelsa",H15="Ara","Arabica",H15="Lib","Liberica")</f>
        <v>Robusta</v>
      </c>
      <c r="N15" t="str" cm="1">
        <f t="array" ref="N15">_xlfn.IFS(I15="M","Medium",I15="L","Light",I15="D","Dark")</f>
        <v>Dark</v>
      </c>
      <c r="O15" t="str">
        <f>_xlfn.XLOOKUP(Orders[[#This Row],[Customer ID]],customers!$A$2:$A$1001,customers!$I$2:$I$1001,,0)</f>
        <v>No</v>
      </c>
    </row>
    <row r="16" spans="1:15" x14ac:dyDescent="0.3">
      <c r="A16" s="2" t="s">
        <v>570</v>
      </c>
      <c r="B16" s="3">
        <v>44656</v>
      </c>
      <c r="C16" s="2" t="s">
        <v>571</v>
      </c>
      <c r="D16" t="s">
        <v>6150</v>
      </c>
      <c r="E16" s="2">
        <v>3</v>
      </c>
      <c r="F16" s="2" t="str">
        <f>_xlfn.XLOOKUP(C16,customers!$A$2:$A$1001,customers!$B$2:$B$1001,,0)</f>
        <v>Patrice Trobe</v>
      </c>
      <c r="G16" s="2" t="str">
        <f>_xlfn.XLOOKUP(C16,customers!$A$2:$A$1001,customers!$G$2:$G$1001,,0)</f>
        <v>United States</v>
      </c>
      <c r="H16" t="str">
        <f>INDEX(products!$A$1:$G$49,MATCH(orders!$D16,products!$A$1:$A$49,0),MATCH(orders!H$1,products!$A$1:$G$1,0))</f>
        <v>Lib</v>
      </c>
      <c r="I16" t="str">
        <f>INDEX(products!$A$1:$G$49,MATCH(orders!$D16,products!$A$1:$A$49,0),MATCH(orders!I$1,products!$A$1:$G$1,0))</f>
        <v>D</v>
      </c>
      <c r="J16" s="5">
        <f>INDEX(products!$A$1:$G$49,MATCH(orders!$D16,products!$A$1:$A$49,0),MATCH(orders!J$1,products!$A$1:$G$1,0))</f>
        <v>0.2</v>
      </c>
      <c r="K16" s="6">
        <f>INDEX(products!$A$1:$G$49,MATCH(orders!$D16,products!$A$1:$A$49,0),MATCH(orders!K$1,products!$A$1:$G$1,0))</f>
        <v>3.8849999999999998</v>
      </c>
      <c r="L16" s="6">
        <f>K16*E16</f>
        <v>11.654999999999999</v>
      </c>
      <c r="M16" t="str" cm="1">
        <f t="array" ref="M16">_xlfn.IFS(H16="Rob","Robusta",H16="Exc","Excelsa",H16="Ara","Arabica",H16="Lib","Liberica")</f>
        <v>Liberica</v>
      </c>
      <c r="N16" t="str" cm="1">
        <f t="array" ref="N16">_xlfn.IFS(I16="M","Medium",I16="L","Light",I16="D","Dark")</f>
        <v>Dark</v>
      </c>
      <c r="O16" t="str">
        <f>_xlfn.XLOOKUP(Orders[[#This Row],[Customer ID]],customers!$A$2:$A$1001,customers!$I$2:$I$1001,,0)</f>
        <v>Yes</v>
      </c>
    </row>
    <row r="17" spans="1:15" x14ac:dyDescent="0.3">
      <c r="A17" s="2" t="s">
        <v>576</v>
      </c>
      <c r="B17" s="3">
        <v>44719</v>
      </c>
      <c r="C17" s="2" t="s">
        <v>577</v>
      </c>
      <c r="D17" t="s">
        <v>6151</v>
      </c>
      <c r="E17" s="2">
        <v>5</v>
      </c>
      <c r="F17" s="2" t="str">
        <f>_xlfn.XLOOKUP(C17,customers!$A$2:$A$1001,customers!$B$2:$B$1001,,0)</f>
        <v>Llywellyn Oscroft</v>
      </c>
      <c r="G17" s="2" t="str">
        <f>_xlfn.XLOOKUP(C17,customers!$A$2:$A$1001,customers!$G$2:$G$1001,,0)</f>
        <v>United States</v>
      </c>
      <c r="H17" t="str">
        <f>INDEX(products!$A$1:$G$49,MATCH(orders!$D17,products!$A$1:$A$49,0),MATCH(orders!H$1,products!$A$1:$G$1,0))</f>
        <v>Rob</v>
      </c>
      <c r="I17" t="str">
        <f>INDEX(products!$A$1:$G$49,MATCH(orders!$D17,products!$A$1:$A$49,0),MATCH(orders!I$1,products!$A$1:$G$1,0))</f>
        <v>M</v>
      </c>
      <c r="J17" s="5">
        <f>INDEX(products!$A$1:$G$49,MATCH(orders!$D17,products!$A$1:$A$49,0),MATCH(orders!J$1,products!$A$1:$G$1,0))</f>
        <v>2.5</v>
      </c>
      <c r="K17" s="6">
        <f>INDEX(products!$A$1:$G$49,MATCH(orders!$D17,products!$A$1:$A$49,0),MATCH(orders!K$1,products!$A$1:$G$1,0))</f>
        <v>22.884999999999998</v>
      </c>
      <c r="L17" s="6">
        <f>K17*E17</f>
        <v>114.42499999999998</v>
      </c>
      <c r="M17" t="str" cm="1">
        <f t="array" ref="M17">_xlfn.IFS(H17="Rob","Robusta",H17="Exc","Excelsa",H17="Ara","Arabica",H17="Lib","Liberica")</f>
        <v>Robusta</v>
      </c>
      <c r="N17" t="str" cm="1">
        <f t="array" ref="N17">_xlfn.IFS(I17="M","Medium",I17="L","Light",I17="D","Dark")</f>
        <v>Medium</v>
      </c>
      <c r="O17" t="str">
        <f>_xlfn.XLOOKUP(Orders[[#This Row],[Customer ID]],customers!$A$2:$A$1001,customers!$I$2:$I$1001,,0)</f>
        <v>No</v>
      </c>
    </row>
    <row r="18" spans="1:15" x14ac:dyDescent="0.3">
      <c r="A18" s="2" t="s">
        <v>581</v>
      </c>
      <c r="B18" s="3">
        <v>43544</v>
      </c>
      <c r="C18" s="2" t="s">
        <v>582</v>
      </c>
      <c r="D18" t="s">
        <v>6152</v>
      </c>
      <c r="E18" s="2">
        <v>6</v>
      </c>
      <c r="F18" s="2" t="str">
        <f>_xlfn.XLOOKUP(C18,customers!$A$2:$A$1001,customers!$B$2:$B$1001,,0)</f>
        <v>Minni Alabaster</v>
      </c>
      <c r="G18" s="2" t="str">
        <f>_xlfn.XLOOKUP(C18,customers!$A$2:$A$1001,customers!$G$2:$G$1001,,0)</f>
        <v>United States</v>
      </c>
      <c r="H18" t="str">
        <f>INDEX(products!$A$1:$G$49,MATCH(orders!$D18,products!$A$1:$A$49,0),MATCH(orders!H$1,products!$A$1:$G$1,0))</f>
        <v>Ara</v>
      </c>
      <c r="I18" t="str">
        <f>INDEX(products!$A$1:$G$49,MATCH(orders!$D18,products!$A$1:$A$49,0),MATCH(orders!I$1,products!$A$1:$G$1,0))</f>
        <v>M</v>
      </c>
      <c r="J18" s="5">
        <f>INDEX(products!$A$1:$G$49,MATCH(orders!$D18,products!$A$1:$A$49,0),MATCH(orders!J$1,products!$A$1:$G$1,0))</f>
        <v>0.2</v>
      </c>
      <c r="K18" s="6">
        <f>INDEX(products!$A$1:$G$49,MATCH(orders!$D18,products!$A$1:$A$49,0),MATCH(orders!K$1,products!$A$1:$G$1,0))</f>
        <v>3.375</v>
      </c>
      <c r="L18" s="6">
        <f>K18*E18</f>
        <v>20.25</v>
      </c>
      <c r="M18" t="str" cm="1">
        <f t="array" ref="M18">_xlfn.IFS(H18="Rob","Robusta",H18="Exc","Excelsa",H18="Ara","Arabica",H18="Lib","Liberica")</f>
        <v>Arabica</v>
      </c>
      <c r="N18" t="str" cm="1">
        <f t="array" ref="N18">_xlfn.IFS(I18="M","Medium",I18="L","Light",I18="D","Dark")</f>
        <v>Medium</v>
      </c>
      <c r="O18" t="str">
        <f>_xlfn.XLOOKUP(Orders[[#This Row],[Customer ID]],customers!$A$2:$A$1001,customers!$I$2:$I$1001,,0)</f>
        <v>No</v>
      </c>
    </row>
    <row r="19" spans="1:15" x14ac:dyDescent="0.3">
      <c r="A19" s="2" t="s">
        <v>587</v>
      </c>
      <c r="B19" s="3">
        <v>43757</v>
      </c>
      <c r="C19" s="2" t="s">
        <v>588</v>
      </c>
      <c r="D19" t="s">
        <v>6140</v>
      </c>
      <c r="E19" s="2">
        <v>6</v>
      </c>
      <c r="F19" s="2" t="str">
        <f>_xlfn.XLOOKUP(C19,customers!$A$2:$A$1001,customers!$B$2:$B$1001,,0)</f>
        <v>Rhianon Broxup</v>
      </c>
      <c r="G19" s="2" t="str">
        <f>_xlfn.XLOOKUP(C19,customers!$A$2:$A$1001,customers!$G$2:$G$1001,,0)</f>
        <v>United States</v>
      </c>
      <c r="H19" t="str">
        <f>INDEX(products!$A$1:$G$49,MATCH(orders!$D19,products!$A$1:$A$49,0),MATCH(orders!H$1,products!$A$1:$G$1,0))</f>
        <v>Ara</v>
      </c>
      <c r="I19" t="str">
        <f>INDEX(products!$A$1:$G$49,MATCH(orders!$D19,products!$A$1:$A$49,0),MATCH(orders!I$1,products!$A$1:$G$1,0))</f>
        <v>L</v>
      </c>
      <c r="J19" s="5">
        <f>INDEX(products!$A$1:$G$49,MATCH(orders!$D19,products!$A$1:$A$49,0),MATCH(orders!J$1,products!$A$1:$G$1,0))</f>
        <v>1</v>
      </c>
      <c r="K19" s="6">
        <f>INDEX(products!$A$1:$G$49,MATCH(orders!$D19,products!$A$1:$A$49,0),MATCH(orders!K$1,products!$A$1:$G$1,0))</f>
        <v>12.95</v>
      </c>
      <c r="L19" s="6">
        <f>K19*E19</f>
        <v>77.699999999999989</v>
      </c>
      <c r="M19" t="str" cm="1">
        <f t="array" ref="M19">_xlfn.IFS(H19="Rob","Robusta",H19="Exc","Excelsa",H19="Ara","Arabica",H19="Lib","Liberica")</f>
        <v>Arabica</v>
      </c>
      <c r="N19" t="str" cm="1">
        <f t="array" ref="N19">_xlfn.IFS(I19="M","Medium",I19="L","Light",I19="D","Dark")</f>
        <v>Light</v>
      </c>
      <c r="O19" t="str">
        <f>_xlfn.XLOOKUP(Orders[[#This Row],[Customer ID]],customers!$A$2:$A$1001,customers!$I$2:$I$1001,,0)</f>
        <v>No</v>
      </c>
    </row>
    <row r="20" spans="1:15" x14ac:dyDescent="0.3">
      <c r="A20" s="2" t="s">
        <v>593</v>
      </c>
      <c r="B20" s="3">
        <v>43629</v>
      </c>
      <c r="C20" s="2" t="s">
        <v>594</v>
      </c>
      <c r="D20" t="s">
        <v>6149</v>
      </c>
      <c r="E20" s="2">
        <v>4</v>
      </c>
      <c r="F20" s="2" t="str">
        <f>_xlfn.XLOOKUP(C20,customers!$A$2:$A$1001,customers!$B$2:$B$1001,,0)</f>
        <v>Pall Redford</v>
      </c>
      <c r="G20" s="2" t="str">
        <f>_xlfn.XLOOKUP(C20,customers!$A$2:$A$1001,customers!$G$2:$G$1001,,0)</f>
        <v>Ireland</v>
      </c>
      <c r="H20" t="str">
        <f>INDEX(products!$A$1:$G$49,MATCH(orders!$D20,products!$A$1:$A$49,0),MATCH(orders!H$1,products!$A$1:$G$1,0))</f>
        <v>Rob</v>
      </c>
      <c r="I20" t="str">
        <f>INDEX(products!$A$1:$G$49,MATCH(orders!$D20,products!$A$1:$A$49,0),MATCH(orders!I$1,products!$A$1:$G$1,0))</f>
        <v>D</v>
      </c>
      <c r="J20" s="5">
        <f>INDEX(products!$A$1:$G$49,MATCH(orders!$D20,products!$A$1:$A$49,0),MATCH(orders!J$1,products!$A$1:$G$1,0))</f>
        <v>2.5</v>
      </c>
      <c r="K20" s="6">
        <f>INDEX(products!$A$1:$G$49,MATCH(orders!$D20,products!$A$1:$A$49,0),MATCH(orders!K$1,products!$A$1:$G$1,0))</f>
        <v>20.584999999999997</v>
      </c>
      <c r="L20" s="6">
        <f>K20*E20</f>
        <v>82.339999999999989</v>
      </c>
      <c r="M20" t="str" cm="1">
        <f t="array" ref="M20">_xlfn.IFS(H20="Rob","Robusta",H20="Exc","Excelsa",H20="Ara","Arabica",H20="Lib","Liberica")</f>
        <v>Robusta</v>
      </c>
      <c r="N20" t="str" cm="1">
        <f t="array" ref="N20">_xlfn.IFS(I20="M","Medium",I20="L","Light",I20="D","Dark")</f>
        <v>Dark</v>
      </c>
      <c r="O20" t="str">
        <f>_xlfn.XLOOKUP(Orders[[#This Row],[Customer ID]],customers!$A$2:$A$1001,customers!$I$2:$I$1001,,0)</f>
        <v>Yes</v>
      </c>
    </row>
    <row r="21" spans="1:15" x14ac:dyDescent="0.3">
      <c r="A21" s="2" t="s">
        <v>598</v>
      </c>
      <c r="B21" s="3">
        <v>44169</v>
      </c>
      <c r="C21" s="2" t="s">
        <v>599</v>
      </c>
      <c r="D21" t="s">
        <v>6152</v>
      </c>
      <c r="E21" s="2">
        <v>5</v>
      </c>
      <c r="F21" s="2" t="str">
        <f>_xlfn.XLOOKUP(C21,customers!$A$2:$A$1001,customers!$B$2:$B$1001,,0)</f>
        <v>Aurea Corradino</v>
      </c>
      <c r="G21" s="2" t="str">
        <f>_xlfn.XLOOKUP(C21,customers!$A$2:$A$1001,customers!$G$2:$G$1001,,0)</f>
        <v>United States</v>
      </c>
      <c r="H21" t="str">
        <f>INDEX(products!$A$1:$G$49,MATCH(orders!$D21,products!$A$1:$A$49,0),MATCH(orders!H$1,products!$A$1:$G$1,0))</f>
        <v>Ara</v>
      </c>
      <c r="I21" t="str">
        <f>INDEX(products!$A$1:$G$49,MATCH(orders!$D21,products!$A$1:$A$49,0),MATCH(orders!I$1,products!$A$1:$G$1,0))</f>
        <v>M</v>
      </c>
      <c r="J21" s="5">
        <f>INDEX(products!$A$1:$G$49,MATCH(orders!$D21,products!$A$1:$A$49,0),MATCH(orders!J$1,products!$A$1:$G$1,0))</f>
        <v>0.2</v>
      </c>
      <c r="K21" s="6">
        <f>INDEX(products!$A$1:$G$49,MATCH(orders!$D21,products!$A$1:$A$49,0),MATCH(orders!K$1,products!$A$1:$G$1,0))</f>
        <v>3.375</v>
      </c>
      <c r="L21" s="6">
        <f>K21*E21</f>
        <v>16.875</v>
      </c>
      <c r="M21" t="str" cm="1">
        <f t="array" ref="M21">_xlfn.IFS(H21="Rob","Robusta",H21="Exc","Excelsa",H21="Ara","Arabica",H21="Lib","Liberica")</f>
        <v>Arabica</v>
      </c>
      <c r="N21" t="str" cm="1">
        <f t="array" ref="N21">_xlfn.IFS(I21="M","Medium",I21="L","Light",I21="D","Dark")</f>
        <v>Medium</v>
      </c>
      <c r="O21" t="str">
        <f>_xlfn.XLOOKUP(Orders[[#This Row],[Customer ID]],customers!$A$2:$A$1001,customers!$I$2:$I$1001,,0)</f>
        <v>Yes</v>
      </c>
    </row>
    <row r="22" spans="1:15" x14ac:dyDescent="0.3">
      <c r="A22" s="2" t="s">
        <v>598</v>
      </c>
      <c r="B22" s="3">
        <v>44169</v>
      </c>
      <c r="C22" s="2" t="s">
        <v>599</v>
      </c>
      <c r="D22" t="s">
        <v>6153</v>
      </c>
      <c r="E22" s="2">
        <v>4</v>
      </c>
      <c r="F22" s="2" t="str">
        <f>_xlfn.XLOOKUP(C22,customers!$A$2:$A$1001,customers!$B$2:$B$1001,,0)</f>
        <v>Aurea Corradino</v>
      </c>
      <c r="G22" s="2" t="str">
        <f>_xlfn.XLOOKUP(C22,customers!$A$2:$A$1001,customers!$G$2:$G$1001,,0)</f>
        <v>United States</v>
      </c>
      <c r="H22" t="str">
        <f>INDEX(products!$A$1:$G$49,MATCH(orders!$D22,products!$A$1:$A$49,0),MATCH(orders!H$1,products!$A$1:$G$1,0))</f>
        <v>Exc</v>
      </c>
      <c r="I22" t="str">
        <f>INDEX(products!$A$1:$G$49,MATCH(orders!$D22,products!$A$1:$A$49,0),MATCH(orders!I$1,products!$A$1:$G$1,0))</f>
        <v>D</v>
      </c>
      <c r="J22" s="5">
        <f>INDEX(products!$A$1:$G$49,MATCH(orders!$D22,products!$A$1:$A$49,0),MATCH(orders!J$1,products!$A$1:$G$1,0))</f>
        <v>0.2</v>
      </c>
      <c r="K22" s="6">
        <f>INDEX(products!$A$1:$G$49,MATCH(orders!$D22,products!$A$1:$A$49,0),MATCH(orders!K$1,products!$A$1:$G$1,0))</f>
        <v>3.645</v>
      </c>
      <c r="L22" s="6">
        <f>K22*E22</f>
        <v>14.58</v>
      </c>
      <c r="M22" t="str" cm="1">
        <f t="array" ref="M22">_xlfn.IFS(H22="Rob","Robusta",H22="Exc","Excelsa",H22="Ara","Arabica",H22="Lib","Liberica")</f>
        <v>Excelsa</v>
      </c>
      <c r="N22" t="str" cm="1">
        <f t="array" ref="N22">_xlfn.IFS(I22="M","Medium",I22="L","Light",I22="D","Dark")</f>
        <v>Dark</v>
      </c>
      <c r="O22" t="str">
        <f>_xlfn.XLOOKUP(Orders[[#This Row],[Customer ID]],customers!$A$2:$A$1001,customers!$I$2:$I$1001,,0)</f>
        <v>Yes</v>
      </c>
    </row>
    <row r="23" spans="1:15" x14ac:dyDescent="0.3">
      <c r="A23" s="2" t="s">
        <v>608</v>
      </c>
      <c r="B23" s="3">
        <v>44169</v>
      </c>
      <c r="C23" s="2" t="s">
        <v>609</v>
      </c>
      <c r="D23" t="s">
        <v>6154</v>
      </c>
      <c r="E23" s="2">
        <v>6</v>
      </c>
      <c r="F23" s="2" t="str">
        <f>_xlfn.XLOOKUP(C23,customers!$A$2:$A$1001,customers!$B$2:$B$1001,,0)</f>
        <v>Avrit Davidowsky</v>
      </c>
      <c r="G23" s="2" t="str">
        <f>_xlfn.XLOOKUP(C23,customers!$A$2:$A$1001,customers!$G$2:$G$1001,,0)</f>
        <v>United States</v>
      </c>
      <c r="H23" t="str">
        <f>INDEX(products!$A$1:$G$49,MATCH(orders!$D23,products!$A$1:$A$49,0),MATCH(orders!H$1,products!$A$1:$G$1,0))</f>
        <v>Ara</v>
      </c>
      <c r="I23" t="str">
        <f>INDEX(products!$A$1:$G$49,MATCH(orders!$D23,products!$A$1:$A$49,0),MATCH(orders!I$1,products!$A$1:$G$1,0))</f>
        <v>D</v>
      </c>
      <c r="J23" s="5">
        <f>INDEX(products!$A$1:$G$49,MATCH(orders!$D23,products!$A$1:$A$49,0),MATCH(orders!J$1,products!$A$1:$G$1,0))</f>
        <v>0.2</v>
      </c>
      <c r="K23" s="6">
        <f>INDEX(products!$A$1:$G$49,MATCH(orders!$D23,products!$A$1:$A$49,0),MATCH(orders!K$1,products!$A$1:$G$1,0))</f>
        <v>2.9849999999999999</v>
      </c>
      <c r="L23" s="6">
        <f>K23*E23</f>
        <v>17.91</v>
      </c>
      <c r="M23" t="str" cm="1">
        <f t="array" ref="M23">_xlfn.IFS(H23="Rob","Robusta",H23="Exc","Excelsa",H23="Ara","Arabica",H23="Lib","Liberica")</f>
        <v>Arabica</v>
      </c>
      <c r="N23" t="str" cm="1">
        <f t="array" ref="N23">_xlfn.IFS(I23="M","Medium",I23="L","Light",I23="D","Dark")</f>
        <v>Dark</v>
      </c>
      <c r="O23" t="str">
        <f>_xlfn.XLOOKUP(Orders[[#This Row],[Customer ID]],customers!$A$2:$A$1001,customers!$I$2:$I$1001,,0)</f>
        <v>No</v>
      </c>
    </row>
    <row r="24" spans="1:15" x14ac:dyDescent="0.3">
      <c r="A24" s="2" t="s">
        <v>614</v>
      </c>
      <c r="B24" s="3">
        <v>44218</v>
      </c>
      <c r="C24" s="2" t="s">
        <v>615</v>
      </c>
      <c r="D24" t="s">
        <v>6151</v>
      </c>
      <c r="E24" s="2">
        <v>4</v>
      </c>
      <c r="F24" s="2" t="str">
        <f>_xlfn.XLOOKUP(C24,customers!$A$2:$A$1001,customers!$B$2:$B$1001,,0)</f>
        <v>Annabel Antuk</v>
      </c>
      <c r="G24" s="2" t="str">
        <f>_xlfn.XLOOKUP(C24,customers!$A$2:$A$1001,customers!$G$2:$G$1001,,0)</f>
        <v>United States</v>
      </c>
      <c r="H24" t="str">
        <f>INDEX(products!$A$1:$G$49,MATCH(orders!$D24,products!$A$1:$A$49,0),MATCH(orders!H$1,products!$A$1:$G$1,0))</f>
        <v>Rob</v>
      </c>
      <c r="I24" t="str">
        <f>INDEX(products!$A$1:$G$49,MATCH(orders!$D24,products!$A$1:$A$49,0),MATCH(orders!I$1,products!$A$1:$G$1,0))</f>
        <v>M</v>
      </c>
      <c r="J24" s="5">
        <f>INDEX(products!$A$1:$G$49,MATCH(orders!$D24,products!$A$1:$A$49,0),MATCH(orders!J$1,products!$A$1:$G$1,0))</f>
        <v>2.5</v>
      </c>
      <c r="K24" s="6">
        <f>INDEX(products!$A$1:$G$49,MATCH(orders!$D24,products!$A$1:$A$49,0),MATCH(orders!K$1,products!$A$1:$G$1,0))</f>
        <v>22.884999999999998</v>
      </c>
      <c r="L24" s="6">
        <f>K24*E24</f>
        <v>91.539999999999992</v>
      </c>
      <c r="M24" t="str" cm="1">
        <f t="array" ref="M24">_xlfn.IFS(H24="Rob","Robusta",H24="Exc","Excelsa",H24="Ara","Arabica",H24="Lib","Liberica")</f>
        <v>Robusta</v>
      </c>
      <c r="N24" t="str" cm="1">
        <f t="array" ref="N24">_xlfn.IFS(I24="M","Medium",I24="L","Light",I24="D","Dark")</f>
        <v>Medium</v>
      </c>
      <c r="O24" t="str">
        <f>_xlfn.XLOOKUP(Orders[[#This Row],[Customer ID]],customers!$A$2:$A$1001,customers!$I$2:$I$1001,,0)</f>
        <v>Yes</v>
      </c>
    </row>
    <row r="25" spans="1:15" x14ac:dyDescent="0.3">
      <c r="A25" s="2" t="s">
        <v>620</v>
      </c>
      <c r="B25" s="3">
        <v>44603</v>
      </c>
      <c r="C25" s="2" t="s">
        <v>621</v>
      </c>
      <c r="D25" t="s">
        <v>6154</v>
      </c>
      <c r="E25" s="2">
        <v>4</v>
      </c>
      <c r="F25" s="2" t="str">
        <f>_xlfn.XLOOKUP(C25,customers!$A$2:$A$1001,customers!$B$2:$B$1001,,0)</f>
        <v>Iorgo Kleinert</v>
      </c>
      <c r="G25" s="2" t="str">
        <f>_xlfn.XLOOKUP(C25,customers!$A$2:$A$1001,customers!$G$2:$G$1001,,0)</f>
        <v>United States</v>
      </c>
      <c r="H25" t="str">
        <f>INDEX(products!$A$1:$G$49,MATCH(orders!$D25,products!$A$1:$A$49,0),MATCH(orders!H$1,products!$A$1:$G$1,0))</f>
        <v>Ara</v>
      </c>
      <c r="I25" t="str">
        <f>INDEX(products!$A$1:$G$49,MATCH(orders!$D25,products!$A$1:$A$49,0),MATCH(orders!I$1,products!$A$1:$G$1,0))</f>
        <v>D</v>
      </c>
      <c r="J25" s="5">
        <f>INDEX(products!$A$1:$G$49,MATCH(orders!$D25,products!$A$1:$A$49,0),MATCH(orders!J$1,products!$A$1:$G$1,0))</f>
        <v>0.2</v>
      </c>
      <c r="K25" s="6">
        <f>INDEX(products!$A$1:$G$49,MATCH(orders!$D25,products!$A$1:$A$49,0),MATCH(orders!K$1,products!$A$1:$G$1,0))</f>
        <v>2.9849999999999999</v>
      </c>
      <c r="L25" s="6">
        <f>K25*E25</f>
        <v>11.94</v>
      </c>
      <c r="M25" t="str" cm="1">
        <f t="array" ref="M25">_xlfn.IFS(H25="Rob","Robusta",H25="Exc","Excelsa",H25="Ara","Arabica",H25="Lib","Liberica")</f>
        <v>Arabica</v>
      </c>
      <c r="N25" t="str" cm="1">
        <f t="array" ref="N25">_xlfn.IFS(I25="M","Medium",I25="L","Light",I25="D","Dark")</f>
        <v>Dark</v>
      </c>
      <c r="O25" t="str">
        <f>_xlfn.XLOOKUP(Orders[[#This Row],[Customer ID]],customers!$A$2:$A$1001,customers!$I$2:$I$1001,,0)</f>
        <v>Yes</v>
      </c>
    </row>
    <row r="26" spans="1:15" x14ac:dyDescent="0.3">
      <c r="A26" s="2" t="s">
        <v>626</v>
      </c>
      <c r="B26" s="3">
        <v>44454</v>
      </c>
      <c r="C26" s="2" t="s">
        <v>627</v>
      </c>
      <c r="D26" t="s">
        <v>6155</v>
      </c>
      <c r="E26" s="2">
        <v>1</v>
      </c>
      <c r="F26" s="2" t="str">
        <f>_xlfn.XLOOKUP(C26,customers!$A$2:$A$1001,customers!$B$2:$B$1001,,0)</f>
        <v>Chrisy Blofeld</v>
      </c>
      <c r="G26" s="2" t="str">
        <f>_xlfn.XLOOKUP(C26,customers!$A$2:$A$1001,customers!$G$2:$G$1001,,0)</f>
        <v>United States</v>
      </c>
      <c r="H26" t="str">
        <f>INDEX(products!$A$1:$G$49,MATCH(orders!$D26,products!$A$1:$A$49,0),MATCH(orders!H$1,products!$A$1:$G$1,0))</f>
        <v>Ara</v>
      </c>
      <c r="I26" t="str">
        <f>INDEX(products!$A$1:$G$49,MATCH(orders!$D26,products!$A$1:$A$49,0),MATCH(orders!I$1,products!$A$1:$G$1,0))</f>
        <v>M</v>
      </c>
      <c r="J26" s="5">
        <f>INDEX(products!$A$1:$G$49,MATCH(orders!$D26,products!$A$1:$A$49,0),MATCH(orders!J$1,products!$A$1:$G$1,0))</f>
        <v>1</v>
      </c>
      <c r="K26" s="6">
        <f>INDEX(products!$A$1:$G$49,MATCH(orders!$D26,products!$A$1:$A$49,0),MATCH(orders!K$1,products!$A$1:$G$1,0))</f>
        <v>11.25</v>
      </c>
      <c r="L26" s="6">
        <f>K26*E26</f>
        <v>11.25</v>
      </c>
      <c r="M26" t="str" cm="1">
        <f t="array" ref="M26">_xlfn.IFS(H26="Rob","Robusta",H26="Exc","Excelsa",H26="Ara","Arabica",H26="Lib","Liberica")</f>
        <v>Arabica</v>
      </c>
      <c r="N26" t="str" cm="1">
        <f t="array" ref="N26">_xlfn.IFS(I26="M","Medium",I26="L","Light",I26="D","Dark")</f>
        <v>Medium</v>
      </c>
      <c r="O26" t="str">
        <f>_xlfn.XLOOKUP(Orders[[#This Row],[Customer ID]],customers!$A$2:$A$1001,customers!$I$2:$I$1001,,0)</f>
        <v>No</v>
      </c>
    </row>
    <row r="27" spans="1:15" x14ac:dyDescent="0.3">
      <c r="A27" s="2" t="s">
        <v>632</v>
      </c>
      <c r="B27" s="3">
        <v>44128</v>
      </c>
      <c r="C27" s="2" t="s">
        <v>633</v>
      </c>
      <c r="D27" t="s">
        <v>6156</v>
      </c>
      <c r="E27" s="2">
        <v>3</v>
      </c>
      <c r="F27" s="2" t="str">
        <f>_xlfn.XLOOKUP(C27,customers!$A$2:$A$1001,customers!$B$2:$B$1001,,0)</f>
        <v>Culley Farris</v>
      </c>
      <c r="G27" s="2" t="str">
        <f>_xlfn.XLOOKUP(C27,customers!$A$2:$A$1001,customers!$G$2:$G$1001,,0)</f>
        <v>United States</v>
      </c>
      <c r="H27" t="str">
        <f>INDEX(products!$A$1:$G$49,MATCH(orders!$D27,products!$A$1:$A$49,0),MATCH(orders!H$1,products!$A$1:$G$1,0))</f>
        <v>Exc</v>
      </c>
      <c r="I27" t="str">
        <f>INDEX(products!$A$1:$G$49,MATCH(orders!$D27,products!$A$1:$A$49,0),MATCH(orders!I$1,products!$A$1:$G$1,0))</f>
        <v>M</v>
      </c>
      <c r="J27" s="5">
        <f>INDEX(products!$A$1:$G$49,MATCH(orders!$D27,products!$A$1:$A$49,0),MATCH(orders!J$1,products!$A$1:$G$1,0))</f>
        <v>0.2</v>
      </c>
      <c r="K27" s="6">
        <f>INDEX(products!$A$1:$G$49,MATCH(orders!$D27,products!$A$1:$A$49,0),MATCH(orders!K$1,products!$A$1:$G$1,0))</f>
        <v>4.125</v>
      </c>
      <c r="L27" s="6">
        <f>K27*E27</f>
        <v>12.375</v>
      </c>
      <c r="M27" t="str" cm="1">
        <f t="array" ref="M27">_xlfn.IFS(H27="Rob","Robusta",H27="Exc","Excelsa",H27="Ara","Arabica",H27="Lib","Liberica")</f>
        <v>Excelsa</v>
      </c>
      <c r="N27" t="str" cm="1">
        <f t="array" ref="N27">_xlfn.IFS(I27="M","Medium",I27="L","Light",I27="D","Dark")</f>
        <v>Medium</v>
      </c>
      <c r="O27" t="str">
        <f>_xlfn.XLOOKUP(Orders[[#This Row],[Customer ID]],customers!$A$2:$A$1001,customers!$I$2:$I$1001,,0)</f>
        <v>Yes</v>
      </c>
    </row>
    <row r="28" spans="1:15" x14ac:dyDescent="0.3">
      <c r="A28" s="2" t="s">
        <v>637</v>
      </c>
      <c r="B28" s="3">
        <v>43516</v>
      </c>
      <c r="C28" s="2" t="s">
        <v>638</v>
      </c>
      <c r="D28" t="s">
        <v>6157</v>
      </c>
      <c r="E28" s="2">
        <v>4</v>
      </c>
      <c r="F28" s="2" t="str">
        <f>_xlfn.XLOOKUP(C28,customers!$A$2:$A$1001,customers!$B$2:$B$1001,,0)</f>
        <v>Selene Shales</v>
      </c>
      <c r="G28" s="2" t="str">
        <f>_xlfn.XLOOKUP(C28,customers!$A$2:$A$1001,customers!$G$2:$G$1001,,0)</f>
        <v>United States</v>
      </c>
      <c r="H28" t="str">
        <f>INDEX(products!$A$1:$G$49,MATCH(orders!$D28,products!$A$1:$A$49,0),MATCH(orders!H$1,products!$A$1:$G$1,0))</f>
        <v>Ara</v>
      </c>
      <c r="I28" t="str">
        <f>INDEX(products!$A$1:$G$49,MATCH(orders!$D28,products!$A$1:$A$49,0),MATCH(orders!I$1,products!$A$1:$G$1,0))</f>
        <v>M</v>
      </c>
      <c r="J28" s="5">
        <f>INDEX(products!$A$1:$G$49,MATCH(orders!$D28,products!$A$1:$A$49,0),MATCH(orders!J$1,products!$A$1:$G$1,0))</f>
        <v>0.5</v>
      </c>
      <c r="K28" s="6">
        <f>INDEX(products!$A$1:$G$49,MATCH(orders!$D28,products!$A$1:$A$49,0),MATCH(orders!K$1,products!$A$1:$G$1,0))</f>
        <v>6.75</v>
      </c>
      <c r="L28" s="6">
        <f>K28*E28</f>
        <v>27</v>
      </c>
      <c r="M28" t="str" cm="1">
        <f t="array" ref="M28">_xlfn.IFS(H28="Rob","Robusta",H28="Exc","Excelsa",H28="Ara","Arabica",H28="Lib","Liberica")</f>
        <v>Arabica</v>
      </c>
      <c r="N28" t="str" cm="1">
        <f t="array" ref="N28">_xlfn.IFS(I28="M","Medium",I28="L","Light",I28="D","Dark")</f>
        <v>Medium</v>
      </c>
      <c r="O28" t="str">
        <f>_xlfn.XLOOKUP(Orders[[#This Row],[Customer ID]],customers!$A$2:$A$1001,customers!$I$2:$I$1001,,0)</f>
        <v>Yes</v>
      </c>
    </row>
    <row r="29" spans="1:15" x14ac:dyDescent="0.3">
      <c r="A29" s="2" t="s">
        <v>643</v>
      </c>
      <c r="B29" s="3">
        <v>43746</v>
      </c>
      <c r="C29" s="2" t="s">
        <v>644</v>
      </c>
      <c r="D29" t="s">
        <v>6152</v>
      </c>
      <c r="E29" s="2">
        <v>5</v>
      </c>
      <c r="F29" s="2" t="str">
        <f>_xlfn.XLOOKUP(C29,customers!$A$2:$A$1001,customers!$B$2:$B$1001,,0)</f>
        <v>Vivie Danneil</v>
      </c>
      <c r="G29" s="2" t="str">
        <f>_xlfn.XLOOKUP(C29,customers!$A$2:$A$1001,customers!$G$2:$G$1001,,0)</f>
        <v>Ireland</v>
      </c>
      <c r="H29" t="str">
        <f>INDEX(products!$A$1:$G$49,MATCH(orders!$D29,products!$A$1:$A$49,0),MATCH(orders!H$1,products!$A$1:$G$1,0))</f>
        <v>Ara</v>
      </c>
      <c r="I29" t="str">
        <f>INDEX(products!$A$1:$G$49,MATCH(orders!$D29,products!$A$1:$A$49,0),MATCH(orders!I$1,products!$A$1:$G$1,0))</f>
        <v>M</v>
      </c>
      <c r="J29" s="5">
        <f>INDEX(products!$A$1:$G$49,MATCH(orders!$D29,products!$A$1:$A$49,0),MATCH(orders!J$1,products!$A$1:$G$1,0))</f>
        <v>0.2</v>
      </c>
      <c r="K29" s="6">
        <f>INDEX(products!$A$1:$G$49,MATCH(orders!$D29,products!$A$1:$A$49,0),MATCH(orders!K$1,products!$A$1:$G$1,0))</f>
        <v>3.375</v>
      </c>
      <c r="L29" s="6">
        <f>K29*E29</f>
        <v>16.875</v>
      </c>
      <c r="M29" t="str" cm="1">
        <f t="array" ref="M29">_xlfn.IFS(H29="Rob","Robusta",H29="Exc","Excelsa",H29="Ara","Arabica",H29="Lib","Liberica")</f>
        <v>Arabica</v>
      </c>
      <c r="N29" t="str" cm="1">
        <f t="array" ref="N29">_xlfn.IFS(I29="M","Medium",I29="L","Light",I29="D","Dark")</f>
        <v>Medium</v>
      </c>
      <c r="O29" t="str">
        <f>_xlfn.XLOOKUP(Orders[[#This Row],[Customer ID]],customers!$A$2:$A$1001,customers!$I$2:$I$1001,,0)</f>
        <v>No</v>
      </c>
    </row>
    <row r="30" spans="1:15" x14ac:dyDescent="0.3">
      <c r="A30" s="2" t="s">
        <v>649</v>
      </c>
      <c r="B30" s="3">
        <v>44775</v>
      </c>
      <c r="C30" s="2" t="s">
        <v>650</v>
      </c>
      <c r="D30" t="s">
        <v>6158</v>
      </c>
      <c r="E30" s="2">
        <v>3</v>
      </c>
      <c r="F30" s="2" t="str">
        <f>_xlfn.XLOOKUP(C30,customers!$A$2:$A$1001,customers!$B$2:$B$1001,,0)</f>
        <v>Theresita Newbury</v>
      </c>
      <c r="G30" s="2" t="str">
        <f>_xlfn.XLOOKUP(C30,customers!$A$2:$A$1001,customers!$G$2:$G$1001,,0)</f>
        <v>Ireland</v>
      </c>
      <c r="H30" t="str">
        <f>INDEX(products!$A$1:$G$49,MATCH(orders!$D30,products!$A$1:$A$49,0),MATCH(orders!H$1,products!$A$1:$G$1,0))</f>
        <v>Ara</v>
      </c>
      <c r="I30" t="str">
        <f>INDEX(products!$A$1:$G$49,MATCH(orders!$D30,products!$A$1:$A$49,0),MATCH(orders!I$1,products!$A$1:$G$1,0))</f>
        <v>D</v>
      </c>
      <c r="J30" s="5">
        <f>INDEX(products!$A$1:$G$49,MATCH(orders!$D30,products!$A$1:$A$49,0),MATCH(orders!J$1,products!$A$1:$G$1,0))</f>
        <v>0.5</v>
      </c>
      <c r="K30" s="6">
        <f>INDEX(products!$A$1:$G$49,MATCH(orders!$D30,products!$A$1:$A$49,0),MATCH(orders!K$1,products!$A$1:$G$1,0))</f>
        <v>5.97</v>
      </c>
      <c r="L30" s="6">
        <f>K30*E30</f>
        <v>17.91</v>
      </c>
      <c r="M30" t="str" cm="1">
        <f t="array" ref="M30">_xlfn.IFS(H30="Rob","Robusta",H30="Exc","Excelsa",H30="Ara","Arabica",H30="Lib","Liberica")</f>
        <v>Arabica</v>
      </c>
      <c r="N30" t="str" cm="1">
        <f t="array" ref="N30">_xlfn.IFS(I30="M","Medium",I30="L","Light",I30="D","Dark")</f>
        <v>Dark</v>
      </c>
      <c r="O30" t="str">
        <f>_xlfn.XLOOKUP(Orders[[#This Row],[Customer ID]],customers!$A$2:$A$1001,customers!$I$2:$I$1001,,0)</f>
        <v>No</v>
      </c>
    </row>
    <row r="31" spans="1:15" x14ac:dyDescent="0.3">
      <c r="A31" s="2" t="s">
        <v>655</v>
      </c>
      <c r="B31" s="3">
        <v>43516</v>
      </c>
      <c r="C31" s="2" t="s">
        <v>656</v>
      </c>
      <c r="D31" t="s">
        <v>6147</v>
      </c>
      <c r="E31" s="2">
        <v>4</v>
      </c>
      <c r="F31" s="2" t="str">
        <f>_xlfn.XLOOKUP(C31,customers!$A$2:$A$1001,customers!$B$2:$B$1001,,0)</f>
        <v>Mozelle Calcutt</v>
      </c>
      <c r="G31" s="2" t="str">
        <f>_xlfn.XLOOKUP(C31,customers!$A$2:$A$1001,customers!$G$2:$G$1001,,0)</f>
        <v>Ireland</v>
      </c>
      <c r="H31" t="str">
        <f>INDEX(products!$A$1:$G$49,MATCH(orders!$D31,products!$A$1:$A$49,0),MATCH(orders!H$1,products!$A$1:$G$1,0))</f>
        <v>Ara</v>
      </c>
      <c r="I31" t="str">
        <f>INDEX(products!$A$1:$G$49,MATCH(orders!$D31,products!$A$1:$A$49,0),MATCH(orders!I$1,products!$A$1:$G$1,0))</f>
        <v>D</v>
      </c>
      <c r="J31" s="5">
        <f>INDEX(products!$A$1:$G$49,MATCH(orders!$D31,products!$A$1:$A$49,0),MATCH(orders!J$1,products!$A$1:$G$1,0))</f>
        <v>1</v>
      </c>
      <c r="K31" s="6">
        <f>INDEX(products!$A$1:$G$49,MATCH(orders!$D31,products!$A$1:$A$49,0),MATCH(orders!K$1,products!$A$1:$G$1,0))</f>
        <v>9.9499999999999993</v>
      </c>
      <c r="L31" s="6">
        <f>K31*E31</f>
        <v>39.799999999999997</v>
      </c>
      <c r="M31" t="str" cm="1">
        <f t="array" ref="M31">_xlfn.IFS(H31="Rob","Robusta",H31="Exc","Excelsa",H31="Ara","Arabica",H31="Lib","Liberica")</f>
        <v>Arabica</v>
      </c>
      <c r="N31" t="str" cm="1">
        <f t="array" ref="N31">_xlfn.IFS(I31="M","Medium",I31="L","Light",I31="D","Dark")</f>
        <v>Dark</v>
      </c>
      <c r="O31" t="str">
        <f>_xlfn.XLOOKUP(Orders[[#This Row],[Customer ID]],customers!$A$2:$A$1001,customers!$I$2:$I$1001,,0)</f>
        <v>Yes</v>
      </c>
    </row>
    <row r="32" spans="1:15" x14ac:dyDescent="0.3">
      <c r="A32" s="2" t="s">
        <v>661</v>
      </c>
      <c r="B32" s="3">
        <v>44464</v>
      </c>
      <c r="C32" s="2" t="s">
        <v>662</v>
      </c>
      <c r="D32" t="s">
        <v>6159</v>
      </c>
      <c r="E32" s="2">
        <v>5</v>
      </c>
      <c r="F32" s="2" t="str">
        <f>_xlfn.XLOOKUP(C32,customers!$A$2:$A$1001,customers!$B$2:$B$1001,,0)</f>
        <v>Adrian Swaine</v>
      </c>
      <c r="G32" s="2" t="str">
        <f>_xlfn.XLOOKUP(C32,customers!$A$2:$A$1001,customers!$G$2:$G$1001,,0)</f>
        <v>United States</v>
      </c>
      <c r="H32" t="str">
        <f>INDEX(products!$A$1:$G$49,MATCH(orders!$D32,products!$A$1:$A$49,0),MATCH(orders!H$1,products!$A$1:$G$1,0))</f>
        <v>Lib</v>
      </c>
      <c r="I32" t="str">
        <f>INDEX(products!$A$1:$G$49,MATCH(orders!$D32,products!$A$1:$A$49,0),MATCH(orders!I$1,products!$A$1:$G$1,0))</f>
        <v>M</v>
      </c>
      <c r="J32" s="5">
        <f>INDEX(products!$A$1:$G$49,MATCH(orders!$D32,products!$A$1:$A$49,0),MATCH(orders!J$1,products!$A$1:$G$1,0))</f>
        <v>0.2</v>
      </c>
      <c r="K32" s="6">
        <f>INDEX(products!$A$1:$G$49,MATCH(orders!$D32,products!$A$1:$A$49,0),MATCH(orders!K$1,products!$A$1:$G$1,0))</f>
        <v>4.3650000000000002</v>
      </c>
      <c r="L32" s="6">
        <f>K32*E32</f>
        <v>21.825000000000003</v>
      </c>
      <c r="M32" t="str" cm="1">
        <f t="array" ref="M32">_xlfn.IFS(H32="Rob","Robusta",H32="Exc","Excelsa",H32="Ara","Arabica",H32="Lib","Liberica")</f>
        <v>Liberica</v>
      </c>
      <c r="N32" t="str" cm="1">
        <f t="array" ref="N32">_xlfn.IFS(I32="M","Medium",I32="L","Light",I32="D","Dark")</f>
        <v>Medium</v>
      </c>
      <c r="O32" t="str">
        <f>_xlfn.XLOOKUP(Orders[[#This Row],[Customer ID]],customers!$A$2:$A$1001,customers!$I$2:$I$1001,,0)</f>
        <v>No</v>
      </c>
    </row>
    <row r="33" spans="1:15" x14ac:dyDescent="0.3">
      <c r="A33" s="2" t="s">
        <v>661</v>
      </c>
      <c r="B33" s="3">
        <v>44464</v>
      </c>
      <c r="C33" s="2" t="s">
        <v>662</v>
      </c>
      <c r="D33" t="s">
        <v>6158</v>
      </c>
      <c r="E33" s="2">
        <v>6</v>
      </c>
      <c r="F33" s="2" t="str">
        <f>_xlfn.XLOOKUP(C33,customers!$A$2:$A$1001,customers!$B$2:$B$1001,,0)</f>
        <v>Adrian Swaine</v>
      </c>
      <c r="G33" s="2" t="str">
        <f>_xlfn.XLOOKUP(C33,customers!$A$2:$A$1001,customers!$G$2:$G$1001,,0)</f>
        <v>United States</v>
      </c>
      <c r="H33" t="str">
        <f>INDEX(products!$A$1:$G$49,MATCH(orders!$D33,products!$A$1:$A$49,0),MATCH(orders!H$1,products!$A$1:$G$1,0))</f>
        <v>Ara</v>
      </c>
      <c r="I33" t="str">
        <f>INDEX(products!$A$1:$G$49,MATCH(orders!$D33,products!$A$1:$A$49,0),MATCH(orders!I$1,products!$A$1:$G$1,0))</f>
        <v>D</v>
      </c>
      <c r="J33" s="5">
        <f>INDEX(products!$A$1:$G$49,MATCH(orders!$D33,products!$A$1:$A$49,0),MATCH(orders!J$1,products!$A$1:$G$1,0))</f>
        <v>0.5</v>
      </c>
      <c r="K33" s="6">
        <f>INDEX(products!$A$1:$G$49,MATCH(orders!$D33,products!$A$1:$A$49,0),MATCH(orders!K$1,products!$A$1:$G$1,0))</f>
        <v>5.97</v>
      </c>
      <c r="L33" s="6">
        <f>K33*E33</f>
        <v>35.82</v>
      </c>
      <c r="M33" t="str" cm="1">
        <f t="array" ref="M33">_xlfn.IFS(H33="Rob","Robusta",H33="Exc","Excelsa",H33="Ara","Arabica",H33="Lib","Liberica")</f>
        <v>Arabica</v>
      </c>
      <c r="N33" t="str" cm="1">
        <f t="array" ref="N33">_xlfn.IFS(I33="M","Medium",I33="L","Light",I33="D","Dark")</f>
        <v>Dark</v>
      </c>
      <c r="O33" t="str">
        <f>_xlfn.XLOOKUP(Orders[[#This Row],[Customer ID]],customers!$A$2:$A$1001,customers!$I$2:$I$1001,,0)</f>
        <v>No</v>
      </c>
    </row>
    <row r="34" spans="1:15" x14ac:dyDescent="0.3">
      <c r="A34" s="2" t="s">
        <v>661</v>
      </c>
      <c r="B34" s="3">
        <v>44464</v>
      </c>
      <c r="C34" s="2" t="s">
        <v>662</v>
      </c>
      <c r="D34" t="s">
        <v>6160</v>
      </c>
      <c r="E34" s="2">
        <v>6</v>
      </c>
      <c r="F34" s="2" t="str">
        <f>_xlfn.XLOOKUP(C34,customers!$A$2:$A$1001,customers!$B$2:$B$1001,,0)</f>
        <v>Adrian Swaine</v>
      </c>
      <c r="G34" s="2" t="str">
        <f>_xlfn.XLOOKUP(C34,customers!$A$2:$A$1001,customers!$G$2:$G$1001,,0)</f>
        <v>United States</v>
      </c>
      <c r="H34" t="str">
        <f>INDEX(products!$A$1:$G$49,MATCH(orders!$D34,products!$A$1:$A$49,0),MATCH(orders!H$1,products!$A$1:$G$1,0))</f>
        <v>Lib</v>
      </c>
      <c r="I34" t="str">
        <f>INDEX(products!$A$1:$G$49,MATCH(orders!$D34,products!$A$1:$A$49,0),MATCH(orders!I$1,products!$A$1:$G$1,0))</f>
        <v>M</v>
      </c>
      <c r="J34" s="5">
        <f>INDEX(products!$A$1:$G$49,MATCH(orders!$D34,products!$A$1:$A$49,0),MATCH(orders!J$1,products!$A$1:$G$1,0))</f>
        <v>0.5</v>
      </c>
      <c r="K34" s="6">
        <f>INDEX(products!$A$1:$G$49,MATCH(orders!$D34,products!$A$1:$A$49,0),MATCH(orders!K$1,products!$A$1:$G$1,0))</f>
        <v>8.73</v>
      </c>
      <c r="L34" s="6">
        <f>K34*E34</f>
        <v>52.38</v>
      </c>
      <c r="M34" t="str" cm="1">
        <f t="array" ref="M34">_xlfn.IFS(H34="Rob","Robusta",H34="Exc","Excelsa",H34="Ara","Arabica",H34="Lib","Liberica")</f>
        <v>Liberica</v>
      </c>
      <c r="N34" t="str" cm="1">
        <f t="array" ref="N34">_xlfn.IFS(I34="M","Medium",I34="L","Light",I34="D","Dark")</f>
        <v>Medium</v>
      </c>
      <c r="O34" t="str">
        <f>_xlfn.XLOOKUP(Orders[[#This Row],[Customer ID]],customers!$A$2:$A$1001,customers!$I$2:$I$1001,,0)</f>
        <v>No</v>
      </c>
    </row>
    <row r="35" spans="1:15" x14ac:dyDescent="0.3">
      <c r="A35" s="2" t="s">
        <v>676</v>
      </c>
      <c r="B35" s="3">
        <v>44394</v>
      </c>
      <c r="C35" s="2" t="s">
        <v>677</v>
      </c>
      <c r="D35" t="s">
        <v>6145</v>
      </c>
      <c r="E35" s="2">
        <v>5</v>
      </c>
      <c r="F35" s="2" t="str">
        <f>_xlfn.XLOOKUP(C35,customers!$A$2:$A$1001,customers!$B$2:$B$1001,,0)</f>
        <v>Gallard Gatheral</v>
      </c>
      <c r="G35" s="2" t="str">
        <f>_xlfn.XLOOKUP(C35,customers!$A$2:$A$1001,customers!$G$2:$G$1001,,0)</f>
        <v>United States</v>
      </c>
      <c r="H35" t="str">
        <f>INDEX(products!$A$1:$G$49,MATCH(orders!$D35,products!$A$1:$A$49,0),MATCH(orders!H$1,products!$A$1:$G$1,0))</f>
        <v>Lib</v>
      </c>
      <c r="I35" t="str">
        <f>INDEX(products!$A$1:$G$49,MATCH(orders!$D35,products!$A$1:$A$49,0),MATCH(orders!I$1,products!$A$1:$G$1,0))</f>
        <v>L</v>
      </c>
      <c r="J35" s="5">
        <f>INDEX(products!$A$1:$G$49,MATCH(orders!$D35,products!$A$1:$A$49,0),MATCH(orders!J$1,products!$A$1:$G$1,0))</f>
        <v>0.2</v>
      </c>
      <c r="K35" s="6">
        <f>INDEX(products!$A$1:$G$49,MATCH(orders!$D35,products!$A$1:$A$49,0),MATCH(orders!K$1,products!$A$1:$G$1,0))</f>
        <v>4.7549999999999999</v>
      </c>
      <c r="L35" s="6">
        <f>K35*E35</f>
        <v>23.774999999999999</v>
      </c>
      <c r="M35" t="str" cm="1">
        <f t="array" ref="M35">_xlfn.IFS(H35="Rob","Robusta",H35="Exc","Excelsa",H35="Ara","Arabica",H35="Lib","Liberica")</f>
        <v>Liberica</v>
      </c>
      <c r="N35" t="str" cm="1">
        <f t="array" ref="N35">_xlfn.IFS(I35="M","Medium",I35="L","Light",I35="D","Dark")</f>
        <v>Light</v>
      </c>
      <c r="O35" t="str">
        <f>_xlfn.XLOOKUP(Orders[[#This Row],[Customer ID]],customers!$A$2:$A$1001,customers!$I$2:$I$1001,,0)</f>
        <v>No</v>
      </c>
    </row>
    <row r="36" spans="1:15" x14ac:dyDescent="0.3">
      <c r="A36" s="2" t="s">
        <v>681</v>
      </c>
      <c r="B36" s="3">
        <v>44011</v>
      </c>
      <c r="C36" s="2" t="s">
        <v>682</v>
      </c>
      <c r="D36" t="s">
        <v>6161</v>
      </c>
      <c r="E36" s="2">
        <v>6</v>
      </c>
      <c r="F36" s="2" t="str">
        <f>_xlfn.XLOOKUP(C36,customers!$A$2:$A$1001,customers!$B$2:$B$1001,,0)</f>
        <v>Una Welberry</v>
      </c>
      <c r="G36" s="2" t="str">
        <f>_xlfn.XLOOKUP(C36,customers!$A$2:$A$1001,customers!$G$2:$G$1001,,0)</f>
        <v>United Kingdom</v>
      </c>
      <c r="H36" t="str">
        <f>INDEX(products!$A$1:$G$49,MATCH(orders!$D36,products!$A$1:$A$49,0),MATCH(orders!H$1,products!$A$1:$G$1,0))</f>
        <v>Lib</v>
      </c>
      <c r="I36" t="str">
        <f>INDEX(products!$A$1:$G$49,MATCH(orders!$D36,products!$A$1:$A$49,0),MATCH(orders!I$1,products!$A$1:$G$1,0))</f>
        <v>L</v>
      </c>
      <c r="J36" s="5">
        <f>INDEX(products!$A$1:$G$49,MATCH(orders!$D36,products!$A$1:$A$49,0),MATCH(orders!J$1,products!$A$1:$G$1,0))</f>
        <v>0.5</v>
      </c>
      <c r="K36" s="6">
        <f>INDEX(products!$A$1:$G$49,MATCH(orders!$D36,products!$A$1:$A$49,0),MATCH(orders!K$1,products!$A$1:$G$1,0))</f>
        <v>9.51</v>
      </c>
      <c r="L36" s="6">
        <f>K36*E36</f>
        <v>57.06</v>
      </c>
      <c r="M36" t="str" cm="1">
        <f t="array" ref="M36">_xlfn.IFS(H36="Rob","Robusta",H36="Exc","Excelsa",H36="Ara","Arabica",H36="Lib","Liberica")</f>
        <v>Liberica</v>
      </c>
      <c r="N36" t="str" cm="1">
        <f t="array" ref="N36">_xlfn.IFS(I36="M","Medium",I36="L","Light",I36="D","Dark")</f>
        <v>Light</v>
      </c>
      <c r="O36" t="str">
        <f>_xlfn.XLOOKUP(Orders[[#This Row],[Customer ID]],customers!$A$2:$A$1001,customers!$I$2:$I$1001,,0)</f>
        <v>Yes</v>
      </c>
    </row>
    <row r="37" spans="1:15" x14ac:dyDescent="0.3">
      <c r="A37" s="2" t="s">
        <v>687</v>
      </c>
      <c r="B37" s="3">
        <v>44348</v>
      </c>
      <c r="C37" s="2" t="s">
        <v>688</v>
      </c>
      <c r="D37" t="s">
        <v>6158</v>
      </c>
      <c r="E37" s="2">
        <v>6</v>
      </c>
      <c r="F37" s="2" t="str">
        <f>_xlfn.XLOOKUP(C37,customers!$A$2:$A$1001,customers!$B$2:$B$1001,,0)</f>
        <v>Faber Eilhart</v>
      </c>
      <c r="G37" s="2" t="str">
        <f>_xlfn.XLOOKUP(C37,customers!$A$2:$A$1001,customers!$G$2:$G$1001,,0)</f>
        <v>United States</v>
      </c>
      <c r="H37" t="str">
        <f>INDEX(products!$A$1:$G$49,MATCH(orders!$D37,products!$A$1:$A$49,0),MATCH(orders!H$1,products!$A$1:$G$1,0))</f>
        <v>Ara</v>
      </c>
      <c r="I37" t="str">
        <f>INDEX(products!$A$1:$G$49,MATCH(orders!$D37,products!$A$1:$A$49,0),MATCH(orders!I$1,products!$A$1:$G$1,0))</f>
        <v>D</v>
      </c>
      <c r="J37" s="5">
        <f>INDEX(products!$A$1:$G$49,MATCH(orders!$D37,products!$A$1:$A$49,0),MATCH(orders!J$1,products!$A$1:$G$1,0))</f>
        <v>0.5</v>
      </c>
      <c r="K37" s="6">
        <f>INDEX(products!$A$1:$G$49,MATCH(orders!$D37,products!$A$1:$A$49,0),MATCH(orders!K$1,products!$A$1:$G$1,0))</f>
        <v>5.97</v>
      </c>
      <c r="L37" s="6">
        <f>K37*E37</f>
        <v>35.82</v>
      </c>
      <c r="M37" t="str" cm="1">
        <f t="array" ref="M37">_xlfn.IFS(H37="Rob","Robusta",H37="Exc","Excelsa",H37="Ara","Arabica",H37="Lib","Liberica")</f>
        <v>Arabica</v>
      </c>
      <c r="N37" t="str" cm="1">
        <f t="array" ref="N37">_xlfn.IFS(I37="M","Medium",I37="L","Light",I37="D","Dark")</f>
        <v>Dark</v>
      </c>
      <c r="O37" t="str">
        <f>_xlfn.XLOOKUP(Orders[[#This Row],[Customer ID]],customers!$A$2:$A$1001,customers!$I$2:$I$1001,,0)</f>
        <v>No</v>
      </c>
    </row>
    <row r="38" spans="1:15" x14ac:dyDescent="0.3">
      <c r="A38" s="2" t="s">
        <v>693</v>
      </c>
      <c r="B38" s="3">
        <v>44233</v>
      </c>
      <c r="C38" s="2" t="s">
        <v>694</v>
      </c>
      <c r="D38" t="s">
        <v>6159</v>
      </c>
      <c r="E38" s="2">
        <v>2</v>
      </c>
      <c r="F38" s="2" t="str">
        <f>_xlfn.XLOOKUP(C38,customers!$A$2:$A$1001,customers!$B$2:$B$1001,,0)</f>
        <v>Zorina Ponting</v>
      </c>
      <c r="G38" s="2" t="str">
        <f>_xlfn.XLOOKUP(C38,customers!$A$2:$A$1001,customers!$G$2:$G$1001,,0)</f>
        <v>United States</v>
      </c>
      <c r="H38" t="str">
        <f>INDEX(products!$A$1:$G$49,MATCH(orders!$D38,products!$A$1:$A$49,0),MATCH(orders!H$1,products!$A$1:$G$1,0))</f>
        <v>Lib</v>
      </c>
      <c r="I38" t="str">
        <f>INDEX(products!$A$1:$G$49,MATCH(orders!$D38,products!$A$1:$A$49,0),MATCH(orders!I$1,products!$A$1:$G$1,0))</f>
        <v>M</v>
      </c>
      <c r="J38" s="5">
        <f>INDEX(products!$A$1:$G$49,MATCH(orders!$D38,products!$A$1:$A$49,0),MATCH(orders!J$1,products!$A$1:$G$1,0))</f>
        <v>0.2</v>
      </c>
      <c r="K38" s="6">
        <f>INDEX(products!$A$1:$G$49,MATCH(orders!$D38,products!$A$1:$A$49,0),MATCH(orders!K$1,products!$A$1:$G$1,0))</f>
        <v>4.3650000000000002</v>
      </c>
      <c r="L38" s="6">
        <f>K38*E38</f>
        <v>8.73</v>
      </c>
      <c r="M38" t="str" cm="1">
        <f t="array" ref="M38">_xlfn.IFS(H38="Rob","Robusta",H38="Exc","Excelsa",H38="Ara","Arabica",H38="Lib","Liberica")</f>
        <v>Liberica</v>
      </c>
      <c r="N38" t="str" cm="1">
        <f t="array" ref="N38">_xlfn.IFS(I38="M","Medium",I38="L","Light",I38="D","Dark")</f>
        <v>Medium</v>
      </c>
      <c r="O38" t="str">
        <f>_xlfn.XLOOKUP(Orders[[#This Row],[Customer ID]],customers!$A$2:$A$1001,customers!$I$2:$I$1001,,0)</f>
        <v>No</v>
      </c>
    </row>
    <row r="39" spans="1:15" x14ac:dyDescent="0.3">
      <c r="A39" s="2" t="s">
        <v>699</v>
      </c>
      <c r="B39" s="3">
        <v>43580</v>
      </c>
      <c r="C39" s="2" t="s">
        <v>700</v>
      </c>
      <c r="D39" t="s">
        <v>6161</v>
      </c>
      <c r="E39" s="2">
        <v>3</v>
      </c>
      <c r="F39" s="2" t="str">
        <f>_xlfn.XLOOKUP(C39,customers!$A$2:$A$1001,customers!$B$2:$B$1001,,0)</f>
        <v>Silvio Strase</v>
      </c>
      <c r="G39" s="2" t="str">
        <f>_xlfn.XLOOKUP(C39,customers!$A$2:$A$1001,customers!$G$2:$G$1001,,0)</f>
        <v>United States</v>
      </c>
      <c r="H39" t="str">
        <f>INDEX(products!$A$1:$G$49,MATCH(orders!$D39,products!$A$1:$A$49,0),MATCH(orders!H$1,products!$A$1:$G$1,0))</f>
        <v>Lib</v>
      </c>
      <c r="I39" t="str">
        <f>INDEX(products!$A$1:$G$49,MATCH(orders!$D39,products!$A$1:$A$49,0),MATCH(orders!I$1,products!$A$1:$G$1,0))</f>
        <v>L</v>
      </c>
      <c r="J39" s="5">
        <f>INDEX(products!$A$1:$G$49,MATCH(orders!$D39,products!$A$1:$A$49,0),MATCH(orders!J$1,products!$A$1:$G$1,0))</f>
        <v>0.5</v>
      </c>
      <c r="K39" s="6">
        <f>INDEX(products!$A$1:$G$49,MATCH(orders!$D39,products!$A$1:$A$49,0),MATCH(orders!K$1,products!$A$1:$G$1,0))</f>
        <v>9.51</v>
      </c>
      <c r="L39" s="6">
        <f>K39*E39</f>
        <v>28.53</v>
      </c>
      <c r="M39" t="str" cm="1">
        <f t="array" ref="M39">_xlfn.IFS(H39="Rob","Robusta",H39="Exc","Excelsa",H39="Ara","Arabica",H39="Lib","Liberica")</f>
        <v>Liberica</v>
      </c>
      <c r="N39" t="str" cm="1">
        <f t="array" ref="N39">_xlfn.IFS(I39="M","Medium",I39="L","Light",I39="D","Dark")</f>
        <v>Light</v>
      </c>
      <c r="O39" t="str">
        <f>_xlfn.XLOOKUP(Orders[[#This Row],[Customer ID]],customers!$A$2:$A$1001,customers!$I$2:$I$1001,,0)</f>
        <v>No</v>
      </c>
    </row>
    <row r="40" spans="1:15" x14ac:dyDescent="0.3">
      <c r="A40" s="2" t="s">
        <v>705</v>
      </c>
      <c r="B40" s="3">
        <v>43946</v>
      </c>
      <c r="C40" s="2" t="s">
        <v>706</v>
      </c>
      <c r="D40" t="s">
        <v>6151</v>
      </c>
      <c r="E40" s="2">
        <v>5</v>
      </c>
      <c r="F40" s="2" t="str">
        <f>_xlfn.XLOOKUP(C40,customers!$A$2:$A$1001,customers!$B$2:$B$1001,,0)</f>
        <v>Dorie de la Tremoille</v>
      </c>
      <c r="G40" s="2" t="str">
        <f>_xlfn.XLOOKUP(C40,customers!$A$2:$A$1001,customers!$G$2:$G$1001,,0)</f>
        <v>United States</v>
      </c>
      <c r="H40" t="str">
        <f>INDEX(products!$A$1:$G$49,MATCH(orders!$D40,products!$A$1:$A$49,0),MATCH(orders!H$1,products!$A$1:$G$1,0))</f>
        <v>Rob</v>
      </c>
      <c r="I40" t="str">
        <f>INDEX(products!$A$1:$G$49,MATCH(orders!$D40,products!$A$1:$A$49,0),MATCH(orders!I$1,products!$A$1:$G$1,0))</f>
        <v>M</v>
      </c>
      <c r="J40" s="5">
        <f>INDEX(products!$A$1:$G$49,MATCH(orders!$D40,products!$A$1:$A$49,0),MATCH(orders!J$1,products!$A$1:$G$1,0))</f>
        <v>2.5</v>
      </c>
      <c r="K40" s="6">
        <f>INDEX(products!$A$1:$G$49,MATCH(orders!$D40,products!$A$1:$A$49,0),MATCH(orders!K$1,products!$A$1:$G$1,0))</f>
        <v>22.884999999999998</v>
      </c>
      <c r="L40" s="6">
        <f>K40*E40</f>
        <v>114.42499999999998</v>
      </c>
      <c r="M40" t="str" cm="1">
        <f t="array" ref="M40">_xlfn.IFS(H40="Rob","Robusta",H40="Exc","Excelsa",H40="Ara","Arabica",H40="Lib","Liberica")</f>
        <v>Robusta</v>
      </c>
      <c r="N40" t="str" cm="1">
        <f t="array" ref="N40">_xlfn.IFS(I40="M","Medium",I40="L","Light",I40="D","Dark")</f>
        <v>Medium</v>
      </c>
      <c r="O40" t="str">
        <f>_xlfn.XLOOKUP(Orders[[#This Row],[Customer ID]],customers!$A$2:$A$1001,customers!$I$2:$I$1001,,0)</f>
        <v>No</v>
      </c>
    </row>
    <row r="41" spans="1:15" x14ac:dyDescent="0.3">
      <c r="A41" s="2" t="s">
        <v>711</v>
      </c>
      <c r="B41" s="3">
        <v>44524</v>
      </c>
      <c r="C41" s="2" t="s">
        <v>712</v>
      </c>
      <c r="D41" t="s">
        <v>6138</v>
      </c>
      <c r="E41" s="2">
        <v>6</v>
      </c>
      <c r="F41" s="2" t="str">
        <f>_xlfn.XLOOKUP(C41,customers!$A$2:$A$1001,customers!$B$2:$B$1001,,0)</f>
        <v>Hy Zanetto</v>
      </c>
      <c r="G41" s="2" t="str">
        <f>_xlfn.XLOOKUP(C41,customers!$A$2:$A$1001,customers!$G$2:$G$1001,,0)</f>
        <v>United States</v>
      </c>
      <c r="H41" t="str">
        <f>INDEX(products!$A$1:$G$49,MATCH(orders!$D41,products!$A$1:$A$49,0),MATCH(orders!H$1,products!$A$1:$G$1,0))</f>
        <v>Rob</v>
      </c>
      <c r="I41" t="str">
        <f>INDEX(products!$A$1:$G$49,MATCH(orders!$D41,products!$A$1:$A$49,0),MATCH(orders!I$1,products!$A$1:$G$1,0))</f>
        <v>M</v>
      </c>
      <c r="J41" s="5">
        <f>INDEX(products!$A$1:$G$49,MATCH(orders!$D41,products!$A$1:$A$49,0),MATCH(orders!J$1,products!$A$1:$G$1,0))</f>
        <v>1</v>
      </c>
      <c r="K41" s="6">
        <f>INDEX(products!$A$1:$G$49,MATCH(orders!$D41,products!$A$1:$A$49,0),MATCH(orders!K$1,products!$A$1:$G$1,0))</f>
        <v>9.9499999999999993</v>
      </c>
      <c r="L41" s="6">
        <f>K41*E41</f>
        <v>59.699999999999996</v>
      </c>
      <c r="M41" t="str" cm="1">
        <f t="array" ref="M41">_xlfn.IFS(H41="Rob","Robusta",H41="Exc","Excelsa",H41="Ara","Arabica",H41="Lib","Liberica")</f>
        <v>Robusta</v>
      </c>
      <c r="N41" t="str" cm="1">
        <f t="array" ref="N41">_xlfn.IFS(I41="M","Medium",I41="L","Light",I41="D","Dark")</f>
        <v>Medium</v>
      </c>
      <c r="O41" t="str">
        <f>_xlfn.XLOOKUP(Orders[[#This Row],[Customer ID]],customers!$A$2:$A$1001,customers!$I$2:$I$1001,,0)</f>
        <v>Yes</v>
      </c>
    </row>
    <row r="42" spans="1:15" x14ac:dyDescent="0.3">
      <c r="A42" s="2" t="s">
        <v>715</v>
      </c>
      <c r="B42" s="3">
        <v>44305</v>
      </c>
      <c r="C42" s="2" t="s">
        <v>716</v>
      </c>
      <c r="D42" t="s">
        <v>6162</v>
      </c>
      <c r="E42" s="2">
        <v>3</v>
      </c>
      <c r="F42" s="2" t="str">
        <f>_xlfn.XLOOKUP(C42,customers!$A$2:$A$1001,customers!$B$2:$B$1001,,0)</f>
        <v>Jessica McNess</v>
      </c>
      <c r="G42" s="2" t="str">
        <f>_xlfn.XLOOKUP(C42,customers!$A$2:$A$1001,customers!$G$2:$G$1001,,0)</f>
        <v>United States</v>
      </c>
      <c r="H42" t="str">
        <f>INDEX(products!$A$1:$G$49,MATCH(orders!$D42,products!$A$1:$A$49,0),MATCH(orders!H$1,products!$A$1:$G$1,0))</f>
        <v>Lib</v>
      </c>
      <c r="I42" t="str">
        <f>INDEX(products!$A$1:$G$49,MATCH(orders!$D42,products!$A$1:$A$49,0),MATCH(orders!I$1,products!$A$1:$G$1,0))</f>
        <v>M</v>
      </c>
      <c r="J42" s="5">
        <f>INDEX(products!$A$1:$G$49,MATCH(orders!$D42,products!$A$1:$A$49,0),MATCH(orders!J$1,products!$A$1:$G$1,0))</f>
        <v>1</v>
      </c>
      <c r="K42" s="6">
        <f>INDEX(products!$A$1:$G$49,MATCH(orders!$D42,products!$A$1:$A$49,0),MATCH(orders!K$1,products!$A$1:$G$1,0))</f>
        <v>14.55</v>
      </c>
      <c r="L42" s="6">
        <f>K42*E42</f>
        <v>43.650000000000006</v>
      </c>
      <c r="M42" t="str" cm="1">
        <f t="array" ref="M42">_xlfn.IFS(H42="Rob","Robusta",H42="Exc","Excelsa",H42="Ara","Arabica",H42="Lib","Liberica")</f>
        <v>Liberica</v>
      </c>
      <c r="N42" t="str" cm="1">
        <f t="array" ref="N42">_xlfn.IFS(I42="M","Medium",I42="L","Light",I42="D","Dark")</f>
        <v>Medium</v>
      </c>
      <c r="O42" t="str">
        <f>_xlfn.XLOOKUP(Orders[[#This Row],[Customer ID]],customers!$A$2:$A$1001,customers!$I$2:$I$1001,,0)</f>
        <v>No</v>
      </c>
    </row>
    <row r="43" spans="1:15" x14ac:dyDescent="0.3">
      <c r="A43" s="2" t="s">
        <v>720</v>
      </c>
      <c r="B43" s="3">
        <v>44749</v>
      </c>
      <c r="C43" s="2" t="s">
        <v>721</v>
      </c>
      <c r="D43" t="s">
        <v>6153</v>
      </c>
      <c r="E43" s="2">
        <v>2</v>
      </c>
      <c r="F43" s="2" t="str">
        <f>_xlfn.XLOOKUP(C43,customers!$A$2:$A$1001,customers!$B$2:$B$1001,,0)</f>
        <v>Lorenzo Yeoland</v>
      </c>
      <c r="G43" s="2" t="str">
        <f>_xlfn.XLOOKUP(C43,customers!$A$2:$A$1001,customers!$G$2:$G$1001,,0)</f>
        <v>United States</v>
      </c>
      <c r="H43" t="str">
        <f>INDEX(products!$A$1:$G$49,MATCH(orders!$D43,products!$A$1:$A$49,0),MATCH(orders!H$1,products!$A$1:$G$1,0))</f>
        <v>Exc</v>
      </c>
      <c r="I43" t="str">
        <f>INDEX(products!$A$1:$G$49,MATCH(orders!$D43,products!$A$1:$A$49,0),MATCH(orders!I$1,products!$A$1:$G$1,0))</f>
        <v>D</v>
      </c>
      <c r="J43" s="5">
        <f>INDEX(products!$A$1:$G$49,MATCH(orders!$D43,products!$A$1:$A$49,0),MATCH(orders!J$1,products!$A$1:$G$1,0))</f>
        <v>0.2</v>
      </c>
      <c r="K43" s="6">
        <f>INDEX(products!$A$1:$G$49,MATCH(orders!$D43,products!$A$1:$A$49,0),MATCH(orders!K$1,products!$A$1:$G$1,0))</f>
        <v>3.645</v>
      </c>
      <c r="L43" s="6">
        <f>K43*E43</f>
        <v>7.29</v>
      </c>
      <c r="M43" t="str" cm="1">
        <f t="array" ref="M43">_xlfn.IFS(H43="Rob","Robusta",H43="Exc","Excelsa",H43="Ara","Arabica",H43="Lib","Liberica")</f>
        <v>Excelsa</v>
      </c>
      <c r="N43" t="str" cm="1">
        <f t="array" ref="N43">_xlfn.IFS(I43="M","Medium",I43="L","Light",I43="D","Dark")</f>
        <v>Dark</v>
      </c>
      <c r="O43" t="str">
        <f>_xlfn.XLOOKUP(Orders[[#This Row],[Customer ID]],customers!$A$2:$A$1001,customers!$I$2:$I$1001,,0)</f>
        <v>Yes</v>
      </c>
    </row>
    <row r="44" spans="1:15" x14ac:dyDescent="0.3">
      <c r="A44" s="2" t="s">
        <v>726</v>
      </c>
      <c r="B44" s="3">
        <v>43607</v>
      </c>
      <c r="C44" s="2" t="s">
        <v>727</v>
      </c>
      <c r="D44" t="s">
        <v>6163</v>
      </c>
      <c r="E44" s="2">
        <v>3</v>
      </c>
      <c r="F44" s="2" t="str">
        <f>_xlfn.XLOOKUP(C44,customers!$A$2:$A$1001,customers!$B$2:$B$1001,,0)</f>
        <v>Abigail Tolworthy</v>
      </c>
      <c r="G44" s="2" t="str">
        <f>_xlfn.XLOOKUP(C44,customers!$A$2:$A$1001,customers!$G$2:$G$1001,,0)</f>
        <v>United States</v>
      </c>
      <c r="H44" t="str">
        <f>INDEX(products!$A$1:$G$49,MATCH(orders!$D44,products!$A$1:$A$49,0),MATCH(orders!H$1,products!$A$1:$G$1,0))</f>
        <v>Rob</v>
      </c>
      <c r="I44" t="str">
        <f>INDEX(products!$A$1:$G$49,MATCH(orders!$D44,products!$A$1:$A$49,0),MATCH(orders!I$1,products!$A$1:$G$1,0))</f>
        <v>D</v>
      </c>
      <c r="J44" s="5">
        <f>INDEX(products!$A$1:$G$49,MATCH(orders!$D44,products!$A$1:$A$49,0),MATCH(orders!J$1,products!$A$1:$G$1,0))</f>
        <v>0.2</v>
      </c>
      <c r="K44" s="6">
        <f>INDEX(products!$A$1:$G$49,MATCH(orders!$D44,products!$A$1:$A$49,0),MATCH(orders!K$1,products!$A$1:$G$1,0))</f>
        <v>2.6849999999999996</v>
      </c>
      <c r="L44" s="6">
        <f>K44*E44</f>
        <v>8.0549999999999997</v>
      </c>
      <c r="M44" t="str" cm="1">
        <f t="array" ref="M44">_xlfn.IFS(H44="Rob","Robusta",H44="Exc","Excelsa",H44="Ara","Arabica",H44="Lib","Liberica")</f>
        <v>Robusta</v>
      </c>
      <c r="N44" t="str" cm="1">
        <f t="array" ref="N44">_xlfn.IFS(I44="M","Medium",I44="L","Light",I44="D","Dark")</f>
        <v>Dark</v>
      </c>
      <c r="O44" t="str">
        <f>_xlfn.XLOOKUP(Orders[[#This Row],[Customer ID]],customers!$A$2:$A$1001,customers!$I$2:$I$1001,,0)</f>
        <v>Yes</v>
      </c>
    </row>
    <row r="45" spans="1:15" x14ac:dyDescent="0.3">
      <c r="A45" s="2" t="s">
        <v>733</v>
      </c>
      <c r="B45" s="3">
        <v>44473</v>
      </c>
      <c r="C45" s="2" t="s">
        <v>734</v>
      </c>
      <c r="D45" t="s">
        <v>6164</v>
      </c>
      <c r="E45" s="2">
        <v>2</v>
      </c>
      <c r="F45" s="2" t="str">
        <f>_xlfn.XLOOKUP(C45,customers!$A$2:$A$1001,customers!$B$2:$B$1001,,0)</f>
        <v>Maurie Bartol</v>
      </c>
      <c r="G45" s="2" t="str">
        <f>_xlfn.XLOOKUP(C45,customers!$A$2:$A$1001,customers!$G$2:$G$1001,,0)</f>
        <v>United States</v>
      </c>
      <c r="H45" t="str">
        <f>INDEX(products!$A$1:$G$49,MATCH(orders!$D45,products!$A$1:$A$49,0),MATCH(orders!H$1,products!$A$1:$G$1,0))</f>
        <v>Lib</v>
      </c>
      <c r="I45" t="str">
        <f>INDEX(products!$A$1:$G$49,MATCH(orders!$D45,products!$A$1:$A$49,0),MATCH(orders!I$1,products!$A$1:$G$1,0))</f>
        <v>L</v>
      </c>
      <c r="J45" s="5">
        <f>INDEX(products!$A$1:$G$49,MATCH(orders!$D45,products!$A$1:$A$49,0),MATCH(orders!J$1,products!$A$1:$G$1,0))</f>
        <v>2.5</v>
      </c>
      <c r="K45" s="6">
        <f>INDEX(products!$A$1:$G$49,MATCH(orders!$D45,products!$A$1:$A$49,0),MATCH(orders!K$1,products!$A$1:$G$1,0))</f>
        <v>36.454999999999998</v>
      </c>
      <c r="L45" s="6">
        <f>K45*E45</f>
        <v>72.91</v>
      </c>
      <c r="M45" t="str" cm="1">
        <f t="array" ref="M45">_xlfn.IFS(H45="Rob","Robusta",H45="Exc","Excelsa",H45="Ara","Arabica",H45="Lib","Liberica")</f>
        <v>Liberica</v>
      </c>
      <c r="N45" t="str" cm="1">
        <f t="array" ref="N45">_xlfn.IFS(I45="M","Medium",I45="L","Light",I45="D","Dark")</f>
        <v>Light</v>
      </c>
      <c r="O45" t="str">
        <f>_xlfn.XLOOKUP(Orders[[#This Row],[Customer ID]],customers!$A$2:$A$1001,customers!$I$2:$I$1001,,0)</f>
        <v>No</v>
      </c>
    </row>
    <row r="46" spans="1:15" x14ac:dyDescent="0.3">
      <c r="A46" s="2" t="s">
        <v>738</v>
      </c>
      <c r="B46" s="3">
        <v>43932</v>
      </c>
      <c r="C46" s="2" t="s">
        <v>739</v>
      </c>
      <c r="D46" t="s">
        <v>6139</v>
      </c>
      <c r="E46" s="2">
        <v>2</v>
      </c>
      <c r="F46" s="2" t="str">
        <f>_xlfn.XLOOKUP(C46,customers!$A$2:$A$1001,customers!$B$2:$B$1001,,0)</f>
        <v>Olag Baudassi</v>
      </c>
      <c r="G46" s="2" t="str">
        <f>_xlfn.XLOOKUP(C46,customers!$A$2:$A$1001,customers!$G$2:$G$1001,,0)</f>
        <v>United States</v>
      </c>
      <c r="H46" t="str">
        <f>INDEX(products!$A$1:$G$49,MATCH(orders!$D46,products!$A$1:$A$49,0),MATCH(orders!H$1,products!$A$1:$G$1,0))</f>
        <v>Exc</v>
      </c>
      <c r="I46" t="str">
        <f>INDEX(products!$A$1:$G$49,MATCH(orders!$D46,products!$A$1:$A$49,0),MATCH(orders!I$1,products!$A$1:$G$1,0))</f>
        <v>M</v>
      </c>
      <c r="J46" s="5">
        <f>INDEX(products!$A$1:$G$49,MATCH(orders!$D46,products!$A$1:$A$49,0),MATCH(orders!J$1,products!$A$1:$G$1,0))</f>
        <v>0.5</v>
      </c>
      <c r="K46" s="6">
        <f>INDEX(products!$A$1:$G$49,MATCH(orders!$D46,products!$A$1:$A$49,0),MATCH(orders!K$1,products!$A$1:$G$1,0))</f>
        <v>8.25</v>
      </c>
      <c r="L46" s="6">
        <f>K46*E46</f>
        <v>16.5</v>
      </c>
      <c r="M46" t="str" cm="1">
        <f t="array" ref="M46">_xlfn.IFS(H46="Rob","Robusta",H46="Exc","Excelsa",H46="Ara","Arabica",H46="Lib","Liberica")</f>
        <v>Excelsa</v>
      </c>
      <c r="N46" t="str" cm="1">
        <f t="array" ref="N46">_xlfn.IFS(I46="M","Medium",I46="L","Light",I46="D","Dark")</f>
        <v>Medium</v>
      </c>
      <c r="O46" t="str">
        <f>_xlfn.XLOOKUP(Orders[[#This Row],[Customer ID]],customers!$A$2:$A$1001,customers!$I$2:$I$1001,,0)</f>
        <v>Yes</v>
      </c>
    </row>
    <row r="47" spans="1:15" x14ac:dyDescent="0.3">
      <c r="A47" s="2" t="s">
        <v>744</v>
      </c>
      <c r="B47" s="3">
        <v>44592</v>
      </c>
      <c r="C47" s="2" t="s">
        <v>745</v>
      </c>
      <c r="D47" t="s">
        <v>6165</v>
      </c>
      <c r="E47" s="2">
        <v>6</v>
      </c>
      <c r="F47" s="2" t="str">
        <f>_xlfn.XLOOKUP(C47,customers!$A$2:$A$1001,customers!$B$2:$B$1001,,0)</f>
        <v>Petey Kingsbury</v>
      </c>
      <c r="G47" s="2" t="str">
        <f>_xlfn.XLOOKUP(C47,customers!$A$2:$A$1001,customers!$G$2:$G$1001,,0)</f>
        <v>United States</v>
      </c>
      <c r="H47" t="str">
        <f>INDEX(products!$A$1:$G$49,MATCH(orders!$D47,products!$A$1:$A$49,0),MATCH(orders!H$1,products!$A$1:$G$1,0))</f>
        <v>Lib</v>
      </c>
      <c r="I47" t="str">
        <f>INDEX(products!$A$1:$G$49,MATCH(orders!$D47,products!$A$1:$A$49,0),MATCH(orders!I$1,products!$A$1:$G$1,0))</f>
        <v>D</v>
      </c>
      <c r="J47" s="5">
        <f>INDEX(products!$A$1:$G$49,MATCH(orders!$D47,products!$A$1:$A$49,0),MATCH(orders!J$1,products!$A$1:$G$1,0))</f>
        <v>2.5</v>
      </c>
      <c r="K47" s="6">
        <f>INDEX(products!$A$1:$G$49,MATCH(orders!$D47,products!$A$1:$A$49,0),MATCH(orders!K$1,products!$A$1:$G$1,0))</f>
        <v>29.784999999999997</v>
      </c>
      <c r="L47" s="6">
        <f>K47*E47</f>
        <v>178.70999999999998</v>
      </c>
      <c r="M47" t="str" cm="1">
        <f t="array" ref="M47">_xlfn.IFS(H47="Rob","Robusta",H47="Exc","Excelsa",H47="Ara","Arabica",H47="Lib","Liberica")</f>
        <v>Liberica</v>
      </c>
      <c r="N47" t="str" cm="1">
        <f t="array" ref="N47">_xlfn.IFS(I47="M","Medium",I47="L","Light",I47="D","Dark")</f>
        <v>Dark</v>
      </c>
      <c r="O47" t="str">
        <f>_xlfn.XLOOKUP(Orders[[#This Row],[Customer ID]],customers!$A$2:$A$1001,customers!$I$2:$I$1001,,0)</f>
        <v>No</v>
      </c>
    </row>
    <row r="48" spans="1:15" x14ac:dyDescent="0.3">
      <c r="A48" s="2" t="s">
        <v>750</v>
      </c>
      <c r="B48" s="3">
        <v>43776</v>
      </c>
      <c r="C48" s="2" t="s">
        <v>751</v>
      </c>
      <c r="D48" t="s">
        <v>6166</v>
      </c>
      <c r="E48" s="2">
        <v>2</v>
      </c>
      <c r="F48" s="2" t="str">
        <f>_xlfn.XLOOKUP(C48,customers!$A$2:$A$1001,customers!$B$2:$B$1001,,0)</f>
        <v>Donna Baskeyfied</v>
      </c>
      <c r="G48" s="2" t="str">
        <f>_xlfn.XLOOKUP(C48,customers!$A$2:$A$1001,customers!$G$2:$G$1001,,0)</f>
        <v>United States</v>
      </c>
      <c r="H48" t="str">
        <f>INDEX(products!$A$1:$G$49,MATCH(orders!$D48,products!$A$1:$A$49,0),MATCH(orders!H$1,products!$A$1:$G$1,0))</f>
        <v>Exc</v>
      </c>
      <c r="I48" t="str">
        <f>INDEX(products!$A$1:$G$49,MATCH(orders!$D48,products!$A$1:$A$49,0),MATCH(orders!I$1,products!$A$1:$G$1,0))</f>
        <v>M</v>
      </c>
      <c r="J48" s="5">
        <f>INDEX(products!$A$1:$G$49,MATCH(orders!$D48,products!$A$1:$A$49,0),MATCH(orders!J$1,products!$A$1:$G$1,0))</f>
        <v>2.5</v>
      </c>
      <c r="K48" s="6">
        <f>INDEX(products!$A$1:$G$49,MATCH(orders!$D48,products!$A$1:$A$49,0),MATCH(orders!K$1,products!$A$1:$G$1,0))</f>
        <v>31.624999999999996</v>
      </c>
      <c r="L48" s="6">
        <f>K48*E48</f>
        <v>63.249999999999993</v>
      </c>
      <c r="M48" t="str" cm="1">
        <f t="array" ref="M48">_xlfn.IFS(H48="Rob","Robusta",H48="Exc","Excelsa",H48="Ara","Arabica",H48="Lib","Liberica")</f>
        <v>Excelsa</v>
      </c>
      <c r="N48" t="str" cm="1">
        <f t="array" ref="N48">_xlfn.IFS(I48="M","Medium",I48="L","Light",I48="D","Dark")</f>
        <v>Medium</v>
      </c>
      <c r="O48" t="str">
        <f>_xlfn.XLOOKUP(Orders[[#This Row],[Customer ID]],customers!$A$2:$A$1001,customers!$I$2:$I$1001,,0)</f>
        <v>Yes</v>
      </c>
    </row>
    <row r="49" spans="1:15" x14ac:dyDescent="0.3">
      <c r="A49" s="2" t="s">
        <v>755</v>
      </c>
      <c r="B49" s="3">
        <v>43644</v>
      </c>
      <c r="C49" s="2" t="s">
        <v>756</v>
      </c>
      <c r="D49" t="s">
        <v>6167</v>
      </c>
      <c r="E49" s="2">
        <v>2</v>
      </c>
      <c r="F49" s="2" t="str">
        <f>_xlfn.XLOOKUP(C49,customers!$A$2:$A$1001,customers!$B$2:$B$1001,,0)</f>
        <v>Arda Curley</v>
      </c>
      <c r="G49" s="2" t="str">
        <f>_xlfn.XLOOKUP(C49,customers!$A$2:$A$1001,customers!$G$2:$G$1001,,0)</f>
        <v>United States</v>
      </c>
      <c r="H49" t="str">
        <f>INDEX(products!$A$1:$G$49,MATCH(orders!$D49,products!$A$1:$A$49,0),MATCH(orders!H$1,products!$A$1:$G$1,0))</f>
        <v>Ara</v>
      </c>
      <c r="I49" t="str">
        <f>INDEX(products!$A$1:$G$49,MATCH(orders!$D49,products!$A$1:$A$49,0),MATCH(orders!I$1,products!$A$1:$G$1,0))</f>
        <v>L</v>
      </c>
      <c r="J49" s="5">
        <f>INDEX(products!$A$1:$G$49,MATCH(orders!$D49,products!$A$1:$A$49,0),MATCH(orders!J$1,products!$A$1:$G$1,0))</f>
        <v>0.2</v>
      </c>
      <c r="K49" s="6">
        <f>INDEX(products!$A$1:$G$49,MATCH(orders!$D49,products!$A$1:$A$49,0),MATCH(orders!K$1,products!$A$1:$G$1,0))</f>
        <v>3.8849999999999998</v>
      </c>
      <c r="L49" s="6">
        <f>K49*E49</f>
        <v>7.77</v>
      </c>
      <c r="M49" t="str" cm="1">
        <f t="array" ref="M49">_xlfn.IFS(H49="Rob","Robusta",H49="Exc","Excelsa",H49="Ara","Arabica",H49="Lib","Liberica")</f>
        <v>Arabica</v>
      </c>
      <c r="N49" t="str" cm="1">
        <f t="array" ref="N49">_xlfn.IFS(I49="M","Medium",I49="L","Light",I49="D","Dark")</f>
        <v>Light</v>
      </c>
      <c r="O49" t="str">
        <f>_xlfn.XLOOKUP(Orders[[#This Row],[Customer ID]],customers!$A$2:$A$1001,customers!$I$2:$I$1001,,0)</f>
        <v>Yes</v>
      </c>
    </row>
    <row r="50" spans="1:15" x14ac:dyDescent="0.3">
      <c r="A50" s="2" t="s">
        <v>761</v>
      </c>
      <c r="B50" s="3">
        <v>44085</v>
      </c>
      <c r="C50" s="2" t="s">
        <v>762</v>
      </c>
      <c r="D50" t="s">
        <v>6168</v>
      </c>
      <c r="E50" s="2">
        <v>4</v>
      </c>
      <c r="F50" s="2" t="str">
        <f>_xlfn.XLOOKUP(C50,customers!$A$2:$A$1001,customers!$B$2:$B$1001,,0)</f>
        <v>Raynor McGilvary</v>
      </c>
      <c r="G50" s="2" t="str">
        <f>_xlfn.XLOOKUP(C50,customers!$A$2:$A$1001,customers!$G$2:$G$1001,,0)</f>
        <v>United States</v>
      </c>
      <c r="H50" t="str">
        <f>INDEX(products!$A$1:$G$49,MATCH(orders!$D50,products!$A$1:$A$49,0),MATCH(orders!H$1,products!$A$1:$G$1,0))</f>
        <v>Ara</v>
      </c>
      <c r="I50" t="str">
        <f>INDEX(products!$A$1:$G$49,MATCH(orders!$D50,products!$A$1:$A$49,0),MATCH(orders!I$1,products!$A$1:$G$1,0))</f>
        <v>D</v>
      </c>
      <c r="J50" s="5">
        <f>INDEX(products!$A$1:$G$49,MATCH(orders!$D50,products!$A$1:$A$49,0),MATCH(orders!J$1,products!$A$1:$G$1,0))</f>
        <v>2.5</v>
      </c>
      <c r="K50" s="6">
        <f>INDEX(products!$A$1:$G$49,MATCH(orders!$D50,products!$A$1:$A$49,0),MATCH(orders!K$1,products!$A$1:$G$1,0))</f>
        <v>22.884999999999998</v>
      </c>
      <c r="L50" s="6">
        <f>K50*E50</f>
        <v>91.539999999999992</v>
      </c>
      <c r="M50" t="str" cm="1">
        <f t="array" ref="M50">_xlfn.IFS(H50="Rob","Robusta",H50="Exc","Excelsa",H50="Ara","Arabica",H50="Lib","Liberica")</f>
        <v>Arabica</v>
      </c>
      <c r="N50" t="str" cm="1">
        <f t="array" ref="N50">_xlfn.IFS(I50="M","Medium",I50="L","Light",I50="D","Dark")</f>
        <v>Dark</v>
      </c>
      <c r="O50" t="str">
        <f>_xlfn.XLOOKUP(Orders[[#This Row],[Customer ID]],customers!$A$2:$A$1001,customers!$I$2:$I$1001,,0)</f>
        <v>No</v>
      </c>
    </row>
    <row r="51" spans="1:15" x14ac:dyDescent="0.3">
      <c r="A51" s="2" t="s">
        <v>766</v>
      </c>
      <c r="B51" s="3">
        <v>44790</v>
      </c>
      <c r="C51" s="2" t="s">
        <v>767</v>
      </c>
      <c r="D51" t="s">
        <v>6140</v>
      </c>
      <c r="E51" s="2">
        <v>3</v>
      </c>
      <c r="F51" s="2" t="str">
        <f>_xlfn.XLOOKUP(C51,customers!$A$2:$A$1001,customers!$B$2:$B$1001,,0)</f>
        <v>Isis Pikett</v>
      </c>
      <c r="G51" s="2" t="str">
        <f>_xlfn.XLOOKUP(C51,customers!$A$2:$A$1001,customers!$G$2:$G$1001,,0)</f>
        <v>United States</v>
      </c>
      <c r="H51" t="str">
        <f>INDEX(products!$A$1:$G$49,MATCH(orders!$D51,products!$A$1:$A$49,0),MATCH(orders!H$1,products!$A$1:$G$1,0))</f>
        <v>Ara</v>
      </c>
      <c r="I51" t="str">
        <f>INDEX(products!$A$1:$G$49,MATCH(orders!$D51,products!$A$1:$A$49,0),MATCH(orders!I$1,products!$A$1:$G$1,0))</f>
        <v>L</v>
      </c>
      <c r="J51" s="5">
        <f>INDEX(products!$A$1:$G$49,MATCH(orders!$D51,products!$A$1:$A$49,0),MATCH(orders!J$1,products!$A$1:$G$1,0))</f>
        <v>1</v>
      </c>
      <c r="K51" s="6">
        <f>INDEX(products!$A$1:$G$49,MATCH(orders!$D51,products!$A$1:$A$49,0),MATCH(orders!K$1,products!$A$1:$G$1,0))</f>
        <v>12.95</v>
      </c>
      <c r="L51" s="6">
        <f>K51*E51</f>
        <v>38.849999999999994</v>
      </c>
      <c r="M51" t="str" cm="1">
        <f t="array" ref="M51">_xlfn.IFS(H51="Rob","Robusta",H51="Exc","Excelsa",H51="Ara","Arabica",H51="Lib","Liberica")</f>
        <v>Arabica</v>
      </c>
      <c r="N51" t="str" cm="1">
        <f t="array" ref="N51">_xlfn.IFS(I51="M","Medium",I51="L","Light",I51="D","Dark")</f>
        <v>Light</v>
      </c>
      <c r="O51" t="str">
        <f>_xlfn.XLOOKUP(Orders[[#This Row],[Customer ID]],customers!$A$2:$A$1001,customers!$I$2:$I$1001,,0)</f>
        <v>No</v>
      </c>
    </row>
    <row r="52" spans="1:15" x14ac:dyDescent="0.3">
      <c r="A52" s="2" t="s">
        <v>772</v>
      </c>
      <c r="B52" s="3">
        <v>44792</v>
      </c>
      <c r="C52" s="2" t="s">
        <v>773</v>
      </c>
      <c r="D52" t="s">
        <v>6169</v>
      </c>
      <c r="E52" s="2">
        <v>2</v>
      </c>
      <c r="F52" s="2" t="str">
        <f>_xlfn.XLOOKUP(C52,customers!$A$2:$A$1001,customers!$B$2:$B$1001,,0)</f>
        <v>Inger Bouldon</v>
      </c>
      <c r="G52" s="2" t="str">
        <f>_xlfn.XLOOKUP(C52,customers!$A$2:$A$1001,customers!$G$2:$G$1001,,0)</f>
        <v>United States</v>
      </c>
      <c r="H52" t="str">
        <f>INDEX(products!$A$1:$G$49,MATCH(orders!$D52,products!$A$1:$A$49,0),MATCH(orders!H$1,products!$A$1:$G$1,0))</f>
        <v>Lib</v>
      </c>
      <c r="I52" t="str">
        <f>INDEX(products!$A$1:$G$49,MATCH(orders!$D52,products!$A$1:$A$49,0),MATCH(orders!I$1,products!$A$1:$G$1,0))</f>
        <v>D</v>
      </c>
      <c r="J52" s="5">
        <f>INDEX(products!$A$1:$G$49,MATCH(orders!$D52,products!$A$1:$A$49,0),MATCH(orders!J$1,products!$A$1:$G$1,0))</f>
        <v>0.5</v>
      </c>
      <c r="K52" s="6">
        <f>INDEX(products!$A$1:$G$49,MATCH(orders!$D52,products!$A$1:$A$49,0),MATCH(orders!K$1,products!$A$1:$G$1,0))</f>
        <v>7.77</v>
      </c>
      <c r="L52" s="6">
        <f>K52*E52</f>
        <v>15.54</v>
      </c>
      <c r="M52" t="str" cm="1">
        <f t="array" ref="M52">_xlfn.IFS(H52="Rob","Robusta",H52="Exc","Excelsa",H52="Ara","Arabica",H52="Lib","Liberica")</f>
        <v>Liberica</v>
      </c>
      <c r="N52" t="str" cm="1">
        <f t="array" ref="N52">_xlfn.IFS(I52="M","Medium",I52="L","Light",I52="D","Dark")</f>
        <v>Dark</v>
      </c>
      <c r="O52" t="str">
        <f>_xlfn.XLOOKUP(Orders[[#This Row],[Customer ID]],customers!$A$2:$A$1001,customers!$I$2:$I$1001,,0)</f>
        <v>No</v>
      </c>
    </row>
    <row r="53" spans="1:15" x14ac:dyDescent="0.3">
      <c r="A53" s="2" t="s">
        <v>778</v>
      </c>
      <c r="B53" s="3">
        <v>43600</v>
      </c>
      <c r="C53" s="2" t="s">
        <v>779</v>
      </c>
      <c r="D53" t="s">
        <v>6164</v>
      </c>
      <c r="E53" s="2">
        <v>4</v>
      </c>
      <c r="F53" s="2" t="str">
        <f>_xlfn.XLOOKUP(C53,customers!$A$2:$A$1001,customers!$B$2:$B$1001,,0)</f>
        <v>Karry Flanders</v>
      </c>
      <c r="G53" s="2" t="str">
        <f>_xlfn.XLOOKUP(C53,customers!$A$2:$A$1001,customers!$G$2:$G$1001,,0)</f>
        <v>Ireland</v>
      </c>
      <c r="H53" t="str">
        <f>INDEX(products!$A$1:$G$49,MATCH(orders!$D53,products!$A$1:$A$49,0),MATCH(orders!H$1,products!$A$1:$G$1,0))</f>
        <v>Lib</v>
      </c>
      <c r="I53" t="str">
        <f>INDEX(products!$A$1:$G$49,MATCH(orders!$D53,products!$A$1:$A$49,0),MATCH(orders!I$1,products!$A$1:$G$1,0))</f>
        <v>L</v>
      </c>
      <c r="J53" s="5">
        <f>INDEX(products!$A$1:$G$49,MATCH(orders!$D53,products!$A$1:$A$49,0),MATCH(orders!J$1,products!$A$1:$G$1,0))</f>
        <v>2.5</v>
      </c>
      <c r="K53" s="6">
        <f>INDEX(products!$A$1:$G$49,MATCH(orders!$D53,products!$A$1:$A$49,0),MATCH(orders!K$1,products!$A$1:$G$1,0))</f>
        <v>36.454999999999998</v>
      </c>
      <c r="L53" s="6">
        <f>K53*E53</f>
        <v>145.82</v>
      </c>
      <c r="M53" t="str" cm="1">
        <f t="array" ref="M53">_xlfn.IFS(H53="Rob","Robusta",H53="Exc","Excelsa",H53="Ara","Arabica",H53="Lib","Liberica")</f>
        <v>Liberica</v>
      </c>
      <c r="N53" t="str" cm="1">
        <f t="array" ref="N53">_xlfn.IFS(I53="M","Medium",I53="L","Light",I53="D","Dark")</f>
        <v>Light</v>
      </c>
      <c r="O53" t="str">
        <f>_xlfn.XLOOKUP(Orders[[#This Row],[Customer ID]],customers!$A$2:$A$1001,customers!$I$2:$I$1001,,0)</f>
        <v>Yes</v>
      </c>
    </row>
    <row r="54" spans="1:15" x14ac:dyDescent="0.3">
      <c r="A54" s="2" t="s">
        <v>784</v>
      </c>
      <c r="B54" s="3">
        <v>43719</v>
      </c>
      <c r="C54" s="2" t="s">
        <v>785</v>
      </c>
      <c r="D54" t="s">
        <v>6146</v>
      </c>
      <c r="E54" s="2">
        <v>5</v>
      </c>
      <c r="F54" s="2" t="str">
        <f>_xlfn.XLOOKUP(C54,customers!$A$2:$A$1001,customers!$B$2:$B$1001,,0)</f>
        <v>Hartley Mattioli</v>
      </c>
      <c r="G54" s="2" t="str">
        <f>_xlfn.XLOOKUP(C54,customers!$A$2:$A$1001,customers!$G$2:$G$1001,,0)</f>
        <v>United Kingdom</v>
      </c>
      <c r="H54" t="str">
        <f>INDEX(products!$A$1:$G$49,MATCH(orders!$D54,products!$A$1:$A$49,0),MATCH(orders!H$1,products!$A$1:$G$1,0))</f>
        <v>Rob</v>
      </c>
      <c r="I54" t="str">
        <f>INDEX(products!$A$1:$G$49,MATCH(orders!$D54,products!$A$1:$A$49,0),MATCH(orders!I$1,products!$A$1:$G$1,0))</f>
        <v>M</v>
      </c>
      <c r="J54" s="5">
        <f>INDEX(products!$A$1:$G$49,MATCH(orders!$D54,products!$A$1:$A$49,0),MATCH(orders!J$1,products!$A$1:$G$1,0))</f>
        <v>0.5</v>
      </c>
      <c r="K54" s="6">
        <f>INDEX(products!$A$1:$G$49,MATCH(orders!$D54,products!$A$1:$A$49,0),MATCH(orders!K$1,products!$A$1:$G$1,0))</f>
        <v>5.97</v>
      </c>
      <c r="L54" s="6">
        <f>K54*E54</f>
        <v>29.849999999999998</v>
      </c>
      <c r="M54" t="str" cm="1">
        <f t="array" ref="M54">_xlfn.IFS(H54="Rob","Robusta",H54="Exc","Excelsa",H54="Ara","Arabica",H54="Lib","Liberica")</f>
        <v>Robusta</v>
      </c>
      <c r="N54" t="str" cm="1">
        <f t="array" ref="N54">_xlfn.IFS(I54="M","Medium",I54="L","Light",I54="D","Dark")</f>
        <v>Medium</v>
      </c>
      <c r="O54" t="str">
        <f>_xlfn.XLOOKUP(Orders[[#This Row],[Customer ID]],customers!$A$2:$A$1001,customers!$I$2:$I$1001,,0)</f>
        <v>No</v>
      </c>
    </row>
    <row r="55" spans="1:15" x14ac:dyDescent="0.3">
      <c r="A55" s="2" t="s">
        <v>784</v>
      </c>
      <c r="B55" s="3">
        <v>43719</v>
      </c>
      <c r="C55" s="2" t="s">
        <v>785</v>
      </c>
      <c r="D55" t="s">
        <v>6164</v>
      </c>
      <c r="E55" s="2">
        <v>2</v>
      </c>
      <c r="F55" s="2" t="str">
        <f>_xlfn.XLOOKUP(C55,customers!$A$2:$A$1001,customers!$B$2:$B$1001,,0)</f>
        <v>Hartley Mattioli</v>
      </c>
      <c r="G55" s="2" t="str">
        <f>_xlfn.XLOOKUP(C55,customers!$A$2:$A$1001,customers!$G$2:$G$1001,,0)</f>
        <v>United Kingdom</v>
      </c>
      <c r="H55" t="str">
        <f>INDEX(products!$A$1:$G$49,MATCH(orders!$D55,products!$A$1:$A$49,0),MATCH(orders!H$1,products!$A$1:$G$1,0))</f>
        <v>Lib</v>
      </c>
      <c r="I55" t="str">
        <f>INDEX(products!$A$1:$G$49,MATCH(orders!$D55,products!$A$1:$A$49,0),MATCH(orders!I$1,products!$A$1:$G$1,0))</f>
        <v>L</v>
      </c>
      <c r="J55" s="5">
        <f>INDEX(products!$A$1:$G$49,MATCH(orders!$D55,products!$A$1:$A$49,0),MATCH(orders!J$1,products!$A$1:$G$1,0))</f>
        <v>2.5</v>
      </c>
      <c r="K55" s="6">
        <f>INDEX(products!$A$1:$G$49,MATCH(orders!$D55,products!$A$1:$A$49,0),MATCH(orders!K$1,products!$A$1:$G$1,0))</f>
        <v>36.454999999999998</v>
      </c>
      <c r="L55" s="6">
        <f>K55*E55</f>
        <v>72.91</v>
      </c>
      <c r="M55" t="str" cm="1">
        <f t="array" ref="M55">_xlfn.IFS(H55="Rob","Robusta",H55="Exc","Excelsa",H55="Ara","Arabica",H55="Lib","Liberica")</f>
        <v>Liberica</v>
      </c>
      <c r="N55" t="str" cm="1">
        <f t="array" ref="N55">_xlfn.IFS(I55="M","Medium",I55="L","Light",I55="D","Dark")</f>
        <v>Light</v>
      </c>
      <c r="O55" t="str">
        <f>_xlfn.XLOOKUP(Orders[[#This Row],[Customer ID]],customers!$A$2:$A$1001,customers!$I$2:$I$1001,,0)</f>
        <v>No</v>
      </c>
    </row>
    <row r="56" spans="1:15" x14ac:dyDescent="0.3">
      <c r="A56" s="2" t="s">
        <v>794</v>
      </c>
      <c r="B56" s="3">
        <v>44271</v>
      </c>
      <c r="C56" s="2" t="s">
        <v>795</v>
      </c>
      <c r="D56" t="s">
        <v>6162</v>
      </c>
      <c r="E56" s="2">
        <v>5</v>
      </c>
      <c r="F56" s="2" t="str">
        <f>_xlfn.XLOOKUP(C56,customers!$A$2:$A$1001,customers!$B$2:$B$1001,,0)</f>
        <v>Archambault Gillard</v>
      </c>
      <c r="G56" s="2" t="str">
        <f>_xlfn.XLOOKUP(C56,customers!$A$2:$A$1001,customers!$G$2:$G$1001,,0)</f>
        <v>United States</v>
      </c>
      <c r="H56" t="str">
        <f>INDEX(products!$A$1:$G$49,MATCH(orders!$D56,products!$A$1:$A$49,0),MATCH(orders!H$1,products!$A$1:$G$1,0))</f>
        <v>Lib</v>
      </c>
      <c r="I56" t="str">
        <f>INDEX(products!$A$1:$G$49,MATCH(orders!$D56,products!$A$1:$A$49,0),MATCH(orders!I$1,products!$A$1:$G$1,0))</f>
        <v>M</v>
      </c>
      <c r="J56" s="5">
        <f>INDEX(products!$A$1:$G$49,MATCH(orders!$D56,products!$A$1:$A$49,0),MATCH(orders!J$1,products!$A$1:$G$1,0))</f>
        <v>1</v>
      </c>
      <c r="K56" s="6">
        <f>INDEX(products!$A$1:$G$49,MATCH(orders!$D56,products!$A$1:$A$49,0),MATCH(orders!K$1,products!$A$1:$G$1,0))</f>
        <v>14.55</v>
      </c>
      <c r="L56" s="6">
        <f>K56*E56</f>
        <v>72.75</v>
      </c>
      <c r="M56" t="str" cm="1">
        <f t="array" ref="M56">_xlfn.IFS(H56="Rob","Robusta",H56="Exc","Excelsa",H56="Ara","Arabica",H56="Lib","Liberica")</f>
        <v>Liberica</v>
      </c>
      <c r="N56" t="str" cm="1">
        <f t="array" ref="N56">_xlfn.IFS(I56="M","Medium",I56="L","Light",I56="D","Dark")</f>
        <v>Medium</v>
      </c>
      <c r="O56" t="str">
        <f>_xlfn.XLOOKUP(Orders[[#This Row],[Customer ID]],customers!$A$2:$A$1001,customers!$I$2:$I$1001,,0)</f>
        <v>No</v>
      </c>
    </row>
    <row r="57" spans="1:15" x14ac:dyDescent="0.3">
      <c r="A57" s="2" t="s">
        <v>800</v>
      </c>
      <c r="B57" s="3">
        <v>44168</v>
      </c>
      <c r="C57" s="2" t="s">
        <v>801</v>
      </c>
      <c r="D57" t="s">
        <v>6170</v>
      </c>
      <c r="E57" s="2">
        <v>3</v>
      </c>
      <c r="F57" s="2" t="str">
        <f>_xlfn.XLOOKUP(C57,customers!$A$2:$A$1001,customers!$B$2:$B$1001,,0)</f>
        <v>Salomo Cushworth</v>
      </c>
      <c r="G57" s="2" t="str">
        <f>_xlfn.XLOOKUP(C57,customers!$A$2:$A$1001,customers!$G$2:$G$1001,,0)</f>
        <v>United States</v>
      </c>
      <c r="H57" t="str">
        <f>INDEX(products!$A$1:$G$49,MATCH(orders!$D57,products!$A$1:$A$49,0),MATCH(orders!H$1,products!$A$1:$G$1,0))</f>
        <v>Lib</v>
      </c>
      <c r="I57" t="str">
        <f>INDEX(products!$A$1:$G$49,MATCH(orders!$D57,products!$A$1:$A$49,0),MATCH(orders!I$1,products!$A$1:$G$1,0))</f>
        <v>L</v>
      </c>
      <c r="J57" s="5">
        <f>INDEX(products!$A$1:$G$49,MATCH(orders!$D57,products!$A$1:$A$49,0),MATCH(orders!J$1,products!$A$1:$G$1,0))</f>
        <v>1</v>
      </c>
      <c r="K57" s="6">
        <f>INDEX(products!$A$1:$G$49,MATCH(orders!$D57,products!$A$1:$A$49,0),MATCH(orders!K$1,products!$A$1:$G$1,0))</f>
        <v>15.85</v>
      </c>
      <c r="L57" s="6">
        <f>K57*E57</f>
        <v>47.55</v>
      </c>
      <c r="M57" t="str" cm="1">
        <f t="array" ref="M57">_xlfn.IFS(H57="Rob","Robusta",H57="Exc","Excelsa",H57="Ara","Arabica",H57="Lib","Liberica")</f>
        <v>Liberica</v>
      </c>
      <c r="N57" t="str" cm="1">
        <f t="array" ref="N57">_xlfn.IFS(I57="M","Medium",I57="L","Light",I57="D","Dark")</f>
        <v>Light</v>
      </c>
      <c r="O57" t="str">
        <f>_xlfn.XLOOKUP(Orders[[#This Row],[Customer ID]],customers!$A$2:$A$1001,customers!$I$2:$I$1001,,0)</f>
        <v>No</v>
      </c>
    </row>
    <row r="58" spans="1:15" x14ac:dyDescent="0.3">
      <c r="A58" s="2" t="s">
        <v>805</v>
      </c>
      <c r="B58" s="3">
        <v>43857</v>
      </c>
      <c r="C58" s="2" t="s">
        <v>806</v>
      </c>
      <c r="D58" t="s">
        <v>6153</v>
      </c>
      <c r="E58" s="2">
        <v>3</v>
      </c>
      <c r="F58" s="2" t="str">
        <f>_xlfn.XLOOKUP(C58,customers!$A$2:$A$1001,customers!$B$2:$B$1001,,0)</f>
        <v>Theda Grizard</v>
      </c>
      <c r="G58" s="2" t="str">
        <f>_xlfn.XLOOKUP(C58,customers!$A$2:$A$1001,customers!$G$2:$G$1001,,0)</f>
        <v>United States</v>
      </c>
      <c r="H58" t="str">
        <f>INDEX(products!$A$1:$G$49,MATCH(orders!$D58,products!$A$1:$A$49,0),MATCH(orders!H$1,products!$A$1:$G$1,0))</f>
        <v>Exc</v>
      </c>
      <c r="I58" t="str">
        <f>INDEX(products!$A$1:$G$49,MATCH(orders!$D58,products!$A$1:$A$49,0),MATCH(orders!I$1,products!$A$1:$G$1,0))</f>
        <v>D</v>
      </c>
      <c r="J58" s="5">
        <f>INDEX(products!$A$1:$G$49,MATCH(orders!$D58,products!$A$1:$A$49,0),MATCH(orders!J$1,products!$A$1:$G$1,0))</f>
        <v>0.2</v>
      </c>
      <c r="K58" s="6">
        <f>INDEX(products!$A$1:$G$49,MATCH(orders!$D58,products!$A$1:$A$49,0),MATCH(orders!K$1,products!$A$1:$G$1,0))</f>
        <v>3.645</v>
      </c>
      <c r="L58" s="6">
        <f>K58*E58</f>
        <v>10.935</v>
      </c>
      <c r="M58" t="str" cm="1">
        <f t="array" ref="M58">_xlfn.IFS(H58="Rob","Robusta",H58="Exc","Excelsa",H58="Ara","Arabica",H58="Lib","Liberica")</f>
        <v>Excelsa</v>
      </c>
      <c r="N58" t="str" cm="1">
        <f t="array" ref="N58">_xlfn.IFS(I58="M","Medium",I58="L","Light",I58="D","Dark")</f>
        <v>Dark</v>
      </c>
      <c r="O58" t="str">
        <f>_xlfn.XLOOKUP(Orders[[#This Row],[Customer ID]],customers!$A$2:$A$1001,customers!$I$2:$I$1001,,0)</f>
        <v>Yes</v>
      </c>
    </row>
    <row r="59" spans="1:15" x14ac:dyDescent="0.3">
      <c r="A59" s="2" t="s">
        <v>811</v>
      </c>
      <c r="B59" s="3">
        <v>44759</v>
      </c>
      <c r="C59" s="2" t="s">
        <v>812</v>
      </c>
      <c r="D59" t="s">
        <v>6171</v>
      </c>
      <c r="E59" s="2">
        <v>4</v>
      </c>
      <c r="F59" s="2" t="str">
        <f>_xlfn.XLOOKUP(C59,customers!$A$2:$A$1001,customers!$B$2:$B$1001,,0)</f>
        <v>Rozele Relton</v>
      </c>
      <c r="G59" s="2" t="str">
        <f>_xlfn.XLOOKUP(C59,customers!$A$2:$A$1001,customers!$G$2:$G$1001,,0)</f>
        <v>United States</v>
      </c>
      <c r="H59" t="str">
        <f>INDEX(products!$A$1:$G$49,MATCH(orders!$D59,products!$A$1:$A$49,0),MATCH(orders!H$1,products!$A$1:$G$1,0))</f>
        <v>Exc</v>
      </c>
      <c r="I59" t="str">
        <f>INDEX(products!$A$1:$G$49,MATCH(orders!$D59,products!$A$1:$A$49,0),MATCH(orders!I$1,products!$A$1:$G$1,0))</f>
        <v>L</v>
      </c>
      <c r="J59" s="5">
        <f>INDEX(products!$A$1:$G$49,MATCH(orders!$D59,products!$A$1:$A$49,0),MATCH(orders!J$1,products!$A$1:$G$1,0))</f>
        <v>1</v>
      </c>
      <c r="K59" s="6">
        <f>INDEX(products!$A$1:$G$49,MATCH(orders!$D59,products!$A$1:$A$49,0),MATCH(orders!K$1,products!$A$1:$G$1,0))</f>
        <v>14.85</v>
      </c>
      <c r="L59" s="6">
        <f>K59*E59</f>
        <v>59.4</v>
      </c>
      <c r="M59" t="str" cm="1">
        <f t="array" ref="M59">_xlfn.IFS(H59="Rob","Robusta",H59="Exc","Excelsa",H59="Ara","Arabica",H59="Lib","Liberica")</f>
        <v>Excelsa</v>
      </c>
      <c r="N59" t="str" cm="1">
        <f t="array" ref="N59">_xlfn.IFS(I59="M","Medium",I59="L","Light",I59="D","Dark")</f>
        <v>Light</v>
      </c>
      <c r="O59" t="str">
        <f>_xlfn.XLOOKUP(Orders[[#This Row],[Customer ID]],customers!$A$2:$A$1001,customers!$I$2:$I$1001,,0)</f>
        <v>No</v>
      </c>
    </row>
    <row r="60" spans="1:15" x14ac:dyDescent="0.3">
      <c r="A60" s="2" t="s">
        <v>817</v>
      </c>
      <c r="B60" s="3">
        <v>44624</v>
      </c>
      <c r="C60" s="2" t="s">
        <v>818</v>
      </c>
      <c r="D60" t="s">
        <v>6165</v>
      </c>
      <c r="E60" s="2">
        <v>3</v>
      </c>
      <c r="F60" s="2" t="str">
        <f>_xlfn.XLOOKUP(C60,customers!$A$2:$A$1001,customers!$B$2:$B$1001,,0)</f>
        <v>Willa Rolling</v>
      </c>
      <c r="G60" s="2" t="str">
        <f>_xlfn.XLOOKUP(C60,customers!$A$2:$A$1001,customers!$G$2:$G$1001,,0)</f>
        <v>United States</v>
      </c>
      <c r="H60" t="str">
        <f>INDEX(products!$A$1:$G$49,MATCH(orders!$D60,products!$A$1:$A$49,0),MATCH(orders!H$1,products!$A$1:$G$1,0))</f>
        <v>Lib</v>
      </c>
      <c r="I60" t="str">
        <f>INDEX(products!$A$1:$G$49,MATCH(orders!$D60,products!$A$1:$A$49,0),MATCH(orders!I$1,products!$A$1:$G$1,0))</f>
        <v>D</v>
      </c>
      <c r="J60" s="5">
        <f>INDEX(products!$A$1:$G$49,MATCH(orders!$D60,products!$A$1:$A$49,0),MATCH(orders!J$1,products!$A$1:$G$1,0))</f>
        <v>2.5</v>
      </c>
      <c r="K60" s="6">
        <f>INDEX(products!$A$1:$G$49,MATCH(orders!$D60,products!$A$1:$A$49,0),MATCH(orders!K$1,products!$A$1:$G$1,0))</f>
        <v>29.784999999999997</v>
      </c>
      <c r="L60" s="6">
        <f>K60*E60</f>
        <v>89.35499999999999</v>
      </c>
      <c r="M60" t="str" cm="1">
        <f t="array" ref="M60">_xlfn.IFS(H60="Rob","Robusta",H60="Exc","Excelsa",H60="Ara","Arabica",H60="Lib","Liberica")</f>
        <v>Liberica</v>
      </c>
      <c r="N60" t="str" cm="1">
        <f t="array" ref="N60">_xlfn.IFS(I60="M","Medium",I60="L","Light",I60="D","Dark")</f>
        <v>Dark</v>
      </c>
      <c r="O60" t="str">
        <f>_xlfn.XLOOKUP(Orders[[#This Row],[Customer ID]],customers!$A$2:$A$1001,customers!$I$2:$I$1001,,0)</f>
        <v>Yes</v>
      </c>
    </row>
    <row r="61" spans="1:15" x14ac:dyDescent="0.3">
      <c r="A61" s="2" t="s">
        <v>822</v>
      </c>
      <c r="B61" s="3">
        <v>44537</v>
      </c>
      <c r="C61" s="2" t="s">
        <v>823</v>
      </c>
      <c r="D61" t="s">
        <v>6160</v>
      </c>
      <c r="E61" s="2">
        <v>3</v>
      </c>
      <c r="F61" s="2" t="str">
        <f>_xlfn.XLOOKUP(C61,customers!$A$2:$A$1001,customers!$B$2:$B$1001,,0)</f>
        <v>Stanislaus Gilroy</v>
      </c>
      <c r="G61" s="2" t="str">
        <f>_xlfn.XLOOKUP(C61,customers!$A$2:$A$1001,customers!$G$2:$G$1001,,0)</f>
        <v>United States</v>
      </c>
      <c r="H61" t="str">
        <f>INDEX(products!$A$1:$G$49,MATCH(orders!$D61,products!$A$1:$A$49,0),MATCH(orders!H$1,products!$A$1:$G$1,0))</f>
        <v>Lib</v>
      </c>
      <c r="I61" t="str">
        <f>INDEX(products!$A$1:$G$49,MATCH(orders!$D61,products!$A$1:$A$49,0),MATCH(orders!I$1,products!$A$1:$G$1,0))</f>
        <v>M</v>
      </c>
      <c r="J61" s="5">
        <f>INDEX(products!$A$1:$G$49,MATCH(orders!$D61,products!$A$1:$A$49,0),MATCH(orders!J$1,products!$A$1:$G$1,0))</f>
        <v>0.5</v>
      </c>
      <c r="K61" s="6">
        <f>INDEX(products!$A$1:$G$49,MATCH(orders!$D61,products!$A$1:$A$49,0),MATCH(orders!K$1,products!$A$1:$G$1,0))</f>
        <v>8.73</v>
      </c>
      <c r="L61" s="6">
        <f>K61*E61</f>
        <v>26.19</v>
      </c>
      <c r="M61" t="str" cm="1">
        <f t="array" ref="M61">_xlfn.IFS(H61="Rob","Robusta",H61="Exc","Excelsa",H61="Ara","Arabica",H61="Lib","Liberica")</f>
        <v>Liberica</v>
      </c>
      <c r="N61" t="str" cm="1">
        <f t="array" ref="N61">_xlfn.IFS(I61="M","Medium",I61="L","Light",I61="D","Dark")</f>
        <v>Medium</v>
      </c>
      <c r="O61" t="str">
        <f>_xlfn.XLOOKUP(Orders[[#This Row],[Customer ID]],customers!$A$2:$A$1001,customers!$I$2:$I$1001,,0)</f>
        <v>Yes</v>
      </c>
    </row>
    <row r="62" spans="1:15" x14ac:dyDescent="0.3">
      <c r="A62" s="2" t="s">
        <v>827</v>
      </c>
      <c r="B62" s="3">
        <v>44252</v>
      </c>
      <c r="C62" s="2" t="s">
        <v>828</v>
      </c>
      <c r="D62" t="s">
        <v>6168</v>
      </c>
      <c r="E62" s="2">
        <v>5</v>
      </c>
      <c r="F62" s="2" t="str">
        <f>_xlfn.XLOOKUP(C62,customers!$A$2:$A$1001,customers!$B$2:$B$1001,,0)</f>
        <v>Correy Cottingham</v>
      </c>
      <c r="G62" s="2" t="str">
        <f>_xlfn.XLOOKUP(C62,customers!$A$2:$A$1001,customers!$G$2:$G$1001,,0)</f>
        <v>United States</v>
      </c>
      <c r="H62" t="str">
        <f>INDEX(products!$A$1:$G$49,MATCH(orders!$D62,products!$A$1:$A$49,0),MATCH(orders!H$1,products!$A$1:$G$1,0))</f>
        <v>Ara</v>
      </c>
      <c r="I62" t="str">
        <f>INDEX(products!$A$1:$G$49,MATCH(orders!$D62,products!$A$1:$A$49,0),MATCH(orders!I$1,products!$A$1:$G$1,0))</f>
        <v>D</v>
      </c>
      <c r="J62" s="5">
        <f>INDEX(products!$A$1:$G$49,MATCH(orders!$D62,products!$A$1:$A$49,0),MATCH(orders!J$1,products!$A$1:$G$1,0))</f>
        <v>2.5</v>
      </c>
      <c r="K62" s="6">
        <f>INDEX(products!$A$1:$G$49,MATCH(orders!$D62,products!$A$1:$A$49,0),MATCH(orders!K$1,products!$A$1:$G$1,0))</f>
        <v>22.884999999999998</v>
      </c>
      <c r="L62" s="6">
        <f>K62*E62</f>
        <v>114.42499999999998</v>
      </c>
      <c r="M62" t="str" cm="1">
        <f t="array" ref="M62">_xlfn.IFS(H62="Rob","Robusta",H62="Exc","Excelsa",H62="Ara","Arabica",H62="Lib","Liberica")</f>
        <v>Arabica</v>
      </c>
      <c r="N62" t="str" cm="1">
        <f t="array" ref="N62">_xlfn.IFS(I62="M","Medium",I62="L","Light",I62="D","Dark")</f>
        <v>Dark</v>
      </c>
      <c r="O62" t="str">
        <f>_xlfn.XLOOKUP(Orders[[#This Row],[Customer ID]],customers!$A$2:$A$1001,customers!$I$2:$I$1001,,0)</f>
        <v>No</v>
      </c>
    </row>
    <row r="63" spans="1:15" x14ac:dyDescent="0.3">
      <c r="A63" s="2" t="s">
        <v>833</v>
      </c>
      <c r="B63" s="3">
        <v>43521</v>
      </c>
      <c r="C63" s="2" t="s">
        <v>834</v>
      </c>
      <c r="D63" t="s">
        <v>6172</v>
      </c>
      <c r="E63" s="2">
        <v>5</v>
      </c>
      <c r="F63" s="2" t="str">
        <f>_xlfn.XLOOKUP(C63,customers!$A$2:$A$1001,customers!$B$2:$B$1001,,0)</f>
        <v>Pammi Endacott</v>
      </c>
      <c r="G63" s="2" t="str">
        <f>_xlfn.XLOOKUP(C63,customers!$A$2:$A$1001,customers!$G$2:$G$1001,,0)</f>
        <v>United Kingdom</v>
      </c>
      <c r="H63" t="str">
        <f>INDEX(products!$A$1:$G$49,MATCH(orders!$D63,products!$A$1:$A$49,0),MATCH(orders!H$1,products!$A$1:$G$1,0))</f>
        <v>Rob</v>
      </c>
      <c r="I63" t="str">
        <f>INDEX(products!$A$1:$G$49,MATCH(orders!$D63,products!$A$1:$A$49,0),MATCH(orders!I$1,products!$A$1:$G$1,0))</f>
        <v>D</v>
      </c>
      <c r="J63" s="5">
        <f>INDEX(products!$A$1:$G$49,MATCH(orders!$D63,products!$A$1:$A$49,0),MATCH(orders!J$1,products!$A$1:$G$1,0))</f>
        <v>0.5</v>
      </c>
      <c r="K63" s="6">
        <f>INDEX(products!$A$1:$G$49,MATCH(orders!$D63,products!$A$1:$A$49,0),MATCH(orders!K$1,products!$A$1:$G$1,0))</f>
        <v>5.3699999999999992</v>
      </c>
      <c r="L63" s="6">
        <f>K63*E63</f>
        <v>26.849999999999994</v>
      </c>
      <c r="M63" t="str" cm="1">
        <f t="array" ref="M63">_xlfn.IFS(H63="Rob","Robusta",H63="Exc","Excelsa",H63="Ara","Arabica",H63="Lib","Liberica")</f>
        <v>Robusta</v>
      </c>
      <c r="N63" t="str" cm="1">
        <f t="array" ref="N63">_xlfn.IFS(I63="M","Medium",I63="L","Light",I63="D","Dark")</f>
        <v>Dark</v>
      </c>
      <c r="O63" t="str">
        <f>_xlfn.XLOOKUP(Orders[[#This Row],[Customer ID]],customers!$A$2:$A$1001,customers!$I$2:$I$1001,,0)</f>
        <v>Yes</v>
      </c>
    </row>
    <row r="64" spans="1:15" x14ac:dyDescent="0.3">
      <c r="A64" s="2" t="s">
        <v>838</v>
      </c>
      <c r="B64" s="3">
        <v>43505</v>
      </c>
      <c r="C64" s="2" t="s">
        <v>839</v>
      </c>
      <c r="D64" t="s">
        <v>6145</v>
      </c>
      <c r="E64" s="2">
        <v>5</v>
      </c>
      <c r="F64" s="2" t="str">
        <f>_xlfn.XLOOKUP(C64,customers!$A$2:$A$1001,customers!$B$2:$B$1001,,0)</f>
        <v>Nona Linklater</v>
      </c>
      <c r="G64" s="2" t="str">
        <f>_xlfn.XLOOKUP(C64,customers!$A$2:$A$1001,customers!$G$2:$G$1001,,0)</f>
        <v>United States</v>
      </c>
      <c r="H64" t="str">
        <f>INDEX(products!$A$1:$G$49,MATCH(orders!$D64,products!$A$1:$A$49,0),MATCH(orders!H$1,products!$A$1:$G$1,0))</f>
        <v>Lib</v>
      </c>
      <c r="I64" t="str">
        <f>INDEX(products!$A$1:$G$49,MATCH(orders!$D64,products!$A$1:$A$49,0),MATCH(orders!I$1,products!$A$1:$G$1,0))</f>
        <v>L</v>
      </c>
      <c r="J64" s="5">
        <f>INDEX(products!$A$1:$G$49,MATCH(orders!$D64,products!$A$1:$A$49,0),MATCH(orders!J$1,products!$A$1:$G$1,0))</f>
        <v>0.2</v>
      </c>
      <c r="K64" s="6">
        <f>INDEX(products!$A$1:$G$49,MATCH(orders!$D64,products!$A$1:$A$49,0),MATCH(orders!K$1,products!$A$1:$G$1,0))</f>
        <v>4.7549999999999999</v>
      </c>
      <c r="L64" s="6">
        <f>K64*E64</f>
        <v>23.774999999999999</v>
      </c>
      <c r="M64" t="str" cm="1">
        <f t="array" ref="M64">_xlfn.IFS(H64="Rob","Robusta",H64="Exc","Excelsa",H64="Ara","Arabica",H64="Lib","Liberica")</f>
        <v>Liberica</v>
      </c>
      <c r="N64" t="str" cm="1">
        <f t="array" ref="N64">_xlfn.IFS(I64="M","Medium",I64="L","Light",I64="D","Dark")</f>
        <v>Light</v>
      </c>
      <c r="O64" t="str">
        <f>_xlfn.XLOOKUP(Orders[[#This Row],[Customer ID]],customers!$A$2:$A$1001,customers!$I$2:$I$1001,,0)</f>
        <v>Yes</v>
      </c>
    </row>
    <row r="65" spans="1:15" x14ac:dyDescent="0.3">
      <c r="A65" s="2" t="s">
        <v>843</v>
      </c>
      <c r="B65" s="3">
        <v>43868</v>
      </c>
      <c r="C65" s="2" t="s">
        <v>844</v>
      </c>
      <c r="D65" t="s">
        <v>6157</v>
      </c>
      <c r="E65" s="2">
        <v>1</v>
      </c>
      <c r="F65" s="2" t="str">
        <f>_xlfn.XLOOKUP(C65,customers!$A$2:$A$1001,customers!$B$2:$B$1001,,0)</f>
        <v>Annadiane Dykes</v>
      </c>
      <c r="G65" s="2" t="str">
        <f>_xlfn.XLOOKUP(C65,customers!$A$2:$A$1001,customers!$G$2:$G$1001,,0)</f>
        <v>United States</v>
      </c>
      <c r="H65" t="str">
        <f>INDEX(products!$A$1:$G$49,MATCH(orders!$D65,products!$A$1:$A$49,0),MATCH(orders!H$1,products!$A$1:$G$1,0))</f>
        <v>Ara</v>
      </c>
      <c r="I65" t="str">
        <f>INDEX(products!$A$1:$G$49,MATCH(orders!$D65,products!$A$1:$A$49,0),MATCH(orders!I$1,products!$A$1:$G$1,0))</f>
        <v>M</v>
      </c>
      <c r="J65" s="5">
        <f>INDEX(products!$A$1:$G$49,MATCH(orders!$D65,products!$A$1:$A$49,0),MATCH(orders!J$1,products!$A$1:$G$1,0))</f>
        <v>0.5</v>
      </c>
      <c r="K65" s="6">
        <f>INDEX(products!$A$1:$G$49,MATCH(orders!$D65,products!$A$1:$A$49,0),MATCH(orders!K$1,products!$A$1:$G$1,0))</f>
        <v>6.75</v>
      </c>
      <c r="L65" s="6">
        <f>K65*E65</f>
        <v>6.75</v>
      </c>
      <c r="M65" t="str" cm="1">
        <f t="array" ref="M65">_xlfn.IFS(H65="Rob","Robusta",H65="Exc","Excelsa",H65="Ara","Arabica",H65="Lib","Liberica")</f>
        <v>Arabica</v>
      </c>
      <c r="N65" t="str" cm="1">
        <f t="array" ref="N65">_xlfn.IFS(I65="M","Medium",I65="L","Light",I65="D","Dark")</f>
        <v>Medium</v>
      </c>
      <c r="O65" t="str">
        <f>_xlfn.XLOOKUP(Orders[[#This Row],[Customer ID]],customers!$A$2:$A$1001,customers!$I$2:$I$1001,,0)</f>
        <v>No</v>
      </c>
    </row>
    <row r="66" spans="1:15" x14ac:dyDescent="0.3">
      <c r="A66" s="2" t="s">
        <v>849</v>
      </c>
      <c r="B66" s="3">
        <v>43913</v>
      </c>
      <c r="C66" s="2" t="s">
        <v>850</v>
      </c>
      <c r="D66" t="s">
        <v>6146</v>
      </c>
      <c r="E66" s="2">
        <v>6</v>
      </c>
      <c r="F66" s="2" t="str">
        <f>_xlfn.XLOOKUP(C66,customers!$A$2:$A$1001,customers!$B$2:$B$1001,,0)</f>
        <v>Felecia Dodgson</v>
      </c>
      <c r="G66" s="2" t="str">
        <f>_xlfn.XLOOKUP(C66,customers!$A$2:$A$1001,customers!$G$2:$G$1001,,0)</f>
        <v>United States</v>
      </c>
      <c r="H66" t="str">
        <f>INDEX(products!$A$1:$G$49,MATCH(orders!$D66,products!$A$1:$A$49,0),MATCH(orders!H$1,products!$A$1:$G$1,0))</f>
        <v>Rob</v>
      </c>
      <c r="I66" t="str">
        <f>INDEX(products!$A$1:$G$49,MATCH(orders!$D66,products!$A$1:$A$49,0),MATCH(orders!I$1,products!$A$1:$G$1,0))</f>
        <v>M</v>
      </c>
      <c r="J66" s="5">
        <f>INDEX(products!$A$1:$G$49,MATCH(orders!$D66,products!$A$1:$A$49,0),MATCH(orders!J$1,products!$A$1:$G$1,0))</f>
        <v>0.5</v>
      </c>
      <c r="K66" s="6">
        <f>INDEX(products!$A$1:$G$49,MATCH(orders!$D66,products!$A$1:$A$49,0),MATCH(orders!K$1,products!$A$1:$G$1,0))</f>
        <v>5.97</v>
      </c>
      <c r="L66" s="6">
        <f>K66*E66</f>
        <v>35.82</v>
      </c>
      <c r="M66" t="str" cm="1">
        <f t="array" ref="M66">_xlfn.IFS(H66="Rob","Robusta",H66="Exc","Excelsa",H66="Ara","Arabica",H66="Lib","Liberica")</f>
        <v>Robusta</v>
      </c>
      <c r="N66" t="str" cm="1">
        <f t="array" ref="N66">_xlfn.IFS(I66="M","Medium",I66="L","Light",I66="D","Dark")</f>
        <v>Medium</v>
      </c>
      <c r="O66" t="str">
        <f>_xlfn.XLOOKUP(Orders[[#This Row],[Customer ID]],customers!$A$2:$A$1001,customers!$I$2:$I$1001,,0)</f>
        <v>Yes</v>
      </c>
    </row>
    <row r="67" spans="1:15" x14ac:dyDescent="0.3">
      <c r="A67" s="2" t="s">
        <v>854</v>
      </c>
      <c r="B67" s="3">
        <v>44626</v>
      </c>
      <c r="C67" s="2" t="s">
        <v>855</v>
      </c>
      <c r="D67" t="s">
        <v>6149</v>
      </c>
      <c r="E67" s="2">
        <v>4</v>
      </c>
      <c r="F67" s="2" t="str">
        <f>_xlfn.XLOOKUP(C67,customers!$A$2:$A$1001,customers!$B$2:$B$1001,,0)</f>
        <v>Angelia Cockrem</v>
      </c>
      <c r="G67" s="2" t="str">
        <f>_xlfn.XLOOKUP(C67,customers!$A$2:$A$1001,customers!$G$2:$G$1001,,0)</f>
        <v>United States</v>
      </c>
      <c r="H67" t="str">
        <f>INDEX(products!$A$1:$G$49,MATCH(orders!$D67,products!$A$1:$A$49,0),MATCH(orders!H$1,products!$A$1:$G$1,0))</f>
        <v>Rob</v>
      </c>
      <c r="I67" t="str">
        <f>INDEX(products!$A$1:$G$49,MATCH(orders!$D67,products!$A$1:$A$49,0),MATCH(orders!I$1,products!$A$1:$G$1,0))</f>
        <v>D</v>
      </c>
      <c r="J67" s="5">
        <f>INDEX(products!$A$1:$G$49,MATCH(orders!$D67,products!$A$1:$A$49,0),MATCH(orders!J$1,products!$A$1:$G$1,0))</f>
        <v>2.5</v>
      </c>
      <c r="K67" s="6">
        <f>INDEX(products!$A$1:$G$49,MATCH(orders!$D67,products!$A$1:$A$49,0),MATCH(orders!K$1,products!$A$1:$G$1,0))</f>
        <v>20.584999999999997</v>
      </c>
      <c r="L67" s="6">
        <f>K67*E67</f>
        <v>82.339999999999989</v>
      </c>
      <c r="M67" t="str" cm="1">
        <f t="array" ref="M67">_xlfn.IFS(H67="Rob","Robusta",H67="Exc","Excelsa",H67="Ara","Arabica",H67="Lib","Liberica")</f>
        <v>Robusta</v>
      </c>
      <c r="N67" t="str" cm="1">
        <f t="array" ref="N67">_xlfn.IFS(I67="M","Medium",I67="L","Light",I67="D","Dark")</f>
        <v>Dark</v>
      </c>
      <c r="O67" t="str">
        <f>_xlfn.XLOOKUP(Orders[[#This Row],[Customer ID]],customers!$A$2:$A$1001,customers!$I$2:$I$1001,,0)</f>
        <v>Yes</v>
      </c>
    </row>
    <row r="68" spans="1:15" x14ac:dyDescent="0.3">
      <c r="A68" s="2" t="s">
        <v>860</v>
      </c>
      <c r="B68" s="3">
        <v>44666</v>
      </c>
      <c r="C68" s="2" t="s">
        <v>861</v>
      </c>
      <c r="D68" t="s">
        <v>6173</v>
      </c>
      <c r="E68" s="2">
        <v>1</v>
      </c>
      <c r="F68" s="2" t="str">
        <f>_xlfn.XLOOKUP(C68,customers!$A$2:$A$1001,customers!$B$2:$B$1001,,0)</f>
        <v>Belvia Umpleby</v>
      </c>
      <c r="G68" s="2" t="str">
        <f>_xlfn.XLOOKUP(C68,customers!$A$2:$A$1001,customers!$G$2:$G$1001,,0)</f>
        <v>United States</v>
      </c>
      <c r="H68" t="str">
        <f>INDEX(products!$A$1:$G$49,MATCH(orders!$D68,products!$A$1:$A$49,0),MATCH(orders!H$1,products!$A$1:$G$1,0))</f>
        <v>Rob</v>
      </c>
      <c r="I68" t="str">
        <f>INDEX(products!$A$1:$G$49,MATCH(orders!$D68,products!$A$1:$A$49,0),MATCH(orders!I$1,products!$A$1:$G$1,0))</f>
        <v>L</v>
      </c>
      <c r="J68" s="5">
        <f>INDEX(products!$A$1:$G$49,MATCH(orders!$D68,products!$A$1:$A$49,0),MATCH(orders!J$1,products!$A$1:$G$1,0))</f>
        <v>0.5</v>
      </c>
      <c r="K68" s="6">
        <f>INDEX(products!$A$1:$G$49,MATCH(orders!$D68,products!$A$1:$A$49,0),MATCH(orders!K$1,products!$A$1:$G$1,0))</f>
        <v>7.169999999999999</v>
      </c>
      <c r="L68" s="6">
        <f>K68*E68</f>
        <v>7.169999999999999</v>
      </c>
      <c r="M68" t="str" cm="1">
        <f t="array" ref="M68">_xlfn.IFS(H68="Rob","Robusta",H68="Exc","Excelsa",H68="Ara","Arabica",H68="Lib","Liberica")</f>
        <v>Robusta</v>
      </c>
      <c r="N68" t="str" cm="1">
        <f t="array" ref="N68">_xlfn.IFS(I68="M","Medium",I68="L","Light",I68="D","Dark")</f>
        <v>Light</v>
      </c>
      <c r="O68" t="str">
        <f>_xlfn.XLOOKUP(Orders[[#This Row],[Customer ID]],customers!$A$2:$A$1001,customers!$I$2:$I$1001,,0)</f>
        <v>Yes</v>
      </c>
    </row>
    <row r="69" spans="1:15" x14ac:dyDescent="0.3">
      <c r="A69" s="2" t="s">
        <v>866</v>
      </c>
      <c r="B69" s="3">
        <v>44519</v>
      </c>
      <c r="C69" s="2" t="s">
        <v>867</v>
      </c>
      <c r="D69" t="s">
        <v>6145</v>
      </c>
      <c r="E69" s="2">
        <v>2</v>
      </c>
      <c r="F69" s="2" t="str">
        <f>_xlfn.XLOOKUP(C69,customers!$A$2:$A$1001,customers!$B$2:$B$1001,,0)</f>
        <v>Nat Saleway</v>
      </c>
      <c r="G69" s="2" t="str">
        <f>_xlfn.XLOOKUP(C69,customers!$A$2:$A$1001,customers!$G$2:$G$1001,,0)</f>
        <v>United States</v>
      </c>
      <c r="H69" t="str">
        <f>INDEX(products!$A$1:$G$49,MATCH(orders!$D69,products!$A$1:$A$49,0),MATCH(orders!H$1,products!$A$1:$G$1,0))</f>
        <v>Lib</v>
      </c>
      <c r="I69" t="str">
        <f>INDEX(products!$A$1:$G$49,MATCH(orders!$D69,products!$A$1:$A$49,0),MATCH(orders!I$1,products!$A$1:$G$1,0))</f>
        <v>L</v>
      </c>
      <c r="J69" s="5">
        <f>INDEX(products!$A$1:$G$49,MATCH(orders!$D69,products!$A$1:$A$49,0),MATCH(orders!J$1,products!$A$1:$G$1,0))</f>
        <v>0.2</v>
      </c>
      <c r="K69" s="6">
        <f>INDEX(products!$A$1:$G$49,MATCH(orders!$D69,products!$A$1:$A$49,0),MATCH(orders!K$1,products!$A$1:$G$1,0))</f>
        <v>4.7549999999999999</v>
      </c>
      <c r="L69" s="6">
        <f>K69*E69</f>
        <v>9.51</v>
      </c>
      <c r="M69" t="str" cm="1">
        <f t="array" ref="M69">_xlfn.IFS(H69="Rob","Robusta",H69="Exc","Excelsa",H69="Ara","Arabica",H69="Lib","Liberica")</f>
        <v>Liberica</v>
      </c>
      <c r="N69" t="str" cm="1">
        <f t="array" ref="N69">_xlfn.IFS(I69="M","Medium",I69="L","Light",I69="D","Dark")</f>
        <v>Light</v>
      </c>
      <c r="O69" t="str">
        <f>_xlfn.XLOOKUP(Orders[[#This Row],[Customer ID]],customers!$A$2:$A$1001,customers!$I$2:$I$1001,,0)</f>
        <v>No</v>
      </c>
    </row>
    <row r="70" spans="1:15" x14ac:dyDescent="0.3">
      <c r="A70" s="2" t="s">
        <v>872</v>
      </c>
      <c r="B70" s="3">
        <v>43754</v>
      </c>
      <c r="C70" s="2" t="s">
        <v>873</v>
      </c>
      <c r="D70" t="s">
        <v>6174</v>
      </c>
      <c r="E70" s="2">
        <v>1</v>
      </c>
      <c r="F70" s="2" t="str">
        <f>_xlfn.XLOOKUP(C70,customers!$A$2:$A$1001,customers!$B$2:$B$1001,,0)</f>
        <v>Hayward Goulter</v>
      </c>
      <c r="G70" s="2" t="str">
        <f>_xlfn.XLOOKUP(C70,customers!$A$2:$A$1001,customers!$G$2:$G$1001,,0)</f>
        <v>United States</v>
      </c>
      <c r="H70" t="str">
        <f>INDEX(products!$A$1:$G$49,MATCH(orders!$D70,products!$A$1:$A$49,0),MATCH(orders!H$1,products!$A$1:$G$1,0))</f>
        <v>Rob</v>
      </c>
      <c r="I70" t="str">
        <f>INDEX(products!$A$1:$G$49,MATCH(orders!$D70,products!$A$1:$A$49,0),MATCH(orders!I$1,products!$A$1:$G$1,0))</f>
        <v>M</v>
      </c>
      <c r="J70" s="5">
        <f>INDEX(products!$A$1:$G$49,MATCH(orders!$D70,products!$A$1:$A$49,0),MATCH(orders!J$1,products!$A$1:$G$1,0))</f>
        <v>0.2</v>
      </c>
      <c r="K70" s="6">
        <f>INDEX(products!$A$1:$G$49,MATCH(orders!$D70,products!$A$1:$A$49,0),MATCH(orders!K$1,products!$A$1:$G$1,0))</f>
        <v>2.9849999999999999</v>
      </c>
      <c r="L70" s="6">
        <f>K70*E70</f>
        <v>2.9849999999999999</v>
      </c>
      <c r="M70" t="str" cm="1">
        <f t="array" ref="M70">_xlfn.IFS(H70="Rob","Robusta",H70="Exc","Excelsa",H70="Ara","Arabica",H70="Lib","Liberica")</f>
        <v>Robusta</v>
      </c>
      <c r="N70" t="str" cm="1">
        <f t="array" ref="N70">_xlfn.IFS(I70="M","Medium",I70="L","Light",I70="D","Dark")</f>
        <v>Medium</v>
      </c>
      <c r="O70" t="str">
        <f>_xlfn.XLOOKUP(Orders[[#This Row],[Customer ID]],customers!$A$2:$A$1001,customers!$I$2:$I$1001,,0)</f>
        <v>No</v>
      </c>
    </row>
    <row r="71" spans="1:15" x14ac:dyDescent="0.3">
      <c r="A71" s="2" t="s">
        <v>878</v>
      </c>
      <c r="B71" s="3">
        <v>43795</v>
      </c>
      <c r="C71" s="2" t="s">
        <v>879</v>
      </c>
      <c r="D71" t="s">
        <v>6138</v>
      </c>
      <c r="E71" s="2">
        <v>6</v>
      </c>
      <c r="F71" s="2" t="str">
        <f>_xlfn.XLOOKUP(C71,customers!$A$2:$A$1001,customers!$B$2:$B$1001,,0)</f>
        <v>Gay Rizzello</v>
      </c>
      <c r="G71" s="2" t="str">
        <f>_xlfn.XLOOKUP(C71,customers!$A$2:$A$1001,customers!$G$2:$G$1001,,0)</f>
        <v>United Kingdom</v>
      </c>
      <c r="H71" t="str">
        <f>INDEX(products!$A$1:$G$49,MATCH(orders!$D71,products!$A$1:$A$49,0),MATCH(orders!H$1,products!$A$1:$G$1,0))</f>
        <v>Rob</v>
      </c>
      <c r="I71" t="str">
        <f>INDEX(products!$A$1:$G$49,MATCH(orders!$D71,products!$A$1:$A$49,0),MATCH(orders!I$1,products!$A$1:$G$1,0))</f>
        <v>M</v>
      </c>
      <c r="J71" s="5">
        <f>INDEX(products!$A$1:$G$49,MATCH(orders!$D71,products!$A$1:$A$49,0),MATCH(orders!J$1,products!$A$1:$G$1,0))</f>
        <v>1</v>
      </c>
      <c r="K71" s="6">
        <f>INDEX(products!$A$1:$G$49,MATCH(orders!$D71,products!$A$1:$A$49,0),MATCH(orders!K$1,products!$A$1:$G$1,0))</f>
        <v>9.9499999999999993</v>
      </c>
      <c r="L71" s="6">
        <f>K71*E71</f>
        <v>59.699999999999996</v>
      </c>
      <c r="M71" t="str" cm="1">
        <f t="array" ref="M71">_xlfn.IFS(H71="Rob","Robusta",H71="Exc","Excelsa",H71="Ara","Arabica",H71="Lib","Liberica")</f>
        <v>Robusta</v>
      </c>
      <c r="N71" t="str" cm="1">
        <f t="array" ref="N71">_xlfn.IFS(I71="M","Medium",I71="L","Light",I71="D","Dark")</f>
        <v>Medium</v>
      </c>
      <c r="O71" t="str">
        <f>_xlfn.XLOOKUP(Orders[[#This Row],[Customer ID]],customers!$A$2:$A$1001,customers!$I$2:$I$1001,,0)</f>
        <v>Yes</v>
      </c>
    </row>
    <row r="72" spans="1:15" x14ac:dyDescent="0.3">
      <c r="A72" s="2" t="s">
        <v>885</v>
      </c>
      <c r="B72" s="3">
        <v>43646</v>
      </c>
      <c r="C72" s="2" t="s">
        <v>886</v>
      </c>
      <c r="D72" t="s">
        <v>6148</v>
      </c>
      <c r="E72" s="2">
        <v>4</v>
      </c>
      <c r="F72" s="2" t="str">
        <f>_xlfn.XLOOKUP(C72,customers!$A$2:$A$1001,customers!$B$2:$B$1001,,0)</f>
        <v>Shannon List</v>
      </c>
      <c r="G72" s="2" t="str">
        <f>_xlfn.XLOOKUP(C72,customers!$A$2:$A$1001,customers!$G$2:$G$1001,,0)</f>
        <v>United States</v>
      </c>
      <c r="H72" t="str">
        <f>INDEX(products!$A$1:$G$49,MATCH(orders!$D72,products!$A$1:$A$49,0),MATCH(orders!H$1,products!$A$1:$G$1,0))</f>
        <v>Exc</v>
      </c>
      <c r="I72" t="str">
        <f>INDEX(products!$A$1:$G$49,MATCH(orders!$D72,products!$A$1:$A$49,0),MATCH(orders!I$1,products!$A$1:$G$1,0))</f>
        <v>L</v>
      </c>
      <c r="J72" s="5">
        <f>INDEX(products!$A$1:$G$49,MATCH(orders!$D72,products!$A$1:$A$49,0),MATCH(orders!J$1,products!$A$1:$G$1,0))</f>
        <v>2.5</v>
      </c>
      <c r="K72" s="6">
        <f>INDEX(products!$A$1:$G$49,MATCH(orders!$D72,products!$A$1:$A$49,0),MATCH(orders!K$1,products!$A$1:$G$1,0))</f>
        <v>34.154999999999994</v>
      </c>
      <c r="L72" s="6">
        <f>K72*E72</f>
        <v>136.61999999999998</v>
      </c>
      <c r="M72" t="str" cm="1">
        <f t="array" ref="M72">_xlfn.IFS(H72="Rob","Robusta",H72="Exc","Excelsa",H72="Ara","Arabica",H72="Lib","Liberica")</f>
        <v>Excelsa</v>
      </c>
      <c r="N72" t="str" cm="1">
        <f t="array" ref="N72">_xlfn.IFS(I72="M","Medium",I72="L","Light",I72="D","Dark")</f>
        <v>Light</v>
      </c>
      <c r="O72" t="str">
        <f>_xlfn.XLOOKUP(Orders[[#This Row],[Customer ID]],customers!$A$2:$A$1001,customers!$I$2:$I$1001,,0)</f>
        <v>No</v>
      </c>
    </row>
    <row r="73" spans="1:15" x14ac:dyDescent="0.3">
      <c r="A73" s="2" t="s">
        <v>891</v>
      </c>
      <c r="B73" s="3">
        <v>44200</v>
      </c>
      <c r="C73" s="2" t="s">
        <v>892</v>
      </c>
      <c r="D73" t="s">
        <v>6145</v>
      </c>
      <c r="E73" s="2">
        <v>2</v>
      </c>
      <c r="F73" s="2" t="str">
        <f>_xlfn.XLOOKUP(C73,customers!$A$2:$A$1001,customers!$B$2:$B$1001,,0)</f>
        <v>Shirlene Edmondson</v>
      </c>
      <c r="G73" s="2" t="str">
        <f>_xlfn.XLOOKUP(C73,customers!$A$2:$A$1001,customers!$G$2:$G$1001,,0)</f>
        <v>Ireland</v>
      </c>
      <c r="H73" t="str">
        <f>INDEX(products!$A$1:$G$49,MATCH(orders!$D73,products!$A$1:$A$49,0),MATCH(orders!H$1,products!$A$1:$G$1,0))</f>
        <v>Lib</v>
      </c>
      <c r="I73" t="str">
        <f>INDEX(products!$A$1:$G$49,MATCH(orders!$D73,products!$A$1:$A$49,0),MATCH(orders!I$1,products!$A$1:$G$1,0))</f>
        <v>L</v>
      </c>
      <c r="J73" s="5">
        <f>INDEX(products!$A$1:$G$49,MATCH(orders!$D73,products!$A$1:$A$49,0),MATCH(orders!J$1,products!$A$1:$G$1,0))</f>
        <v>0.2</v>
      </c>
      <c r="K73" s="6">
        <f>INDEX(products!$A$1:$G$49,MATCH(orders!$D73,products!$A$1:$A$49,0),MATCH(orders!K$1,products!$A$1:$G$1,0))</f>
        <v>4.7549999999999999</v>
      </c>
      <c r="L73" s="6">
        <f>K73*E73</f>
        <v>9.51</v>
      </c>
      <c r="M73" t="str" cm="1">
        <f t="array" ref="M73">_xlfn.IFS(H73="Rob","Robusta",H73="Exc","Excelsa",H73="Ara","Arabica",H73="Lib","Liberica")</f>
        <v>Liberica</v>
      </c>
      <c r="N73" t="str" cm="1">
        <f t="array" ref="N73">_xlfn.IFS(I73="M","Medium",I73="L","Light",I73="D","Dark")</f>
        <v>Light</v>
      </c>
      <c r="O73" t="str">
        <f>_xlfn.XLOOKUP(Orders[[#This Row],[Customer ID]],customers!$A$2:$A$1001,customers!$I$2:$I$1001,,0)</f>
        <v>No</v>
      </c>
    </row>
    <row r="74" spans="1:15" x14ac:dyDescent="0.3">
      <c r="A74" s="2" t="s">
        <v>897</v>
      </c>
      <c r="B74" s="3">
        <v>44131</v>
      </c>
      <c r="C74" s="2" t="s">
        <v>898</v>
      </c>
      <c r="D74" t="s">
        <v>6175</v>
      </c>
      <c r="E74" s="2">
        <v>3</v>
      </c>
      <c r="F74" s="2" t="str">
        <f>_xlfn.XLOOKUP(C74,customers!$A$2:$A$1001,customers!$B$2:$B$1001,,0)</f>
        <v>Aurlie McCarl</v>
      </c>
      <c r="G74" s="2" t="str">
        <f>_xlfn.XLOOKUP(C74,customers!$A$2:$A$1001,customers!$G$2:$G$1001,,0)</f>
        <v>United States</v>
      </c>
      <c r="H74" t="str">
        <f>INDEX(products!$A$1:$G$49,MATCH(orders!$D74,products!$A$1:$A$49,0),MATCH(orders!H$1,products!$A$1:$G$1,0))</f>
        <v>Ara</v>
      </c>
      <c r="I74" t="str">
        <f>INDEX(products!$A$1:$G$49,MATCH(orders!$D74,products!$A$1:$A$49,0),MATCH(orders!I$1,products!$A$1:$G$1,0))</f>
        <v>M</v>
      </c>
      <c r="J74" s="5">
        <f>INDEX(products!$A$1:$G$49,MATCH(orders!$D74,products!$A$1:$A$49,0),MATCH(orders!J$1,products!$A$1:$G$1,0))</f>
        <v>2.5</v>
      </c>
      <c r="K74" s="6">
        <f>INDEX(products!$A$1:$G$49,MATCH(orders!$D74,products!$A$1:$A$49,0),MATCH(orders!K$1,products!$A$1:$G$1,0))</f>
        <v>25.874999999999996</v>
      </c>
      <c r="L74" s="6">
        <f>K74*E74</f>
        <v>77.624999999999986</v>
      </c>
      <c r="M74" t="str" cm="1">
        <f t="array" ref="M74">_xlfn.IFS(H74="Rob","Robusta",H74="Exc","Excelsa",H74="Ara","Arabica",H74="Lib","Liberica")</f>
        <v>Arabica</v>
      </c>
      <c r="N74" t="str" cm="1">
        <f t="array" ref="N74">_xlfn.IFS(I74="M","Medium",I74="L","Light",I74="D","Dark")</f>
        <v>Medium</v>
      </c>
      <c r="O74" t="str">
        <f>_xlfn.XLOOKUP(Orders[[#This Row],[Customer ID]],customers!$A$2:$A$1001,customers!$I$2:$I$1001,,0)</f>
        <v>No</v>
      </c>
    </row>
    <row r="75" spans="1:15" x14ac:dyDescent="0.3">
      <c r="A75" s="2" t="s">
        <v>902</v>
      </c>
      <c r="B75" s="3">
        <v>44362</v>
      </c>
      <c r="C75" s="2" t="s">
        <v>903</v>
      </c>
      <c r="D75" t="s">
        <v>6159</v>
      </c>
      <c r="E75" s="2">
        <v>5</v>
      </c>
      <c r="F75" s="2" t="str">
        <f>_xlfn.XLOOKUP(C75,customers!$A$2:$A$1001,customers!$B$2:$B$1001,,0)</f>
        <v>Alikee Carryer</v>
      </c>
      <c r="G75" s="2" t="str">
        <f>_xlfn.XLOOKUP(C75,customers!$A$2:$A$1001,customers!$G$2:$G$1001,,0)</f>
        <v>United States</v>
      </c>
      <c r="H75" t="str">
        <f>INDEX(products!$A$1:$G$49,MATCH(orders!$D75,products!$A$1:$A$49,0),MATCH(orders!H$1,products!$A$1:$G$1,0))</f>
        <v>Lib</v>
      </c>
      <c r="I75" t="str">
        <f>INDEX(products!$A$1:$G$49,MATCH(orders!$D75,products!$A$1:$A$49,0),MATCH(orders!I$1,products!$A$1:$G$1,0))</f>
        <v>M</v>
      </c>
      <c r="J75" s="5">
        <f>INDEX(products!$A$1:$G$49,MATCH(orders!$D75,products!$A$1:$A$49,0),MATCH(orders!J$1,products!$A$1:$G$1,0))</f>
        <v>0.2</v>
      </c>
      <c r="K75" s="6">
        <f>INDEX(products!$A$1:$G$49,MATCH(orders!$D75,products!$A$1:$A$49,0),MATCH(orders!K$1,products!$A$1:$G$1,0))</f>
        <v>4.3650000000000002</v>
      </c>
      <c r="L75" s="6">
        <f>K75*E75</f>
        <v>21.825000000000003</v>
      </c>
      <c r="M75" t="str" cm="1">
        <f t="array" ref="M75">_xlfn.IFS(H75="Rob","Robusta",H75="Exc","Excelsa",H75="Ara","Arabica",H75="Lib","Liberica")</f>
        <v>Liberica</v>
      </c>
      <c r="N75" t="str" cm="1">
        <f t="array" ref="N75">_xlfn.IFS(I75="M","Medium",I75="L","Light",I75="D","Dark")</f>
        <v>Medium</v>
      </c>
      <c r="O75" t="str">
        <f>_xlfn.XLOOKUP(Orders[[#This Row],[Customer ID]],customers!$A$2:$A$1001,customers!$I$2:$I$1001,,0)</f>
        <v>Yes</v>
      </c>
    </row>
    <row r="76" spans="1:15" x14ac:dyDescent="0.3">
      <c r="A76" s="2" t="s">
        <v>907</v>
      </c>
      <c r="B76" s="3">
        <v>44396</v>
      </c>
      <c r="C76" s="2" t="s">
        <v>908</v>
      </c>
      <c r="D76" t="s">
        <v>6176</v>
      </c>
      <c r="E76" s="2">
        <v>2</v>
      </c>
      <c r="F76" s="2" t="str">
        <f>_xlfn.XLOOKUP(C76,customers!$A$2:$A$1001,customers!$B$2:$B$1001,,0)</f>
        <v>Jennifer Rangall</v>
      </c>
      <c r="G76" s="2" t="str">
        <f>_xlfn.XLOOKUP(C76,customers!$A$2:$A$1001,customers!$G$2:$G$1001,,0)</f>
        <v>United States</v>
      </c>
      <c r="H76" t="str">
        <f>INDEX(products!$A$1:$G$49,MATCH(orders!$D76,products!$A$1:$A$49,0),MATCH(orders!H$1,products!$A$1:$G$1,0))</f>
        <v>Exc</v>
      </c>
      <c r="I76" t="str">
        <f>INDEX(products!$A$1:$G$49,MATCH(orders!$D76,products!$A$1:$A$49,0),MATCH(orders!I$1,products!$A$1:$G$1,0))</f>
        <v>L</v>
      </c>
      <c r="J76" s="5">
        <f>INDEX(products!$A$1:$G$49,MATCH(orders!$D76,products!$A$1:$A$49,0),MATCH(orders!J$1,products!$A$1:$G$1,0))</f>
        <v>0.5</v>
      </c>
      <c r="K76" s="6">
        <f>INDEX(products!$A$1:$G$49,MATCH(orders!$D76,products!$A$1:$A$49,0),MATCH(orders!K$1,products!$A$1:$G$1,0))</f>
        <v>8.91</v>
      </c>
      <c r="L76" s="6">
        <f>K76*E76</f>
        <v>17.82</v>
      </c>
      <c r="M76" t="str" cm="1">
        <f t="array" ref="M76">_xlfn.IFS(H76="Rob","Robusta",H76="Exc","Excelsa",H76="Ara","Arabica",H76="Lib","Liberica")</f>
        <v>Excelsa</v>
      </c>
      <c r="N76" t="str" cm="1">
        <f t="array" ref="N76">_xlfn.IFS(I76="M","Medium",I76="L","Light",I76="D","Dark")</f>
        <v>Light</v>
      </c>
      <c r="O76" t="str">
        <f>_xlfn.XLOOKUP(Orders[[#This Row],[Customer ID]],customers!$A$2:$A$1001,customers!$I$2:$I$1001,,0)</f>
        <v>Yes</v>
      </c>
    </row>
    <row r="77" spans="1:15" x14ac:dyDescent="0.3">
      <c r="A77" s="2" t="s">
        <v>913</v>
      </c>
      <c r="B77" s="3">
        <v>44400</v>
      </c>
      <c r="C77" s="2" t="s">
        <v>914</v>
      </c>
      <c r="D77" t="s">
        <v>6177</v>
      </c>
      <c r="E77" s="2">
        <v>6</v>
      </c>
      <c r="F77" s="2" t="str">
        <f>_xlfn.XLOOKUP(C77,customers!$A$2:$A$1001,customers!$B$2:$B$1001,,0)</f>
        <v>Kipper Boorn</v>
      </c>
      <c r="G77" s="2" t="str">
        <f>_xlfn.XLOOKUP(C77,customers!$A$2:$A$1001,customers!$G$2:$G$1001,,0)</f>
        <v>Ireland</v>
      </c>
      <c r="H77" t="str">
        <f>INDEX(products!$A$1:$G$49,MATCH(orders!$D77,products!$A$1:$A$49,0),MATCH(orders!H$1,products!$A$1:$G$1,0))</f>
        <v>Rob</v>
      </c>
      <c r="I77" t="str">
        <f>INDEX(products!$A$1:$G$49,MATCH(orders!$D77,products!$A$1:$A$49,0),MATCH(orders!I$1,products!$A$1:$G$1,0))</f>
        <v>D</v>
      </c>
      <c r="J77" s="5">
        <f>INDEX(products!$A$1:$G$49,MATCH(orders!$D77,products!$A$1:$A$49,0),MATCH(orders!J$1,products!$A$1:$G$1,0))</f>
        <v>1</v>
      </c>
      <c r="K77" s="6">
        <f>INDEX(products!$A$1:$G$49,MATCH(orders!$D77,products!$A$1:$A$49,0),MATCH(orders!K$1,products!$A$1:$G$1,0))</f>
        <v>8.9499999999999993</v>
      </c>
      <c r="L77" s="6">
        <f>K77*E77</f>
        <v>53.699999999999996</v>
      </c>
      <c r="M77" t="str" cm="1">
        <f t="array" ref="M77">_xlfn.IFS(H77="Rob","Robusta",H77="Exc","Excelsa",H77="Ara","Arabica",H77="Lib","Liberica")</f>
        <v>Robusta</v>
      </c>
      <c r="N77" t="str" cm="1">
        <f t="array" ref="N77">_xlfn.IFS(I77="M","Medium",I77="L","Light",I77="D","Dark")</f>
        <v>Dark</v>
      </c>
      <c r="O77" t="str">
        <f>_xlfn.XLOOKUP(Orders[[#This Row],[Customer ID]],customers!$A$2:$A$1001,customers!$I$2:$I$1001,,0)</f>
        <v>Yes</v>
      </c>
    </row>
    <row r="78" spans="1:15" x14ac:dyDescent="0.3">
      <c r="A78" s="2" t="s">
        <v>919</v>
      </c>
      <c r="B78" s="3">
        <v>43855</v>
      </c>
      <c r="C78" s="2" t="s">
        <v>920</v>
      </c>
      <c r="D78" t="s">
        <v>6178</v>
      </c>
      <c r="E78" s="2">
        <v>1</v>
      </c>
      <c r="F78" s="2" t="str">
        <f>_xlfn.XLOOKUP(C78,customers!$A$2:$A$1001,customers!$B$2:$B$1001,,0)</f>
        <v>Melania Beadle</v>
      </c>
      <c r="G78" s="2" t="str">
        <f>_xlfn.XLOOKUP(C78,customers!$A$2:$A$1001,customers!$G$2:$G$1001,,0)</f>
        <v>Ireland</v>
      </c>
      <c r="H78" t="str">
        <f>INDEX(products!$A$1:$G$49,MATCH(orders!$D78,products!$A$1:$A$49,0),MATCH(orders!H$1,products!$A$1:$G$1,0))</f>
        <v>Rob</v>
      </c>
      <c r="I78" t="str">
        <f>INDEX(products!$A$1:$G$49,MATCH(orders!$D78,products!$A$1:$A$49,0),MATCH(orders!I$1,products!$A$1:$G$1,0))</f>
        <v>L</v>
      </c>
      <c r="J78" s="5">
        <f>INDEX(products!$A$1:$G$49,MATCH(orders!$D78,products!$A$1:$A$49,0),MATCH(orders!J$1,products!$A$1:$G$1,0))</f>
        <v>0.2</v>
      </c>
      <c r="K78" s="6">
        <f>INDEX(products!$A$1:$G$49,MATCH(orders!$D78,products!$A$1:$A$49,0),MATCH(orders!K$1,products!$A$1:$G$1,0))</f>
        <v>3.5849999999999995</v>
      </c>
      <c r="L78" s="6">
        <f>K78*E78</f>
        <v>3.5849999999999995</v>
      </c>
      <c r="M78" t="str" cm="1">
        <f t="array" ref="M78">_xlfn.IFS(H78="Rob","Robusta",H78="Exc","Excelsa",H78="Ara","Arabica",H78="Lib","Liberica")</f>
        <v>Robusta</v>
      </c>
      <c r="N78" t="str" cm="1">
        <f t="array" ref="N78">_xlfn.IFS(I78="M","Medium",I78="L","Light",I78="D","Dark")</f>
        <v>Light</v>
      </c>
      <c r="O78" t="str">
        <f>_xlfn.XLOOKUP(Orders[[#This Row],[Customer ID]],customers!$A$2:$A$1001,customers!$I$2:$I$1001,,0)</f>
        <v>Yes</v>
      </c>
    </row>
    <row r="79" spans="1:15" x14ac:dyDescent="0.3">
      <c r="A79" s="2" t="s">
        <v>924</v>
      </c>
      <c r="B79" s="3">
        <v>43594</v>
      </c>
      <c r="C79" s="2" t="s">
        <v>925</v>
      </c>
      <c r="D79" t="s">
        <v>6153</v>
      </c>
      <c r="E79" s="2">
        <v>2</v>
      </c>
      <c r="F79" s="2" t="str">
        <f>_xlfn.XLOOKUP(C79,customers!$A$2:$A$1001,customers!$B$2:$B$1001,,0)</f>
        <v>Colene Elgey</v>
      </c>
      <c r="G79" s="2" t="str">
        <f>_xlfn.XLOOKUP(C79,customers!$A$2:$A$1001,customers!$G$2:$G$1001,,0)</f>
        <v>United States</v>
      </c>
      <c r="H79" t="str">
        <f>INDEX(products!$A$1:$G$49,MATCH(orders!$D79,products!$A$1:$A$49,0),MATCH(orders!H$1,products!$A$1:$G$1,0))</f>
        <v>Exc</v>
      </c>
      <c r="I79" t="str">
        <f>INDEX(products!$A$1:$G$49,MATCH(orders!$D79,products!$A$1:$A$49,0),MATCH(orders!I$1,products!$A$1:$G$1,0))</f>
        <v>D</v>
      </c>
      <c r="J79" s="5">
        <f>INDEX(products!$A$1:$G$49,MATCH(orders!$D79,products!$A$1:$A$49,0),MATCH(orders!J$1,products!$A$1:$G$1,0))</f>
        <v>0.2</v>
      </c>
      <c r="K79" s="6">
        <f>INDEX(products!$A$1:$G$49,MATCH(orders!$D79,products!$A$1:$A$49,0),MATCH(orders!K$1,products!$A$1:$G$1,0))</f>
        <v>3.645</v>
      </c>
      <c r="L79" s="6">
        <f>K79*E79</f>
        <v>7.29</v>
      </c>
      <c r="M79" t="str" cm="1">
        <f t="array" ref="M79">_xlfn.IFS(H79="Rob","Robusta",H79="Exc","Excelsa",H79="Ara","Arabica",H79="Lib","Liberica")</f>
        <v>Excelsa</v>
      </c>
      <c r="N79" t="str" cm="1">
        <f t="array" ref="N79">_xlfn.IFS(I79="M","Medium",I79="L","Light",I79="D","Dark")</f>
        <v>Dark</v>
      </c>
      <c r="O79" t="str">
        <f>_xlfn.XLOOKUP(Orders[[#This Row],[Customer ID]],customers!$A$2:$A$1001,customers!$I$2:$I$1001,,0)</f>
        <v>No</v>
      </c>
    </row>
    <row r="80" spans="1:15" x14ac:dyDescent="0.3">
      <c r="A80" s="2" t="s">
        <v>930</v>
      </c>
      <c r="B80" s="3">
        <v>43920</v>
      </c>
      <c r="C80" s="2" t="s">
        <v>931</v>
      </c>
      <c r="D80" t="s">
        <v>6157</v>
      </c>
      <c r="E80" s="2">
        <v>6</v>
      </c>
      <c r="F80" s="2" t="str">
        <f>_xlfn.XLOOKUP(C80,customers!$A$2:$A$1001,customers!$B$2:$B$1001,,0)</f>
        <v>Lothaire Mizzi</v>
      </c>
      <c r="G80" s="2" t="str">
        <f>_xlfn.XLOOKUP(C80,customers!$A$2:$A$1001,customers!$G$2:$G$1001,,0)</f>
        <v>United States</v>
      </c>
      <c r="H80" t="str">
        <f>INDEX(products!$A$1:$G$49,MATCH(orders!$D80,products!$A$1:$A$49,0),MATCH(orders!H$1,products!$A$1:$G$1,0))</f>
        <v>Ara</v>
      </c>
      <c r="I80" t="str">
        <f>INDEX(products!$A$1:$G$49,MATCH(orders!$D80,products!$A$1:$A$49,0),MATCH(orders!I$1,products!$A$1:$G$1,0))</f>
        <v>M</v>
      </c>
      <c r="J80" s="5">
        <f>INDEX(products!$A$1:$G$49,MATCH(orders!$D80,products!$A$1:$A$49,0),MATCH(orders!J$1,products!$A$1:$G$1,0))</f>
        <v>0.5</v>
      </c>
      <c r="K80" s="6">
        <f>INDEX(products!$A$1:$G$49,MATCH(orders!$D80,products!$A$1:$A$49,0),MATCH(orders!K$1,products!$A$1:$G$1,0))</f>
        <v>6.75</v>
      </c>
      <c r="L80" s="6">
        <f>K80*E80</f>
        <v>40.5</v>
      </c>
      <c r="M80" t="str" cm="1">
        <f t="array" ref="M80">_xlfn.IFS(H80="Rob","Robusta",H80="Exc","Excelsa",H80="Ara","Arabica",H80="Lib","Liberica")</f>
        <v>Arabica</v>
      </c>
      <c r="N80" t="str" cm="1">
        <f t="array" ref="N80">_xlfn.IFS(I80="M","Medium",I80="L","Light",I80="D","Dark")</f>
        <v>Medium</v>
      </c>
      <c r="O80" t="str">
        <f>_xlfn.XLOOKUP(Orders[[#This Row],[Customer ID]],customers!$A$2:$A$1001,customers!$I$2:$I$1001,,0)</f>
        <v>Yes</v>
      </c>
    </row>
    <row r="81" spans="1:15" x14ac:dyDescent="0.3">
      <c r="A81" s="2" t="s">
        <v>936</v>
      </c>
      <c r="B81" s="3">
        <v>44633</v>
      </c>
      <c r="C81" s="2" t="s">
        <v>937</v>
      </c>
      <c r="D81" t="s">
        <v>6179</v>
      </c>
      <c r="E81" s="2">
        <v>4</v>
      </c>
      <c r="F81" s="2" t="str">
        <f>_xlfn.XLOOKUP(C81,customers!$A$2:$A$1001,customers!$B$2:$B$1001,,0)</f>
        <v>Cletis Giacomazzo</v>
      </c>
      <c r="G81" s="2" t="str">
        <f>_xlfn.XLOOKUP(C81,customers!$A$2:$A$1001,customers!$G$2:$G$1001,,0)</f>
        <v>United States</v>
      </c>
      <c r="H81" t="str">
        <f>INDEX(products!$A$1:$G$49,MATCH(orders!$D81,products!$A$1:$A$49,0),MATCH(orders!H$1,products!$A$1:$G$1,0))</f>
        <v>Rob</v>
      </c>
      <c r="I81" t="str">
        <f>INDEX(products!$A$1:$G$49,MATCH(orders!$D81,products!$A$1:$A$49,0),MATCH(orders!I$1,products!$A$1:$G$1,0))</f>
        <v>L</v>
      </c>
      <c r="J81" s="5">
        <f>INDEX(products!$A$1:$G$49,MATCH(orders!$D81,products!$A$1:$A$49,0),MATCH(orders!J$1,products!$A$1:$G$1,0))</f>
        <v>1</v>
      </c>
      <c r="K81" s="6">
        <f>INDEX(products!$A$1:$G$49,MATCH(orders!$D81,products!$A$1:$A$49,0),MATCH(orders!K$1,products!$A$1:$G$1,0))</f>
        <v>11.95</v>
      </c>
      <c r="L81" s="6">
        <f>K81*E81</f>
        <v>47.8</v>
      </c>
      <c r="M81" t="str" cm="1">
        <f t="array" ref="M81">_xlfn.IFS(H81="Rob","Robusta",H81="Exc","Excelsa",H81="Ara","Arabica",H81="Lib","Liberica")</f>
        <v>Robusta</v>
      </c>
      <c r="N81" t="str" cm="1">
        <f t="array" ref="N81">_xlfn.IFS(I81="M","Medium",I81="L","Light",I81="D","Dark")</f>
        <v>Light</v>
      </c>
      <c r="O81" t="str">
        <f>_xlfn.XLOOKUP(Orders[[#This Row],[Customer ID]],customers!$A$2:$A$1001,customers!$I$2:$I$1001,,0)</f>
        <v>No</v>
      </c>
    </row>
    <row r="82" spans="1:15" x14ac:dyDescent="0.3">
      <c r="A82" s="2" t="s">
        <v>942</v>
      </c>
      <c r="B82" s="3">
        <v>43572</v>
      </c>
      <c r="C82" s="2" t="s">
        <v>943</v>
      </c>
      <c r="D82" t="s">
        <v>6180</v>
      </c>
      <c r="E82" s="2">
        <v>5</v>
      </c>
      <c r="F82" s="2" t="str">
        <f>_xlfn.XLOOKUP(C82,customers!$A$2:$A$1001,customers!$B$2:$B$1001,,0)</f>
        <v>Ami Arnow</v>
      </c>
      <c r="G82" s="2" t="str">
        <f>_xlfn.XLOOKUP(C82,customers!$A$2:$A$1001,customers!$G$2:$G$1001,,0)</f>
        <v>United States</v>
      </c>
      <c r="H82" t="str">
        <f>INDEX(products!$A$1:$G$49,MATCH(orders!$D82,products!$A$1:$A$49,0),MATCH(orders!H$1,products!$A$1:$G$1,0))</f>
        <v>Ara</v>
      </c>
      <c r="I82" t="str">
        <f>INDEX(products!$A$1:$G$49,MATCH(orders!$D82,products!$A$1:$A$49,0),MATCH(orders!I$1,products!$A$1:$G$1,0))</f>
        <v>L</v>
      </c>
      <c r="J82" s="5">
        <f>INDEX(products!$A$1:$G$49,MATCH(orders!$D82,products!$A$1:$A$49,0),MATCH(orders!J$1,products!$A$1:$G$1,0))</f>
        <v>0.5</v>
      </c>
      <c r="K82" s="6">
        <f>INDEX(products!$A$1:$G$49,MATCH(orders!$D82,products!$A$1:$A$49,0),MATCH(orders!K$1,products!$A$1:$G$1,0))</f>
        <v>7.77</v>
      </c>
      <c r="L82" s="6">
        <f>K82*E82</f>
        <v>38.849999999999994</v>
      </c>
      <c r="M82" t="str" cm="1">
        <f t="array" ref="M82">_xlfn.IFS(H82="Rob","Robusta",H82="Exc","Excelsa",H82="Ara","Arabica",H82="Lib","Liberica")</f>
        <v>Arabica</v>
      </c>
      <c r="N82" t="str" cm="1">
        <f t="array" ref="N82">_xlfn.IFS(I82="M","Medium",I82="L","Light",I82="D","Dark")</f>
        <v>Light</v>
      </c>
      <c r="O82" t="str">
        <f>_xlfn.XLOOKUP(Orders[[#This Row],[Customer ID]],customers!$A$2:$A$1001,customers!$I$2:$I$1001,,0)</f>
        <v>Yes</v>
      </c>
    </row>
    <row r="83" spans="1:15" x14ac:dyDescent="0.3">
      <c r="A83" s="2" t="s">
        <v>948</v>
      </c>
      <c r="B83" s="3">
        <v>43763</v>
      </c>
      <c r="C83" s="2" t="s">
        <v>949</v>
      </c>
      <c r="D83" t="s">
        <v>6164</v>
      </c>
      <c r="E83" s="2">
        <v>3</v>
      </c>
      <c r="F83" s="2" t="str">
        <f>_xlfn.XLOOKUP(C83,customers!$A$2:$A$1001,customers!$B$2:$B$1001,,0)</f>
        <v>Sheppard Yann</v>
      </c>
      <c r="G83" s="2" t="str">
        <f>_xlfn.XLOOKUP(C83,customers!$A$2:$A$1001,customers!$G$2:$G$1001,,0)</f>
        <v>United States</v>
      </c>
      <c r="H83" t="str">
        <f>INDEX(products!$A$1:$G$49,MATCH(orders!$D83,products!$A$1:$A$49,0),MATCH(orders!H$1,products!$A$1:$G$1,0))</f>
        <v>Lib</v>
      </c>
      <c r="I83" t="str">
        <f>INDEX(products!$A$1:$G$49,MATCH(orders!$D83,products!$A$1:$A$49,0),MATCH(orders!I$1,products!$A$1:$G$1,0))</f>
        <v>L</v>
      </c>
      <c r="J83" s="5">
        <f>INDEX(products!$A$1:$G$49,MATCH(orders!$D83,products!$A$1:$A$49,0),MATCH(orders!J$1,products!$A$1:$G$1,0))</f>
        <v>2.5</v>
      </c>
      <c r="K83" s="6">
        <f>INDEX(products!$A$1:$G$49,MATCH(orders!$D83,products!$A$1:$A$49,0),MATCH(orders!K$1,products!$A$1:$G$1,0))</f>
        <v>36.454999999999998</v>
      </c>
      <c r="L83" s="6">
        <f>K83*E83</f>
        <v>109.36499999999999</v>
      </c>
      <c r="M83" t="str" cm="1">
        <f t="array" ref="M83">_xlfn.IFS(H83="Rob","Robusta",H83="Exc","Excelsa",H83="Ara","Arabica",H83="Lib","Liberica")</f>
        <v>Liberica</v>
      </c>
      <c r="N83" t="str" cm="1">
        <f t="array" ref="N83">_xlfn.IFS(I83="M","Medium",I83="L","Light",I83="D","Dark")</f>
        <v>Light</v>
      </c>
      <c r="O83" t="str">
        <f>_xlfn.XLOOKUP(Orders[[#This Row],[Customer ID]],customers!$A$2:$A$1001,customers!$I$2:$I$1001,,0)</f>
        <v>Yes</v>
      </c>
    </row>
    <row r="84" spans="1:15" x14ac:dyDescent="0.3">
      <c r="A84" s="2" t="s">
        <v>954</v>
      </c>
      <c r="B84" s="3">
        <v>43721</v>
      </c>
      <c r="C84" s="2" t="s">
        <v>955</v>
      </c>
      <c r="D84" t="s">
        <v>6181</v>
      </c>
      <c r="E84" s="2">
        <v>3</v>
      </c>
      <c r="F84" s="2" t="str">
        <f>_xlfn.XLOOKUP(C84,customers!$A$2:$A$1001,customers!$B$2:$B$1001,,0)</f>
        <v>Bunny Naulls</v>
      </c>
      <c r="G84" s="2" t="str">
        <f>_xlfn.XLOOKUP(C84,customers!$A$2:$A$1001,customers!$G$2:$G$1001,,0)</f>
        <v>Ireland</v>
      </c>
      <c r="H84" t="str">
        <f>INDEX(products!$A$1:$G$49,MATCH(orders!$D84,products!$A$1:$A$49,0),MATCH(orders!H$1,products!$A$1:$G$1,0))</f>
        <v>Lib</v>
      </c>
      <c r="I84" t="str">
        <f>INDEX(products!$A$1:$G$49,MATCH(orders!$D84,products!$A$1:$A$49,0),MATCH(orders!I$1,products!$A$1:$G$1,0))</f>
        <v>M</v>
      </c>
      <c r="J84" s="5">
        <f>INDEX(products!$A$1:$G$49,MATCH(orders!$D84,products!$A$1:$A$49,0),MATCH(orders!J$1,products!$A$1:$G$1,0))</f>
        <v>2.5</v>
      </c>
      <c r="K84" s="6">
        <f>INDEX(products!$A$1:$G$49,MATCH(orders!$D84,products!$A$1:$A$49,0),MATCH(orders!K$1,products!$A$1:$G$1,0))</f>
        <v>33.464999999999996</v>
      </c>
      <c r="L84" s="6">
        <f>K84*E84</f>
        <v>100.39499999999998</v>
      </c>
      <c r="M84" t="str" cm="1">
        <f t="array" ref="M84">_xlfn.IFS(H84="Rob","Robusta",H84="Exc","Excelsa",H84="Ara","Arabica",H84="Lib","Liberica")</f>
        <v>Liberica</v>
      </c>
      <c r="N84" t="str" cm="1">
        <f t="array" ref="N84">_xlfn.IFS(I84="M","Medium",I84="L","Light",I84="D","Dark")</f>
        <v>Medium</v>
      </c>
      <c r="O84" t="str">
        <f>_xlfn.XLOOKUP(Orders[[#This Row],[Customer ID]],customers!$A$2:$A$1001,customers!$I$2:$I$1001,,0)</f>
        <v>Yes</v>
      </c>
    </row>
    <row r="85" spans="1:15" x14ac:dyDescent="0.3">
      <c r="A85" s="2" t="s">
        <v>960</v>
      </c>
      <c r="B85" s="3">
        <v>43933</v>
      </c>
      <c r="C85" s="2" t="s">
        <v>961</v>
      </c>
      <c r="D85" t="s">
        <v>6149</v>
      </c>
      <c r="E85" s="2">
        <v>4</v>
      </c>
      <c r="F85" s="2" t="str">
        <f>_xlfn.XLOOKUP(C85,customers!$A$2:$A$1001,customers!$B$2:$B$1001,,0)</f>
        <v>Hally Lorait</v>
      </c>
      <c r="G85" s="2" t="str">
        <f>_xlfn.XLOOKUP(C85,customers!$A$2:$A$1001,customers!$G$2:$G$1001,,0)</f>
        <v>United States</v>
      </c>
      <c r="H85" t="str">
        <f>INDEX(products!$A$1:$G$49,MATCH(orders!$D85,products!$A$1:$A$49,0),MATCH(orders!H$1,products!$A$1:$G$1,0))</f>
        <v>Rob</v>
      </c>
      <c r="I85" t="str">
        <f>INDEX(products!$A$1:$G$49,MATCH(orders!$D85,products!$A$1:$A$49,0),MATCH(orders!I$1,products!$A$1:$G$1,0))</f>
        <v>D</v>
      </c>
      <c r="J85" s="5">
        <f>INDEX(products!$A$1:$G$49,MATCH(orders!$D85,products!$A$1:$A$49,0),MATCH(orders!J$1,products!$A$1:$G$1,0))</f>
        <v>2.5</v>
      </c>
      <c r="K85" s="6">
        <f>INDEX(products!$A$1:$G$49,MATCH(orders!$D85,products!$A$1:$A$49,0),MATCH(orders!K$1,products!$A$1:$G$1,0))</f>
        <v>20.584999999999997</v>
      </c>
      <c r="L85" s="6">
        <f>K85*E85</f>
        <v>82.339999999999989</v>
      </c>
      <c r="M85" t="str" cm="1">
        <f t="array" ref="M85">_xlfn.IFS(H85="Rob","Robusta",H85="Exc","Excelsa",H85="Ara","Arabica",H85="Lib","Liberica")</f>
        <v>Robusta</v>
      </c>
      <c r="N85" t="str" cm="1">
        <f t="array" ref="N85">_xlfn.IFS(I85="M","Medium",I85="L","Light",I85="D","Dark")</f>
        <v>Dark</v>
      </c>
      <c r="O85" t="str">
        <f>_xlfn.XLOOKUP(Orders[[#This Row],[Customer ID]],customers!$A$2:$A$1001,customers!$I$2:$I$1001,,0)</f>
        <v>Yes</v>
      </c>
    </row>
    <row r="86" spans="1:15" x14ac:dyDescent="0.3">
      <c r="A86" s="2" t="s">
        <v>965</v>
      </c>
      <c r="B86" s="3">
        <v>43783</v>
      </c>
      <c r="C86" s="2" t="s">
        <v>966</v>
      </c>
      <c r="D86" t="s">
        <v>6161</v>
      </c>
      <c r="E86" s="2">
        <v>1</v>
      </c>
      <c r="F86" s="2" t="str">
        <f>_xlfn.XLOOKUP(C86,customers!$A$2:$A$1001,customers!$B$2:$B$1001,,0)</f>
        <v>Zaccaria Sherewood</v>
      </c>
      <c r="G86" s="2" t="str">
        <f>_xlfn.XLOOKUP(C86,customers!$A$2:$A$1001,customers!$G$2:$G$1001,,0)</f>
        <v>United States</v>
      </c>
      <c r="H86" t="str">
        <f>INDEX(products!$A$1:$G$49,MATCH(orders!$D86,products!$A$1:$A$49,0),MATCH(orders!H$1,products!$A$1:$G$1,0))</f>
        <v>Lib</v>
      </c>
      <c r="I86" t="str">
        <f>INDEX(products!$A$1:$G$49,MATCH(orders!$D86,products!$A$1:$A$49,0),MATCH(orders!I$1,products!$A$1:$G$1,0))</f>
        <v>L</v>
      </c>
      <c r="J86" s="5">
        <f>INDEX(products!$A$1:$G$49,MATCH(orders!$D86,products!$A$1:$A$49,0),MATCH(orders!J$1,products!$A$1:$G$1,0))</f>
        <v>0.5</v>
      </c>
      <c r="K86" s="6">
        <f>INDEX(products!$A$1:$G$49,MATCH(orders!$D86,products!$A$1:$A$49,0),MATCH(orders!K$1,products!$A$1:$G$1,0))</f>
        <v>9.51</v>
      </c>
      <c r="L86" s="6">
        <f>K86*E86</f>
        <v>9.51</v>
      </c>
      <c r="M86" t="str" cm="1">
        <f t="array" ref="M86">_xlfn.IFS(H86="Rob","Robusta",H86="Exc","Excelsa",H86="Ara","Arabica",H86="Lib","Liberica")</f>
        <v>Liberica</v>
      </c>
      <c r="N86" t="str" cm="1">
        <f t="array" ref="N86">_xlfn.IFS(I86="M","Medium",I86="L","Light",I86="D","Dark")</f>
        <v>Light</v>
      </c>
      <c r="O86" t="str">
        <f>_xlfn.XLOOKUP(Orders[[#This Row],[Customer ID]],customers!$A$2:$A$1001,customers!$I$2:$I$1001,,0)</f>
        <v>No</v>
      </c>
    </row>
    <row r="87" spans="1:15" x14ac:dyDescent="0.3">
      <c r="A87" s="2" t="s">
        <v>971</v>
      </c>
      <c r="B87" s="3">
        <v>43664</v>
      </c>
      <c r="C87" s="2" t="s">
        <v>972</v>
      </c>
      <c r="D87" t="s">
        <v>6182</v>
      </c>
      <c r="E87" s="2">
        <v>3</v>
      </c>
      <c r="F87" s="2" t="str">
        <f>_xlfn.XLOOKUP(C87,customers!$A$2:$A$1001,customers!$B$2:$B$1001,,0)</f>
        <v>Jeffrey Dufaire</v>
      </c>
      <c r="G87" s="2" t="str">
        <f>_xlfn.XLOOKUP(C87,customers!$A$2:$A$1001,customers!$G$2:$G$1001,,0)</f>
        <v>United States</v>
      </c>
      <c r="H87" t="str">
        <f>INDEX(products!$A$1:$G$49,MATCH(orders!$D87,products!$A$1:$A$49,0),MATCH(orders!H$1,products!$A$1:$G$1,0))</f>
        <v>Ara</v>
      </c>
      <c r="I87" t="str">
        <f>INDEX(products!$A$1:$G$49,MATCH(orders!$D87,products!$A$1:$A$49,0),MATCH(orders!I$1,products!$A$1:$G$1,0))</f>
        <v>L</v>
      </c>
      <c r="J87" s="5">
        <f>INDEX(products!$A$1:$G$49,MATCH(orders!$D87,products!$A$1:$A$49,0),MATCH(orders!J$1,products!$A$1:$G$1,0))</f>
        <v>2.5</v>
      </c>
      <c r="K87" s="6">
        <f>INDEX(products!$A$1:$G$49,MATCH(orders!$D87,products!$A$1:$A$49,0),MATCH(orders!K$1,products!$A$1:$G$1,0))</f>
        <v>29.784999999999997</v>
      </c>
      <c r="L87" s="6">
        <f>K87*E87</f>
        <v>89.35499999999999</v>
      </c>
      <c r="M87" t="str" cm="1">
        <f t="array" ref="M87">_xlfn.IFS(H87="Rob","Robusta",H87="Exc","Excelsa",H87="Ara","Arabica",H87="Lib","Liberica")</f>
        <v>Arabica</v>
      </c>
      <c r="N87" t="str" cm="1">
        <f t="array" ref="N87">_xlfn.IFS(I87="M","Medium",I87="L","Light",I87="D","Dark")</f>
        <v>Light</v>
      </c>
      <c r="O87" t="str">
        <f>_xlfn.XLOOKUP(Orders[[#This Row],[Customer ID]],customers!$A$2:$A$1001,customers!$I$2:$I$1001,,0)</f>
        <v>No</v>
      </c>
    </row>
    <row r="88" spans="1:15" x14ac:dyDescent="0.3">
      <c r="A88" s="2" t="s">
        <v>971</v>
      </c>
      <c r="B88" s="3">
        <v>43664</v>
      </c>
      <c r="C88" s="2" t="s">
        <v>972</v>
      </c>
      <c r="D88" t="s">
        <v>6154</v>
      </c>
      <c r="E88" s="2">
        <v>4</v>
      </c>
      <c r="F88" s="2" t="str">
        <f>_xlfn.XLOOKUP(C88,customers!$A$2:$A$1001,customers!$B$2:$B$1001,,0)</f>
        <v>Jeffrey Dufaire</v>
      </c>
      <c r="G88" s="2" t="str">
        <f>_xlfn.XLOOKUP(C88,customers!$A$2:$A$1001,customers!$G$2:$G$1001,,0)</f>
        <v>United States</v>
      </c>
      <c r="H88" t="str">
        <f>INDEX(products!$A$1:$G$49,MATCH(orders!$D88,products!$A$1:$A$49,0),MATCH(orders!H$1,products!$A$1:$G$1,0))</f>
        <v>Ara</v>
      </c>
      <c r="I88" t="str">
        <f>INDEX(products!$A$1:$G$49,MATCH(orders!$D88,products!$A$1:$A$49,0),MATCH(orders!I$1,products!$A$1:$G$1,0))</f>
        <v>D</v>
      </c>
      <c r="J88" s="5">
        <f>INDEX(products!$A$1:$G$49,MATCH(orders!$D88,products!$A$1:$A$49,0),MATCH(orders!J$1,products!$A$1:$G$1,0))</f>
        <v>0.2</v>
      </c>
      <c r="K88" s="6">
        <f>INDEX(products!$A$1:$G$49,MATCH(orders!$D88,products!$A$1:$A$49,0),MATCH(orders!K$1,products!$A$1:$G$1,0))</f>
        <v>2.9849999999999999</v>
      </c>
      <c r="L88" s="6">
        <f>K88*E88</f>
        <v>11.94</v>
      </c>
      <c r="M88" t="str" cm="1">
        <f t="array" ref="M88">_xlfn.IFS(H88="Rob","Robusta",H88="Exc","Excelsa",H88="Ara","Arabica",H88="Lib","Liberica")</f>
        <v>Arabica</v>
      </c>
      <c r="N88" t="str" cm="1">
        <f t="array" ref="N88">_xlfn.IFS(I88="M","Medium",I88="L","Light",I88="D","Dark")</f>
        <v>Dark</v>
      </c>
      <c r="O88" t="str">
        <f>_xlfn.XLOOKUP(Orders[[#This Row],[Customer ID]],customers!$A$2:$A$1001,customers!$I$2:$I$1001,,0)</f>
        <v>No</v>
      </c>
    </row>
    <row r="89" spans="1:15" x14ac:dyDescent="0.3">
      <c r="A89" s="2" t="s">
        <v>980</v>
      </c>
      <c r="B89" s="3">
        <v>44289</v>
      </c>
      <c r="C89" s="2" t="s">
        <v>981</v>
      </c>
      <c r="D89" t="s">
        <v>6155</v>
      </c>
      <c r="E89" s="2">
        <v>3</v>
      </c>
      <c r="F89" s="2" t="str">
        <f>_xlfn.XLOOKUP(C89,customers!$A$2:$A$1001,customers!$B$2:$B$1001,,0)</f>
        <v>Beitris Keaveney</v>
      </c>
      <c r="G89" s="2" t="str">
        <f>_xlfn.XLOOKUP(C89,customers!$A$2:$A$1001,customers!$G$2:$G$1001,,0)</f>
        <v>United States</v>
      </c>
      <c r="H89" t="str">
        <f>INDEX(products!$A$1:$G$49,MATCH(orders!$D89,products!$A$1:$A$49,0),MATCH(orders!H$1,products!$A$1:$G$1,0))</f>
        <v>Ara</v>
      </c>
      <c r="I89" t="str">
        <f>INDEX(products!$A$1:$G$49,MATCH(orders!$D89,products!$A$1:$A$49,0),MATCH(orders!I$1,products!$A$1:$G$1,0))</f>
        <v>M</v>
      </c>
      <c r="J89" s="5">
        <f>INDEX(products!$A$1:$G$49,MATCH(orders!$D89,products!$A$1:$A$49,0),MATCH(orders!J$1,products!$A$1:$G$1,0))</f>
        <v>1</v>
      </c>
      <c r="K89" s="6">
        <f>INDEX(products!$A$1:$G$49,MATCH(orders!$D89,products!$A$1:$A$49,0),MATCH(orders!K$1,products!$A$1:$G$1,0))</f>
        <v>11.25</v>
      </c>
      <c r="L89" s="6">
        <f>K89*E89</f>
        <v>33.75</v>
      </c>
      <c r="M89" t="str" cm="1">
        <f t="array" ref="M89">_xlfn.IFS(H89="Rob","Robusta",H89="Exc","Excelsa",H89="Ara","Arabica",H89="Lib","Liberica")</f>
        <v>Arabica</v>
      </c>
      <c r="N89" t="str" cm="1">
        <f t="array" ref="N89">_xlfn.IFS(I89="M","Medium",I89="L","Light",I89="D","Dark")</f>
        <v>Medium</v>
      </c>
      <c r="O89" t="str">
        <f>_xlfn.XLOOKUP(Orders[[#This Row],[Customer ID]],customers!$A$2:$A$1001,customers!$I$2:$I$1001,,0)</f>
        <v>No</v>
      </c>
    </row>
    <row r="90" spans="1:15" x14ac:dyDescent="0.3">
      <c r="A90" s="2" t="s">
        <v>985</v>
      </c>
      <c r="B90" s="3">
        <v>44284</v>
      </c>
      <c r="C90" s="2" t="s">
        <v>986</v>
      </c>
      <c r="D90" t="s">
        <v>6179</v>
      </c>
      <c r="E90" s="2">
        <v>3</v>
      </c>
      <c r="F90" s="2" t="str">
        <f>_xlfn.XLOOKUP(C90,customers!$A$2:$A$1001,customers!$B$2:$B$1001,,0)</f>
        <v>Elna Grise</v>
      </c>
      <c r="G90" s="2" t="str">
        <f>_xlfn.XLOOKUP(C90,customers!$A$2:$A$1001,customers!$G$2:$G$1001,,0)</f>
        <v>United States</v>
      </c>
      <c r="H90" t="str">
        <f>INDEX(products!$A$1:$G$49,MATCH(orders!$D90,products!$A$1:$A$49,0),MATCH(orders!H$1,products!$A$1:$G$1,0))</f>
        <v>Rob</v>
      </c>
      <c r="I90" t="str">
        <f>INDEX(products!$A$1:$G$49,MATCH(orders!$D90,products!$A$1:$A$49,0),MATCH(orders!I$1,products!$A$1:$G$1,0))</f>
        <v>L</v>
      </c>
      <c r="J90" s="5">
        <f>INDEX(products!$A$1:$G$49,MATCH(orders!$D90,products!$A$1:$A$49,0),MATCH(orders!J$1,products!$A$1:$G$1,0))</f>
        <v>1</v>
      </c>
      <c r="K90" s="6">
        <f>INDEX(products!$A$1:$G$49,MATCH(orders!$D90,products!$A$1:$A$49,0),MATCH(orders!K$1,products!$A$1:$G$1,0))</f>
        <v>11.95</v>
      </c>
      <c r="L90" s="6">
        <f>K90*E90</f>
        <v>35.849999999999994</v>
      </c>
      <c r="M90" t="str" cm="1">
        <f t="array" ref="M90">_xlfn.IFS(H90="Rob","Robusta",H90="Exc","Excelsa",H90="Ara","Arabica",H90="Lib","Liberica")</f>
        <v>Robusta</v>
      </c>
      <c r="N90" t="str" cm="1">
        <f t="array" ref="N90">_xlfn.IFS(I90="M","Medium",I90="L","Light",I90="D","Dark")</f>
        <v>Light</v>
      </c>
      <c r="O90" t="str">
        <f>_xlfn.XLOOKUP(Orders[[#This Row],[Customer ID]],customers!$A$2:$A$1001,customers!$I$2:$I$1001,,0)</f>
        <v>No</v>
      </c>
    </row>
    <row r="91" spans="1:15" x14ac:dyDescent="0.3">
      <c r="A91" s="2" t="s">
        <v>990</v>
      </c>
      <c r="B91" s="3">
        <v>44545</v>
      </c>
      <c r="C91" s="2" t="s">
        <v>991</v>
      </c>
      <c r="D91" t="s">
        <v>6140</v>
      </c>
      <c r="E91" s="2">
        <v>6</v>
      </c>
      <c r="F91" s="2" t="str">
        <f>_xlfn.XLOOKUP(C91,customers!$A$2:$A$1001,customers!$B$2:$B$1001,,0)</f>
        <v>Torie Gottelier</v>
      </c>
      <c r="G91" s="2" t="str">
        <f>_xlfn.XLOOKUP(C91,customers!$A$2:$A$1001,customers!$G$2:$G$1001,,0)</f>
        <v>United States</v>
      </c>
      <c r="H91" t="str">
        <f>INDEX(products!$A$1:$G$49,MATCH(orders!$D91,products!$A$1:$A$49,0),MATCH(orders!H$1,products!$A$1:$G$1,0))</f>
        <v>Ara</v>
      </c>
      <c r="I91" t="str">
        <f>INDEX(products!$A$1:$G$49,MATCH(orders!$D91,products!$A$1:$A$49,0),MATCH(orders!I$1,products!$A$1:$G$1,0))</f>
        <v>L</v>
      </c>
      <c r="J91" s="5">
        <f>INDEX(products!$A$1:$G$49,MATCH(orders!$D91,products!$A$1:$A$49,0),MATCH(orders!J$1,products!$A$1:$G$1,0))</f>
        <v>1</v>
      </c>
      <c r="K91" s="6">
        <f>INDEX(products!$A$1:$G$49,MATCH(orders!$D91,products!$A$1:$A$49,0),MATCH(orders!K$1,products!$A$1:$G$1,0))</f>
        <v>12.95</v>
      </c>
      <c r="L91" s="6">
        <f>K91*E91</f>
        <v>77.699999999999989</v>
      </c>
      <c r="M91" t="str" cm="1">
        <f t="array" ref="M91">_xlfn.IFS(H91="Rob","Robusta",H91="Exc","Excelsa",H91="Ara","Arabica",H91="Lib","Liberica")</f>
        <v>Arabica</v>
      </c>
      <c r="N91" t="str" cm="1">
        <f t="array" ref="N91">_xlfn.IFS(I91="M","Medium",I91="L","Light",I91="D","Dark")</f>
        <v>Light</v>
      </c>
      <c r="O91" t="str">
        <f>_xlfn.XLOOKUP(Orders[[#This Row],[Customer ID]],customers!$A$2:$A$1001,customers!$I$2:$I$1001,,0)</f>
        <v>No</v>
      </c>
    </row>
    <row r="92" spans="1:15" x14ac:dyDescent="0.3">
      <c r="A92" s="2" t="s">
        <v>996</v>
      </c>
      <c r="B92" s="3">
        <v>43971</v>
      </c>
      <c r="C92" s="2" t="s">
        <v>997</v>
      </c>
      <c r="D92" t="s">
        <v>6140</v>
      </c>
      <c r="E92" s="2">
        <v>4</v>
      </c>
      <c r="F92" s="2" t="str">
        <f>_xlfn.XLOOKUP(C92,customers!$A$2:$A$1001,customers!$B$2:$B$1001,,0)</f>
        <v>Loydie Langlais</v>
      </c>
      <c r="G92" s="2" t="str">
        <f>_xlfn.XLOOKUP(C92,customers!$A$2:$A$1001,customers!$G$2:$G$1001,,0)</f>
        <v>Ireland</v>
      </c>
      <c r="H92" t="str">
        <f>INDEX(products!$A$1:$G$49,MATCH(orders!$D92,products!$A$1:$A$49,0),MATCH(orders!H$1,products!$A$1:$G$1,0))</f>
        <v>Ara</v>
      </c>
      <c r="I92" t="str">
        <f>INDEX(products!$A$1:$G$49,MATCH(orders!$D92,products!$A$1:$A$49,0),MATCH(orders!I$1,products!$A$1:$G$1,0))</f>
        <v>L</v>
      </c>
      <c r="J92" s="5">
        <f>INDEX(products!$A$1:$G$49,MATCH(orders!$D92,products!$A$1:$A$49,0),MATCH(orders!J$1,products!$A$1:$G$1,0))</f>
        <v>1</v>
      </c>
      <c r="K92" s="6">
        <f>INDEX(products!$A$1:$G$49,MATCH(orders!$D92,products!$A$1:$A$49,0),MATCH(orders!K$1,products!$A$1:$G$1,0))</f>
        <v>12.95</v>
      </c>
      <c r="L92" s="6">
        <f>K92*E92</f>
        <v>51.8</v>
      </c>
      <c r="M92" t="str" cm="1">
        <f t="array" ref="M92">_xlfn.IFS(H92="Rob","Robusta",H92="Exc","Excelsa",H92="Ara","Arabica",H92="Lib","Liberica")</f>
        <v>Arabica</v>
      </c>
      <c r="N92" t="str" cm="1">
        <f t="array" ref="N92">_xlfn.IFS(I92="M","Medium",I92="L","Light",I92="D","Dark")</f>
        <v>Light</v>
      </c>
      <c r="O92" t="str">
        <f>_xlfn.XLOOKUP(Orders[[#This Row],[Customer ID]],customers!$A$2:$A$1001,customers!$I$2:$I$1001,,0)</f>
        <v>Yes</v>
      </c>
    </row>
    <row r="93" spans="1:15" x14ac:dyDescent="0.3">
      <c r="A93" s="2" t="s">
        <v>1001</v>
      </c>
      <c r="B93" s="3">
        <v>44137</v>
      </c>
      <c r="C93" s="2" t="s">
        <v>1002</v>
      </c>
      <c r="D93" t="s">
        <v>6175</v>
      </c>
      <c r="E93" s="2">
        <v>4</v>
      </c>
      <c r="F93" s="2" t="str">
        <f>_xlfn.XLOOKUP(C93,customers!$A$2:$A$1001,customers!$B$2:$B$1001,,0)</f>
        <v>Adham Greenhead</v>
      </c>
      <c r="G93" s="2" t="str">
        <f>_xlfn.XLOOKUP(C93,customers!$A$2:$A$1001,customers!$G$2:$G$1001,,0)</f>
        <v>United States</v>
      </c>
      <c r="H93" t="str">
        <f>INDEX(products!$A$1:$G$49,MATCH(orders!$D93,products!$A$1:$A$49,0),MATCH(orders!H$1,products!$A$1:$G$1,0))</f>
        <v>Ara</v>
      </c>
      <c r="I93" t="str">
        <f>INDEX(products!$A$1:$G$49,MATCH(orders!$D93,products!$A$1:$A$49,0),MATCH(orders!I$1,products!$A$1:$G$1,0))</f>
        <v>M</v>
      </c>
      <c r="J93" s="5">
        <f>INDEX(products!$A$1:$G$49,MATCH(orders!$D93,products!$A$1:$A$49,0),MATCH(orders!J$1,products!$A$1:$G$1,0))</f>
        <v>2.5</v>
      </c>
      <c r="K93" s="6">
        <f>INDEX(products!$A$1:$G$49,MATCH(orders!$D93,products!$A$1:$A$49,0),MATCH(orders!K$1,products!$A$1:$G$1,0))</f>
        <v>25.874999999999996</v>
      </c>
      <c r="L93" s="6">
        <f>K93*E93</f>
        <v>103.49999999999999</v>
      </c>
      <c r="M93" t="str" cm="1">
        <f t="array" ref="M93">_xlfn.IFS(H93="Rob","Robusta",H93="Exc","Excelsa",H93="Ara","Arabica",H93="Lib","Liberica")</f>
        <v>Arabica</v>
      </c>
      <c r="N93" t="str" cm="1">
        <f t="array" ref="N93">_xlfn.IFS(I93="M","Medium",I93="L","Light",I93="D","Dark")</f>
        <v>Medium</v>
      </c>
      <c r="O93" t="str">
        <f>_xlfn.XLOOKUP(Orders[[#This Row],[Customer ID]],customers!$A$2:$A$1001,customers!$I$2:$I$1001,,0)</f>
        <v>No</v>
      </c>
    </row>
    <row r="94" spans="1:15" x14ac:dyDescent="0.3">
      <c r="A94" s="2" t="s">
        <v>1007</v>
      </c>
      <c r="B94" s="3">
        <v>44037</v>
      </c>
      <c r="C94" s="2" t="s">
        <v>1008</v>
      </c>
      <c r="D94" t="s">
        <v>6171</v>
      </c>
      <c r="E94" s="2">
        <v>3</v>
      </c>
      <c r="F94" s="2" t="str">
        <f>_xlfn.XLOOKUP(C94,customers!$A$2:$A$1001,customers!$B$2:$B$1001,,0)</f>
        <v>Hamish MacSherry</v>
      </c>
      <c r="G94" s="2" t="str">
        <f>_xlfn.XLOOKUP(C94,customers!$A$2:$A$1001,customers!$G$2:$G$1001,,0)</f>
        <v>United States</v>
      </c>
      <c r="H94" t="str">
        <f>INDEX(products!$A$1:$G$49,MATCH(orders!$D94,products!$A$1:$A$49,0),MATCH(orders!H$1,products!$A$1:$G$1,0))</f>
        <v>Exc</v>
      </c>
      <c r="I94" t="str">
        <f>INDEX(products!$A$1:$G$49,MATCH(orders!$D94,products!$A$1:$A$49,0),MATCH(orders!I$1,products!$A$1:$G$1,0))</f>
        <v>L</v>
      </c>
      <c r="J94" s="5">
        <f>INDEX(products!$A$1:$G$49,MATCH(orders!$D94,products!$A$1:$A$49,0),MATCH(orders!J$1,products!$A$1:$G$1,0))</f>
        <v>1</v>
      </c>
      <c r="K94" s="6">
        <f>INDEX(products!$A$1:$G$49,MATCH(orders!$D94,products!$A$1:$A$49,0),MATCH(orders!K$1,products!$A$1:$G$1,0))</f>
        <v>14.85</v>
      </c>
      <c r="L94" s="6">
        <f>K94*E94</f>
        <v>44.55</v>
      </c>
      <c r="M94" t="str" cm="1">
        <f t="array" ref="M94">_xlfn.IFS(H94="Rob","Robusta",H94="Exc","Excelsa",H94="Ara","Arabica",H94="Lib","Liberica")</f>
        <v>Excelsa</v>
      </c>
      <c r="N94" t="str" cm="1">
        <f t="array" ref="N94">_xlfn.IFS(I94="M","Medium",I94="L","Light",I94="D","Dark")</f>
        <v>Light</v>
      </c>
      <c r="O94" t="str">
        <f>_xlfn.XLOOKUP(Orders[[#This Row],[Customer ID]],customers!$A$2:$A$1001,customers!$I$2:$I$1001,,0)</f>
        <v>Yes</v>
      </c>
    </row>
    <row r="95" spans="1:15" x14ac:dyDescent="0.3">
      <c r="A95" s="2" t="s">
        <v>1012</v>
      </c>
      <c r="B95" s="3">
        <v>43538</v>
      </c>
      <c r="C95" s="2" t="s">
        <v>1013</v>
      </c>
      <c r="D95" t="s">
        <v>6176</v>
      </c>
      <c r="E95" s="2">
        <v>4</v>
      </c>
      <c r="F95" s="2" t="str">
        <f>_xlfn.XLOOKUP(C95,customers!$A$2:$A$1001,customers!$B$2:$B$1001,,0)</f>
        <v>Else Langcaster</v>
      </c>
      <c r="G95" s="2" t="str">
        <f>_xlfn.XLOOKUP(C95,customers!$A$2:$A$1001,customers!$G$2:$G$1001,,0)</f>
        <v>United Kingdom</v>
      </c>
      <c r="H95" t="str">
        <f>INDEX(products!$A$1:$G$49,MATCH(orders!$D95,products!$A$1:$A$49,0),MATCH(orders!H$1,products!$A$1:$G$1,0))</f>
        <v>Exc</v>
      </c>
      <c r="I95" t="str">
        <f>INDEX(products!$A$1:$G$49,MATCH(orders!$D95,products!$A$1:$A$49,0),MATCH(orders!I$1,products!$A$1:$G$1,0))</f>
        <v>L</v>
      </c>
      <c r="J95" s="5">
        <f>INDEX(products!$A$1:$G$49,MATCH(orders!$D95,products!$A$1:$A$49,0),MATCH(orders!J$1,products!$A$1:$G$1,0))</f>
        <v>0.5</v>
      </c>
      <c r="K95" s="6">
        <f>INDEX(products!$A$1:$G$49,MATCH(orders!$D95,products!$A$1:$A$49,0),MATCH(orders!K$1,products!$A$1:$G$1,0))</f>
        <v>8.91</v>
      </c>
      <c r="L95" s="6">
        <f>K95*E95</f>
        <v>35.64</v>
      </c>
      <c r="M95" t="str" cm="1">
        <f t="array" ref="M95">_xlfn.IFS(H95="Rob","Robusta",H95="Exc","Excelsa",H95="Ara","Arabica",H95="Lib","Liberica")</f>
        <v>Excelsa</v>
      </c>
      <c r="N95" t="str" cm="1">
        <f t="array" ref="N95">_xlfn.IFS(I95="M","Medium",I95="L","Light",I95="D","Dark")</f>
        <v>Light</v>
      </c>
      <c r="O95" t="str">
        <f>_xlfn.XLOOKUP(Orders[[#This Row],[Customer ID]],customers!$A$2:$A$1001,customers!$I$2:$I$1001,,0)</f>
        <v>Yes</v>
      </c>
    </row>
    <row r="96" spans="1:15" x14ac:dyDescent="0.3">
      <c r="A96" s="2" t="s">
        <v>1018</v>
      </c>
      <c r="B96" s="3">
        <v>44014</v>
      </c>
      <c r="C96" s="2" t="s">
        <v>1019</v>
      </c>
      <c r="D96" t="s">
        <v>6154</v>
      </c>
      <c r="E96" s="2">
        <v>6</v>
      </c>
      <c r="F96" s="2" t="str">
        <f>_xlfn.XLOOKUP(C96,customers!$A$2:$A$1001,customers!$B$2:$B$1001,,0)</f>
        <v>Rudy Farquharson</v>
      </c>
      <c r="G96" s="2" t="str">
        <f>_xlfn.XLOOKUP(C96,customers!$A$2:$A$1001,customers!$G$2:$G$1001,,0)</f>
        <v>Ireland</v>
      </c>
      <c r="H96" t="str">
        <f>INDEX(products!$A$1:$G$49,MATCH(orders!$D96,products!$A$1:$A$49,0),MATCH(orders!H$1,products!$A$1:$G$1,0))</f>
        <v>Ara</v>
      </c>
      <c r="I96" t="str">
        <f>INDEX(products!$A$1:$G$49,MATCH(orders!$D96,products!$A$1:$A$49,0),MATCH(orders!I$1,products!$A$1:$G$1,0))</f>
        <v>D</v>
      </c>
      <c r="J96" s="5">
        <f>INDEX(products!$A$1:$G$49,MATCH(orders!$D96,products!$A$1:$A$49,0),MATCH(orders!J$1,products!$A$1:$G$1,0))</f>
        <v>0.2</v>
      </c>
      <c r="K96" s="6">
        <f>INDEX(products!$A$1:$G$49,MATCH(orders!$D96,products!$A$1:$A$49,0),MATCH(orders!K$1,products!$A$1:$G$1,0))</f>
        <v>2.9849999999999999</v>
      </c>
      <c r="L96" s="6">
        <f>K96*E96</f>
        <v>17.91</v>
      </c>
      <c r="M96" t="str" cm="1">
        <f t="array" ref="M96">_xlfn.IFS(H96="Rob","Robusta",H96="Exc","Excelsa",H96="Ara","Arabica",H96="Lib","Liberica")</f>
        <v>Arabica</v>
      </c>
      <c r="N96" t="str" cm="1">
        <f t="array" ref="N96">_xlfn.IFS(I96="M","Medium",I96="L","Light",I96="D","Dark")</f>
        <v>Dark</v>
      </c>
      <c r="O96" t="str">
        <f>_xlfn.XLOOKUP(Orders[[#This Row],[Customer ID]],customers!$A$2:$A$1001,customers!$I$2:$I$1001,,0)</f>
        <v>Yes</v>
      </c>
    </row>
    <row r="97" spans="1:15" x14ac:dyDescent="0.3">
      <c r="A97" s="2" t="s">
        <v>1022</v>
      </c>
      <c r="B97" s="3">
        <v>43816</v>
      </c>
      <c r="C97" s="2" t="s">
        <v>1023</v>
      </c>
      <c r="D97" t="s">
        <v>6175</v>
      </c>
      <c r="E97" s="2">
        <v>6</v>
      </c>
      <c r="F97" s="2" t="str">
        <f>_xlfn.XLOOKUP(C97,customers!$A$2:$A$1001,customers!$B$2:$B$1001,,0)</f>
        <v>Norene Magauran</v>
      </c>
      <c r="G97" s="2" t="str">
        <f>_xlfn.XLOOKUP(C97,customers!$A$2:$A$1001,customers!$G$2:$G$1001,,0)</f>
        <v>United States</v>
      </c>
      <c r="H97" t="str">
        <f>INDEX(products!$A$1:$G$49,MATCH(orders!$D97,products!$A$1:$A$49,0),MATCH(orders!H$1,products!$A$1:$G$1,0))</f>
        <v>Ara</v>
      </c>
      <c r="I97" t="str">
        <f>INDEX(products!$A$1:$G$49,MATCH(orders!$D97,products!$A$1:$A$49,0),MATCH(orders!I$1,products!$A$1:$G$1,0))</f>
        <v>M</v>
      </c>
      <c r="J97" s="5">
        <f>INDEX(products!$A$1:$G$49,MATCH(orders!$D97,products!$A$1:$A$49,0),MATCH(orders!J$1,products!$A$1:$G$1,0))</f>
        <v>2.5</v>
      </c>
      <c r="K97" s="6">
        <f>INDEX(products!$A$1:$G$49,MATCH(orders!$D97,products!$A$1:$A$49,0),MATCH(orders!K$1,products!$A$1:$G$1,0))</f>
        <v>25.874999999999996</v>
      </c>
      <c r="L97" s="6">
        <f>K97*E97</f>
        <v>155.24999999999997</v>
      </c>
      <c r="M97" t="str" cm="1">
        <f t="array" ref="M97">_xlfn.IFS(H97="Rob","Robusta",H97="Exc","Excelsa",H97="Ara","Arabica",H97="Lib","Liberica")</f>
        <v>Arabica</v>
      </c>
      <c r="N97" t="str" cm="1">
        <f t="array" ref="N97">_xlfn.IFS(I97="M","Medium",I97="L","Light",I97="D","Dark")</f>
        <v>Medium</v>
      </c>
      <c r="O97" t="str">
        <f>_xlfn.XLOOKUP(Orders[[#This Row],[Customer ID]],customers!$A$2:$A$1001,customers!$I$2:$I$1001,,0)</f>
        <v>No</v>
      </c>
    </row>
    <row r="98" spans="1:15" x14ac:dyDescent="0.3">
      <c r="A98" s="2" t="s">
        <v>1027</v>
      </c>
      <c r="B98" s="3">
        <v>44171</v>
      </c>
      <c r="C98" s="2" t="s">
        <v>1028</v>
      </c>
      <c r="D98" t="s">
        <v>6154</v>
      </c>
      <c r="E98" s="2">
        <v>2</v>
      </c>
      <c r="F98" s="2" t="str">
        <f>_xlfn.XLOOKUP(C98,customers!$A$2:$A$1001,customers!$B$2:$B$1001,,0)</f>
        <v>Vicki Kirdsch</v>
      </c>
      <c r="G98" s="2" t="str">
        <f>_xlfn.XLOOKUP(C98,customers!$A$2:$A$1001,customers!$G$2:$G$1001,,0)</f>
        <v>United States</v>
      </c>
      <c r="H98" t="str">
        <f>INDEX(products!$A$1:$G$49,MATCH(orders!$D98,products!$A$1:$A$49,0),MATCH(orders!H$1,products!$A$1:$G$1,0))</f>
        <v>Ara</v>
      </c>
      <c r="I98" t="str">
        <f>INDEX(products!$A$1:$G$49,MATCH(orders!$D98,products!$A$1:$A$49,0),MATCH(orders!I$1,products!$A$1:$G$1,0))</f>
        <v>D</v>
      </c>
      <c r="J98" s="5">
        <f>INDEX(products!$A$1:$G$49,MATCH(orders!$D98,products!$A$1:$A$49,0),MATCH(orders!J$1,products!$A$1:$G$1,0))</f>
        <v>0.2</v>
      </c>
      <c r="K98" s="6">
        <f>INDEX(products!$A$1:$G$49,MATCH(orders!$D98,products!$A$1:$A$49,0),MATCH(orders!K$1,products!$A$1:$G$1,0))</f>
        <v>2.9849999999999999</v>
      </c>
      <c r="L98" s="6">
        <f>K98*E98</f>
        <v>5.97</v>
      </c>
      <c r="M98" t="str" cm="1">
        <f t="array" ref="M98">_xlfn.IFS(H98="Rob","Robusta",H98="Exc","Excelsa",H98="Ara","Arabica",H98="Lib","Liberica")</f>
        <v>Arabica</v>
      </c>
      <c r="N98" t="str" cm="1">
        <f t="array" ref="N98">_xlfn.IFS(I98="M","Medium",I98="L","Light",I98="D","Dark")</f>
        <v>Dark</v>
      </c>
      <c r="O98" t="str">
        <f>_xlfn.XLOOKUP(Orders[[#This Row],[Customer ID]],customers!$A$2:$A$1001,customers!$I$2:$I$1001,,0)</f>
        <v>No</v>
      </c>
    </row>
    <row r="99" spans="1:15" x14ac:dyDescent="0.3">
      <c r="A99" s="2" t="s">
        <v>1032</v>
      </c>
      <c r="B99" s="3">
        <v>44259</v>
      </c>
      <c r="C99" s="2" t="s">
        <v>1033</v>
      </c>
      <c r="D99" t="s">
        <v>6157</v>
      </c>
      <c r="E99" s="2">
        <v>2</v>
      </c>
      <c r="F99" s="2" t="str">
        <f>_xlfn.XLOOKUP(C99,customers!$A$2:$A$1001,customers!$B$2:$B$1001,,0)</f>
        <v>Ilysa Whapple</v>
      </c>
      <c r="G99" s="2" t="str">
        <f>_xlfn.XLOOKUP(C99,customers!$A$2:$A$1001,customers!$G$2:$G$1001,,0)</f>
        <v>United States</v>
      </c>
      <c r="H99" t="str">
        <f>INDEX(products!$A$1:$G$49,MATCH(orders!$D99,products!$A$1:$A$49,0),MATCH(orders!H$1,products!$A$1:$G$1,0))</f>
        <v>Ara</v>
      </c>
      <c r="I99" t="str">
        <f>INDEX(products!$A$1:$G$49,MATCH(orders!$D99,products!$A$1:$A$49,0),MATCH(orders!I$1,products!$A$1:$G$1,0))</f>
        <v>M</v>
      </c>
      <c r="J99" s="5">
        <f>INDEX(products!$A$1:$G$49,MATCH(orders!$D99,products!$A$1:$A$49,0),MATCH(orders!J$1,products!$A$1:$G$1,0))</f>
        <v>0.5</v>
      </c>
      <c r="K99" s="6">
        <f>INDEX(products!$A$1:$G$49,MATCH(orders!$D99,products!$A$1:$A$49,0),MATCH(orders!K$1,products!$A$1:$G$1,0))</f>
        <v>6.75</v>
      </c>
      <c r="L99" s="6">
        <f>K99*E99</f>
        <v>13.5</v>
      </c>
      <c r="M99" t="str" cm="1">
        <f t="array" ref="M99">_xlfn.IFS(H99="Rob","Robusta",H99="Exc","Excelsa",H99="Ara","Arabica",H99="Lib","Liberica")</f>
        <v>Arabica</v>
      </c>
      <c r="N99" t="str" cm="1">
        <f t="array" ref="N99">_xlfn.IFS(I99="M","Medium",I99="L","Light",I99="D","Dark")</f>
        <v>Medium</v>
      </c>
      <c r="O99" t="str">
        <f>_xlfn.XLOOKUP(Orders[[#This Row],[Customer ID]],customers!$A$2:$A$1001,customers!$I$2:$I$1001,,0)</f>
        <v>No</v>
      </c>
    </row>
    <row r="100" spans="1:15" x14ac:dyDescent="0.3">
      <c r="A100" s="2" t="s">
        <v>1038</v>
      </c>
      <c r="B100" s="3">
        <v>44394</v>
      </c>
      <c r="C100" s="2" t="s">
        <v>1039</v>
      </c>
      <c r="D100" t="s">
        <v>6154</v>
      </c>
      <c r="E100" s="2">
        <v>1</v>
      </c>
      <c r="F100" s="2" t="str">
        <f>_xlfn.XLOOKUP(C100,customers!$A$2:$A$1001,customers!$B$2:$B$1001,,0)</f>
        <v>Ruy Cancellieri</v>
      </c>
      <c r="G100" s="2" t="str">
        <f>_xlfn.XLOOKUP(C100,customers!$A$2:$A$1001,customers!$G$2:$G$1001,,0)</f>
        <v>Ireland</v>
      </c>
      <c r="H100" t="str">
        <f>INDEX(products!$A$1:$G$49,MATCH(orders!$D100,products!$A$1:$A$49,0),MATCH(orders!H$1,products!$A$1:$G$1,0))</f>
        <v>Ara</v>
      </c>
      <c r="I100" t="str">
        <f>INDEX(products!$A$1:$G$49,MATCH(orders!$D100,products!$A$1:$A$49,0),MATCH(orders!I$1,products!$A$1:$G$1,0))</f>
        <v>D</v>
      </c>
      <c r="J100" s="5">
        <f>INDEX(products!$A$1:$G$49,MATCH(orders!$D100,products!$A$1:$A$49,0),MATCH(orders!J$1,products!$A$1:$G$1,0))</f>
        <v>0.2</v>
      </c>
      <c r="K100" s="6">
        <f>INDEX(products!$A$1:$G$49,MATCH(orders!$D100,products!$A$1:$A$49,0),MATCH(orders!K$1,products!$A$1:$G$1,0))</f>
        <v>2.9849999999999999</v>
      </c>
      <c r="L100" s="6">
        <f>K100*E100</f>
        <v>2.9849999999999999</v>
      </c>
      <c r="M100" t="str" cm="1">
        <f t="array" ref="M100">_xlfn.IFS(H100="Rob","Robusta",H100="Exc","Excelsa",H100="Ara","Arabica",H100="Lib","Liberica")</f>
        <v>Arabica</v>
      </c>
      <c r="N100" t="str" cm="1">
        <f t="array" ref="N100">_xlfn.IFS(I100="M","Medium",I100="L","Light",I100="D","Dark")</f>
        <v>Dark</v>
      </c>
      <c r="O100" t="str">
        <f>_xlfn.XLOOKUP(Orders[[#This Row],[Customer ID]],customers!$A$2:$A$1001,customers!$I$2:$I$1001,,0)</f>
        <v>No</v>
      </c>
    </row>
    <row r="101" spans="1:15" x14ac:dyDescent="0.3">
      <c r="A101" s="2" t="s">
        <v>1043</v>
      </c>
      <c r="B101" s="3">
        <v>44139</v>
      </c>
      <c r="C101" s="2" t="s">
        <v>1044</v>
      </c>
      <c r="D101" t="s">
        <v>6159</v>
      </c>
      <c r="E101" s="2">
        <v>3</v>
      </c>
      <c r="F101" s="2" t="str">
        <f>_xlfn.XLOOKUP(C101,customers!$A$2:$A$1001,customers!$B$2:$B$1001,,0)</f>
        <v>Aube Follett</v>
      </c>
      <c r="G101" s="2" t="str">
        <f>_xlfn.XLOOKUP(C101,customers!$A$2:$A$1001,customers!$G$2:$G$1001,,0)</f>
        <v>United States</v>
      </c>
      <c r="H101" t="str">
        <f>INDEX(products!$A$1:$G$49,MATCH(orders!$D101,products!$A$1:$A$49,0),MATCH(orders!H$1,products!$A$1:$G$1,0))</f>
        <v>Lib</v>
      </c>
      <c r="I101" t="str">
        <f>INDEX(products!$A$1:$G$49,MATCH(orders!$D101,products!$A$1:$A$49,0),MATCH(orders!I$1,products!$A$1:$G$1,0))</f>
        <v>M</v>
      </c>
      <c r="J101" s="5">
        <f>INDEX(products!$A$1:$G$49,MATCH(orders!$D101,products!$A$1:$A$49,0),MATCH(orders!J$1,products!$A$1:$G$1,0))</f>
        <v>0.2</v>
      </c>
      <c r="K101" s="6">
        <f>INDEX(products!$A$1:$G$49,MATCH(orders!$D101,products!$A$1:$A$49,0),MATCH(orders!K$1,products!$A$1:$G$1,0))</f>
        <v>4.3650000000000002</v>
      </c>
      <c r="L101" s="6">
        <f>K101*E101</f>
        <v>13.095000000000001</v>
      </c>
      <c r="M101" t="str" cm="1">
        <f t="array" ref="M101">_xlfn.IFS(H101="Rob","Robusta",H101="Exc","Excelsa",H101="Ara","Arabica",H101="Lib","Liberica")</f>
        <v>Liberica</v>
      </c>
      <c r="N101" t="str" cm="1">
        <f t="array" ref="N101">_xlfn.IFS(I101="M","Medium",I101="L","Light",I101="D","Dark")</f>
        <v>Medium</v>
      </c>
      <c r="O101" t="str">
        <f>_xlfn.XLOOKUP(Orders[[#This Row],[Customer ID]],customers!$A$2:$A$1001,customers!$I$2:$I$1001,,0)</f>
        <v>Yes</v>
      </c>
    </row>
    <row r="102" spans="1:15" x14ac:dyDescent="0.3">
      <c r="A102" s="2" t="s">
        <v>1048</v>
      </c>
      <c r="B102" s="3">
        <v>44291</v>
      </c>
      <c r="C102" s="2" t="s">
        <v>1049</v>
      </c>
      <c r="D102" t="s">
        <v>6167</v>
      </c>
      <c r="E102" s="2">
        <v>2</v>
      </c>
      <c r="F102" s="2" t="str">
        <f>_xlfn.XLOOKUP(C102,customers!$A$2:$A$1001,customers!$B$2:$B$1001,,0)</f>
        <v>Rudiger Di Bartolomeo</v>
      </c>
      <c r="G102" s="2" t="str">
        <f>_xlfn.XLOOKUP(C102,customers!$A$2:$A$1001,customers!$G$2:$G$1001,,0)</f>
        <v>United States</v>
      </c>
      <c r="H102" t="str">
        <f>INDEX(products!$A$1:$G$49,MATCH(orders!$D102,products!$A$1:$A$49,0),MATCH(orders!H$1,products!$A$1:$G$1,0))</f>
        <v>Ara</v>
      </c>
      <c r="I102" t="str">
        <f>INDEX(products!$A$1:$G$49,MATCH(orders!$D102,products!$A$1:$A$49,0),MATCH(orders!I$1,products!$A$1:$G$1,0))</f>
        <v>L</v>
      </c>
      <c r="J102" s="5">
        <f>INDEX(products!$A$1:$G$49,MATCH(orders!$D102,products!$A$1:$A$49,0),MATCH(orders!J$1,products!$A$1:$G$1,0))</f>
        <v>0.2</v>
      </c>
      <c r="K102" s="6">
        <f>INDEX(products!$A$1:$G$49,MATCH(orders!$D102,products!$A$1:$A$49,0),MATCH(orders!K$1,products!$A$1:$G$1,0))</f>
        <v>3.8849999999999998</v>
      </c>
      <c r="L102" s="6">
        <f>K102*E102</f>
        <v>7.77</v>
      </c>
      <c r="M102" t="str" cm="1">
        <f t="array" ref="M102">_xlfn.IFS(H102="Rob","Robusta",H102="Exc","Excelsa",H102="Ara","Arabica",H102="Lib","Liberica")</f>
        <v>Arabica</v>
      </c>
      <c r="N102" t="str" cm="1">
        <f t="array" ref="N102">_xlfn.IFS(I102="M","Medium",I102="L","Light",I102="D","Dark")</f>
        <v>Light</v>
      </c>
      <c r="O102" t="str">
        <f>_xlfn.XLOOKUP(Orders[[#This Row],[Customer ID]],customers!$A$2:$A$1001,customers!$I$2:$I$1001,,0)</f>
        <v>Yes</v>
      </c>
    </row>
    <row r="103" spans="1:15" x14ac:dyDescent="0.3">
      <c r="A103" s="2" t="s">
        <v>1053</v>
      </c>
      <c r="B103" s="3">
        <v>43891</v>
      </c>
      <c r="C103" s="2" t="s">
        <v>1054</v>
      </c>
      <c r="D103" t="s">
        <v>6165</v>
      </c>
      <c r="E103" s="2">
        <v>5</v>
      </c>
      <c r="F103" s="2" t="str">
        <f>_xlfn.XLOOKUP(C103,customers!$A$2:$A$1001,customers!$B$2:$B$1001,,0)</f>
        <v>Nickey Youles</v>
      </c>
      <c r="G103" s="2" t="str">
        <f>_xlfn.XLOOKUP(C103,customers!$A$2:$A$1001,customers!$G$2:$G$1001,,0)</f>
        <v>Ireland</v>
      </c>
      <c r="H103" t="str">
        <f>INDEX(products!$A$1:$G$49,MATCH(orders!$D103,products!$A$1:$A$49,0),MATCH(orders!H$1,products!$A$1:$G$1,0))</f>
        <v>Lib</v>
      </c>
      <c r="I103" t="str">
        <f>INDEX(products!$A$1:$G$49,MATCH(orders!$D103,products!$A$1:$A$49,0),MATCH(orders!I$1,products!$A$1:$G$1,0))</f>
        <v>D</v>
      </c>
      <c r="J103" s="5">
        <f>INDEX(products!$A$1:$G$49,MATCH(orders!$D103,products!$A$1:$A$49,0),MATCH(orders!J$1,products!$A$1:$G$1,0))</f>
        <v>2.5</v>
      </c>
      <c r="K103" s="6">
        <f>INDEX(products!$A$1:$G$49,MATCH(orders!$D103,products!$A$1:$A$49,0),MATCH(orders!K$1,products!$A$1:$G$1,0))</f>
        <v>29.784999999999997</v>
      </c>
      <c r="L103" s="6">
        <f>K103*E103</f>
        <v>148.92499999999998</v>
      </c>
      <c r="M103" t="str" cm="1">
        <f t="array" ref="M103">_xlfn.IFS(H103="Rob","Robusta",H103="Exc","Excelsa",H103="Ara","Arabica",H103="Lib","Liberica")</f>
        <v>Liberica</v>
      </c>
      <c r="N103" t="str" cm="1">
        <f t="array" ref="N103">_xlfn.IFS(I103="M","Medium",I103="L","Light",I103="D","Dark")</f>
        <v>Dark</v>
      </c>
      <c r="O103" t="str">
        <f>_xlfn.XLOOKUP(Orders[[#This Row],[Customer ID]],customers!$A$2:$A$1001,customers!$I$2:$I$1001,,0)</f>
        <v>Yes</v>
      </c>
    </row>
    <row r="104" spans="1:15" x14ac:dyDescent="0.3">
      <c r="A104" s="2" t="s">
        <v>1059</v>
      </c>
      <c r="B104" s="3">
        <v>44488</v>
      </c>
      <c r="C104" s="2" t="s">
        <v>1060</v>
      </c>
      <c r="D104" t="s">
        <v>6143</v>
      </c>
      <c r="E104" s="2">
        <v>3</v>
      </c>
      <c r="F104" s="2" t="str">
        <f>_xlfn.XLOOKUP(C104,customers!$A$2:$A$1001,customers!$B$2:$B$1001,,0)</f>
        <v>Dyanna Aizikovitz</v>
      </c>
      <c r="G104" s="2" t="str">
        <f>_xlfn.XLOOKUP(C104,customers!$A$2:$A$1001,customers!$G$2:$G$1001,,0)</f>
        <v>Ireland</v>
      </c>
      <c r="H104" t="str">
        <f>INDEX(products!$A$1:$G$49,MATCH(orders!$D104,products!$A$1:$A$49,0),MATCH(orders!H$1,products!$A$1:$G$1,0))</f>
        <v>Lib</v>
      </c>
      <c r="I104" t="str">
        <f>INDEX(products!$A$1:$G$49,MATCH(orders!$D104,products!$A$1:$A$49,0),MATCH(orders!I$1,products!$A$1:$G$1,0))</f>
        <v>D</v>
      </c>
      <c r="J104" s="5">
        <f>INDEX(products!$A$1:$G$49,MATCH(orders!$D104,products!$A$1:$A$49,0),MATCH(orders!J$1,products!$A$1:$G$1,0))</f>
        <v>1</v>
      </c>
      <c r="K104" s="6">
        <f>INDEX(products!$A$1:$G$49,MATCH(orders!$D104,products!$A$1:$A$49,0),MATCH(orders!K$1,products!$A$1:$G$1,0))</f>
        <v>12.95</v>
      </c>
      <c r="L104" s="6">
        <f>K104*E104</f>
        <v>38.849999999999994</v>
      </c>
      <c r="M104" t="str" cm="1">
        <f t="array" ref="M104">_xlfn.IFS(H104="Rob","Robusta",H104="Exc","Excelsa",H104="Ara","Arabica",H104="Lib","Liberica")</f>
        <v>Liberica</v>
      </c>
      <c r="N104" t="str" cm="1">
        <f t="array" ref="N104">_xlfn.IFS(I104="M","Medium",I104="L","Light",I104="D","Dark")</f>
        <v>Dark</v>
      </c>
      <c r="O104" t="str">
        <f>_xlfn.XLOOKUP(Orders[[#This Row],[Customer ID]],customers!$A$2:$A$1001,customers!$I$2:$I$1001,,0)</f>
        <v>Yes</v>
      </c>
    </row>
    <row r="105" spans="1:15" x14ac:dyDescent="0.3">
      <c r="A105" s="2" t="s">
        <v>1065</v>
      </c>
      <c r="B105" s="3">
        <v>44750</v>
      </c>
      <c r="C105" s="2" t="s">
        <v>1066</v>
      </c>
      <c r="D105" t="s">
        <v>6174</v>
      </c>
      <c r="E105" s="2">
        <v>4</v>
      </c>
      <c r="F105" s="2" t="str">
        <f>_xlfn.XLOOKUP(C105,customers!$A$2:$A$1001,customers!$B$2:$B$1001,,0)</f>
        <v>Bram Revel</v>
      </c>
      <c r="G105" s="2" t="str">
        <f>_xlfn.XLOOKUP(C105,customers!$A$2:$A$1001,customers!$G$2:$G$1001,,0)</f>
        <v>United States</v>
      </c>
      <c r="H105" t="str">
        <f>INDEX(products!$A$1:$G$49,MATCH(orders!$D105,products!$A$1:$A$49,0),MATCH(orders!H$1,products!$A$1:$G$1,0))</f>
        <v>Rob</v>
      </c>
      <c r="I105" t="str">
        <f>INDEX(products!$A$1:$G$49,MATCH(orders!$D105,products!$A$1:$A$49,0),MATCH(orders!I$1,products!$A$1:$G$1,0))</f>
        <v>M</v>
      </c>
      <c r="J105" s="5">
        <f>INDEX(products!$A$1:$G$49,MATCH(orders!$D105,products!$A$1:$A$49,0),MATCH(orders!J$1,products!$A$1:$G$1,0))</f>
        <v>0.2</v>
      </c>
      <c r="K105" s="6">
        <f>INDEX(products!$A$1:$G$49,MATCH(orders!$D105,products!$A$1:$A$49,0),MATCH(orders!K$1,products!$A$1:$G$1,0))</f>
        <v>2.9849999999999999</v>
      </c>
      <c r="L105" s="6">
        <f>K105*E105</f>
        <v>11.94</v>
      </c>
      <c r="M105" t="str" cm="1">
        <f t="array" ref="M105">_xlfn.IFS(H105="Rob","Robusta",H105="Exc","Excelsa",H105="Ara","Arabica",H105="Lib","Liberica")</f>
        <v>Robusta</v>
      </c>
      <c r="N105" t="str" cm="1">
        <f t="array" ref="N105">_xlfn.IFS(I105="M","Medium",I105="L","Light",I105="D","Dark")</f>
        <v>Medium</v>
      </c>
      <c r="O105" t="str">
        <f>_xlfn.XLOOKUP(Orders[[#This Row],[Customer ID]],customers!$A$2:$A$1001,customers!$I$2:$I$1001,,0)</f>
        <v>No</v>
      </c>
    </row>
    <row r="106" spans="1:15" x14ac:dyDescent="0.3">
      <c r="A106" s="2" t="s">
        <v>1071</v>
      </c>
      <c r="B106" s="3">
        <v>43694</v>
      </c>
      <c r="C106" s="2" t="s">
        <v>1072</v>
      </c>
      <c r="D106" t="s">
        <v>6162</v>
      </c>
      <c r="E106" s="2">
        <v>6</v>
      </c>
      <c r="F106" s="2" t="str">
        <f>_xlfn.XLOOKUP(C106,customers!$A$2:$A$1001,customers!$B$2:$B$1001,,0)</f>
        <v>Emiline Priddis</v>
      </c>
      <c r="G106" s="2" t="str">
        <f>_xlfn.XLOOKUP(C106,customers!$A$2:$A$1001,customers!$G$2:$G$1001,,0)</f>
        <v>United States</v>
      </c>
      <c r="H106" t="str">
        <f>INDEX(products!$A$1:$G$49,MATCH(orders!$D106,products!$A$1:$A$49,0),MATCH(orders!H$1,products!$A$1:$G$1,0))</f>
        <v>Lib</v>
      </c>
      <c r="I106" t="str">
        <f>INDEX(products!$A$1:$G$49,MATCH(orders!$D106,products!$A$1:$A$49,0),MATCH(orders!I$1,products!$A$1:$G$1,0))</f>
        <v>M</v>
      </c>
      <c r="J106" s="5">
        <f>INDEX(products!$A$1:$G$49,MATCH(orders!$D106,products!$A$1:$A$49,0),MATCH(orders!J$1,products!$A$1:$G$1,0))</f>
        <v>1</v>
      </c>
      <c r="K106" s="6">
        <f>INDEX(products!$A$1:$G$49,MATCH(orders!$D106,products!$A$1:$A$49,0),MATCH(orders!K$1,products!$A$1:$G$1,0))</f>
        <v>14.55</v>
      </c>
      <c r="L106" s="6">
        <f>K106*E106</f>
        <v>87.300000000000011</v>
      </c>
      <c r="M106" t="str" cm="1">
        <f t="array" ref="M106">_xlfn.IFS(H106="Rob","Robusta",H106="Exc","Excelsa",H106="Ara","Arabica",H106="Lib","Liberica")</f>
        <v>Liberica</v>
      </c>
      <c r="N106" t="str" cm="1">
        <f t="array" ref="N106">_xlfn.IFS(I106="M","Medium",I106="L","Light",I106="D","Dark")</f>
        <v>Medium</v>
      </c>
      <c r="O106" t="str">
        <f>_xlfn.XLOOKUP(Orders[[#This Row],[Customer ID]],customers!$A$2:$A$1001,customers!$I$2:$I$1001,,0)</f>
        <v>No</v>
      </c>
    </row>
    <row r="107" spans="1:15" x14ac:dyDescent="0.3">
      <c r="A107" s="2" t="s">
        <v>1077</v>
      </c>
      <c r="B107" s="3">
        <v>43982</v>
      </c>
      <c r="C107" s="2" t="s">
        <v>1078</v>
      </c>
      <c r="D107" t="s">
        <v>6157</v>
      </c>
      <c r="E107" s="2">
        <v>6</v>
      </c>
      <c r="F107" s="2" t="str">
        <f>_xlfn.XLOOKUP(C107,customers!$A$2:$A$1001,customers!$B$2:$B$1001,,0)</f>
        <v>Queenie Veel</v>
      </c>
      <c r="G107" s="2" t="str">
        <f>_xlfn.XLOOKUP(C107,customers!$A$2:$A$1001,customers!$G$2:$G$1001,,0)</f>
        <v>United States</v>
      </c>
      <c r="H107" t="str">
        <f>INDEX(products!$A$1:$G$49,MATCH(orders!$D107,products!$A$1:$A$49,0),MATCH(orders!H$1,products!$A$1:$G$1,0))</f>
        <v>Ara</v>
      </c>
      <c r="I107" t="str">
        <f>INDEX(products!$A$1:$G$49,MATCH(orders!$D107,products!$A$1:$A$49,0),MATCH(orders!I$1,products!$A$1:$G$1,0))</f>
        <v>M</v>
      </c>
      <c r="J107" s="5">
        <f>INDEX(products!$A$1:$G$49,MATCH(orders!$D107,products!$A$1:$A$49,0),MATCH(orders!J$1,products!$A$1:$G$1,0))</f>
        <v>0.5</v>
      </c>
      <c r="K107" s="6">
        <f>INDEX(products!$A$1:$G$49,MATCH(orders!$D107,products!$A$1:$A$49,0),MATCH(orders!K$1,products!$A$1:$G$1,0))</f>
        <v>6.75</v>
      </c>
      <c r="L107" s="6">
        <f>K107*E107</f>
        <v>40.5</v>
      </c>
      <c r="M107" t="str" cm="1">
        <f t="array" ref="M107">_xlfn.IFS(H107="Rob","Robusta",H107="Exc","Excelsa",H107="Ara","Arabica",H107="Lib","Liberica")</f>
        <v>Arabica</v>
      </c>
      <c r="N107" t="str" cm="1">
        <f t="array" ref="N107">_xlfn.IFS(I107="M","Medium",I107="L","Light",I107="D","Dark")</f>
        <v>Medium</v>
      </c>
      <c r="O107" t="str">
        <f>_xlfn.XLOOKUP(Orders[[#This Row],[Customer ID]],customers!$A$2:$A$1001,customers!$I$2:$I$1001,,0)</f>
        <v>Yes</v>
      </c>
    </row>
    <row r="108" spans="1:15" x14ac:dyDescent="0.3">
      <c r="A108" s="2" t="s">
        <v>1083</v>
      </c>
      <c r="B108" s="3">
        <v>43956</v>
      </c>
      <c r="C108" s="2" t="s">
        <v>1084</v>
      </c>
      <c r="D108" t="s">
        <v>6183</v>
      </c>
      <c r="E108" s="2">
        <v>2</v>
      </c>
      <c r="F108" s="2" t="str">
        <f>_xlfn.XLOOKUP(C108,customers!$A$2:$A$1001,customers!$B$2:$B$1001,,0)</f>
        <v>Lind Conyers</v>
      </c>
      <c r="G108" s="2" t="str">
        <f>_xlfn.XLOOKUP(C108,customers!$A$2:$A$1001,customers!$G$2:$G$1001,,0)</f>
        <v>United States</v>
      </c>
      <c r="H108" t="str">
        <f>INDEX(products!$A$1:$G$49,MATCH(orders!$D108,products!$A$1:$A$49,0),MATCH(orders!H$1,products!$A$1:$G$1,0))</f>
        <v>Exc</v>
      </c>
      <c r="I108" t="str">
        <f>INDEX(products!$A$1:$G$49,MATCH(orders!$D108,products!$A$1:$A$49,0),MATCH(orders!I$1,products!$A$1:$G$1,0))</f>
        <v>D</v>
      </c>
      <c r="J108" s="5">
        <f>INDEX(products!$A$1:$G$49,MATCH(orders!$D108,products!$A$1:$A$49,0),MATCH(orders!J$1,products!$A$1:$G$1,0))</f>
        <v>1</v>
      </c>
      <c r="K108" s="6">
        <f>INDEX(products!$A$1:$G$49,MATCH(orders!$D108,products!$A$1:$A$49,0),MATCH(orders!K$1,products!$A$1:$G$1,0))</f>
        <v>12.15</v>
      </c>
      <c r="L108" s="6">
        <f>K108*E108</f>
        <v>24.3</v>
      </c>
      <c r="M108" t="str" cm="1">
        <f t="array" ref="M108">_xlfn.IFS(H108="Rob","Robusta",H108="Exc","Excelsa",H108="Ara","Arabica",H108="Lib","Liberica")</f>
        <v>Excelsa</v>
      </c>
      <c r="N108" t="str" cm="1">
        <f t="array" ref="N108">_xlfn.IFS(I108="M","Medium",I108="L","Light",I108="D","Dark")</f>
        <v>Dark</v>
      </c>
      <c r="O108" t="str">
        <f>_xlfn.XLOOKUP(Orders[[#This Row],[Customer ID]],customers!$A$2:$A$1001,customers!$I$2:$I$1001,,0)</f>
        <v>No</v>
      </c>
    </row>
    <row r="109" spans="1:15" x14ac:dyDescent="0.3">
      <c r="A109" s="2" t="s">
        <v>1089</v>
      </c>
      <c r="B109" s="3">
        <v>43569</v>
      </c>
      <c r="C109" s="2" t="s">
        <v>1090</v>
      </c>
      <c r="D109" t="s">
        <v>6146</v>
      </c>
      <c r="E109" s="2">
        <v>3</v>
      </c>
      <c r="F109" s="2" t="str">
        <f>_xlfn.XLOOKUP(C109,customers!$A$2:$A$1001,customers!$B$2:$B$1001,,0)</f>
        <v>Pen Wye</v>
      </c>
      <c r="G109" s="2" t="str">
        <f>_xlfn.XLOOKUP(C109,customers!$A$2:$A$1001,customers!$G$2:$G$1001,,0)</f>
        <v>United States</v>
      </c>
      <c r="H109" t="str">
        <f>INDEX(products!$A$1:$G$49,MATCH(orders!$D109,products!$A$1:$A$49,0),MATCH(orders!H$1,products!$A$1:$G$1,0))</f>
        <v>Rob</v>
      </c>
      <c r="I109" t="str">
        <f>INDEX(products!$A$1:$G$49,MATCH(orders!$D109,products!$A$1:$A$49,0),MATCH(orders!I$1,products!$A$1:$G$1,0))</f>
        <v>M</v>
      </c>
      <c r="J109" s="5">
        <f>INDEX(products!$A$1:$G$49,MATCH(orders!$D109,products!$A$1:$A$49,0),MATCH(orders!J$1,products!$A$1:$G$1,0))</f>
        <v>0.5</v>
      </c>
      <c r="K109" s="6">
        <f>INDEX(products!$A$1:$G$49,MATCH(orders!$D109,products!$A$1:$A$49,0),MATCH(orders!K$1,products!$A$1:$G$1,0))</f>
        <v>5.97</v>
      </c>
      <c r="L109" s="6">
        <f>K109*E109</f>
        <v>17.91</v>
      </c>
      <c r="M109" t="str" cm="1">
        <f t="array" ref="M109">_xlfn.IFS(H109="Rob","Robusta",H109="Exc","Excelsa",H109="Ara","Arabica",H109="Lib","Liberica")</f>
        <v>Robusta</v>
      </c>
      <c r="N109" t="str" cm="1">
        <f t="array" ref="N109">_xlfn.IFS(I109="M","Medium",I109="L","Light",I109="D","Dark")</f>
        <v>Medium</v>
      </c>
      <c r="O109" t="str">
        <f>_xlfn.XLOOKUP(Orders[[#This Row],[Customer ID]],customers!$A$2:$A$1001,customers!$I$2:$I$1001,,0)</f>
        <v>Yes</v>
      </c>
    </row>
    <row r="110" spans="1:15" x14ac:dyDescent="0.3">
      <c r="A110" s="2" t="s">
        <v>1095</v>
      </c>
      <c r="B110" s="3">
        <v>44041</v>
      </c>
      <c r="C110" s="2" t="s">
        <v>1096</v>
      </c>
      <c r="D110" t="s">
        <v>6157</v>
      </c>
      <c r="E110" s="2">
        <v>4</v>
      </c>
      <c r="F110" s="2" t="str">
        <f>_xlfn.XLOOKUP(C110,customers!$A$2:$A$1001,customers!$B$2:$B$1001,,0)</f>
        <v>Isahella Hagland</v>
      </c>
      <c r="G110" s="2" t="str">
        <f>_xlfn.XLOOKUP(C110,customers!$A$2:$A$1001,customers!$G$2:$G$1001,,0)</f>
        <v>United States</v>
      </c>
      <c r="H110" t="str">
        <f>INDEX(products!$A$1:$G$49,MATCH(orders!$D110,products!$A$1:$A$49,0),MATCH(orders!H$1,products!$A$1:$G$1,0))</f>
        <v>Ara</v>
      </c>
      <c r="I110" t="str">
        <f>INDEX(products!$A$1:$G$49,MATCH(orders!$D110,products!$A$1:$A$49,0),MATCH(orders!I$1,products!$A$1:$G$1,0))</f>
        <v>M</v>
      </c>
      <c r="J110" s="5">
        <f>INDEX(products!$A$1:$G$49,MATCH(orders!$D110,products!$A$1:$A$49,0),MATCH(orders!J$1,products!$A$1:$G$1,0))</f>
        <v>0.5</v>
      </c>
      <c r="K110" s="6">
        <f>INDEX(products!$A$1:$G$49,MATCH(orders!$D110,products!$A$1:$A$49,0),MATCH(orders!K$1,products!$A$1:$G$1,0))</f>
        <v>6.75</v>
      </c>
      <c r="L110" s="6">
        <f>K110*E110</f>
        <v>27</v>
      </c>
      <c r="M110" t="str" cm="1">
        <f t="array" ref="M110">_xlfn.IFS(H110="Rob","Robusta",H110="Exc","Excelsa",H110="Ara","Arabica",H110="Lib","Liberica")</f>
        <v>Arabica</v>
      </c>
      <c r="N110" t="str" cm="1">
        <f t="array" ref="N110">_xlfn.IFS(I110="M","Medium",I110="L","Light",I110="D","Dark")</f>
        <v>Medium</v>
      </c>
      <c r="O110" t="str">
        <f>_xlfn.XLOOKUP(Orders[[#This Row],[Customer ID]],customers!$A$2:$A$1001,customers!$I$2:$I$1001,,0)</f>
        <v>No</v>
      </c>
    </row>
    <row r="111" spans="1:15" x14ac:dyDescent="0.3">
      <c r="A111" s="2" t="s">
        <v>1100</v>
      </c>
      <c r="B111" s="3">
        <v>43811</v>
      </c>
      <c r="C111" s="2" t="s">
        <v>1101</v>
      </c>
      <c r="D111" t="s">
        <v>6169</v>
      </c>
      <c r="E111" s="2">
        <v>1</v>
      </c>
      <c r="F111" s="2" t="str">
        <f>_xlfn.XLOOKUP(C111,customers!$A$2:$A$1001,customers!$B$2:$B$1001,,0)</f>
        <v>Terry Sheryn</v>
      </c>
      <c r="G111" s="2" t="str">
        <f>_xlfn.XLOOKUP(C111,customers!$A$2:$A$1001,customers!$G$2:$G$1001,,0)</f>
        <v>United States</v>
      </c>
      <c r="H111" t="str">
        <f>INDEX(products!$A$1:$G$49,MATCH(orders!$D111,products!$A$1:$A$49,0),MATCH(orders!H$1,products!$A$1:$G$1,0))</f>
        <v>Lib</v>
      </c>
      <c r="I111" t="str">
        <f>INDEX(products!$A$1:$G$49,MATCH(orders!$D111,products!$A$1:$A$49,0),MATCH(orders!I$1,products!$A$1:$G$1,0))</f>
        <v>D</v>
      </c>
      <c r="J111" s="5">
        <f>INDEX(products!$A$1:$G$49,MATCH(orders!$D111,products!$A$1:$A$49,0),MATCH(orders!J$1,products!$A$1:$G$1,0))</f>
        <v>0.5</v>
      </c>
      <c r="K111" s="6">
        <f>INDEX(products!$A$1:$G$49,MATCH(orders!$D111,products!$A$1:$A$49,0),MATCH(orders!K$1,products!$A$1:$G$1,0))</f>
        <v>7.77</v>
      </c>
      <c r="L111" s="6">
        <f>K111*E111</f>
        <v>7.77</v>
      </c>
      <c r="M111" t="str" cm="1">
        <f t="array" ref="M111">_xlfn.IFS(H111="Rob","Robusta",H111="Exc","Excelsa",H111="Ara","Arabica",H111="Lib","Liberica")</f>
        <v>Liberica</v>
      </c>
      <c r="N111" t="str" cm="1">
        <f t="array" ref="N111">_xlfn.IFS(I111="M","Medium",I111="L","Light",I111="D","Dark")</f>
        <v>Dark</v>
      </c>
      <c r="O111" t="str">
        <f>_xlfn.XLOOKUP(Orders[[#This Row],[Customer ID]],customers!$A$2:$A$1001,customers!$I$2:$I$1001,,0)</f>
        <v>Yes</v>
      </c>
    </row>
    <row r="112" spans="1:15" x14ac:dyDescent="0.3">
      <c r="A112" s="2" t="s">
        <v>1106</v>
      </c>
      <c r="B112" s="3">
        <v>44727</v>
      </c>
      <c r="C112" s="2" t="s">
        <v>1107</v>
      </c>
      <c r="D112" t="s">
        <v>6184</v>
      </c>
      <c r="E112" s="2">
        <v>3</v>
      </c>
      <c r="F112" s="2" t="str">
        <f>_xlfn.XLOOKUP(C112,customers!$A$2:$A$1001,customers!$B$2:$B$1001,,0)</f>
        <v>Marie-jeanne Redgrave</v>
      </c>
      <c r="G112" s="2" t="str">
        <f>_xlfn.XLOOKUP(C112,customers!$A$2:$A$1001,customers!$G$2:$G$1001,,0)</f>
        <v>United States</v>
      </c>
      <c r="H112" t="str">
        <f>INDEX(products!$A$1:$G$49,MATCH(orders!$D112,products!$A$1:$A$49,0),MATCH(orders!H$1,products!$A$1:$G$1,0))</f>
        <v>Exc</v>
      </c>
      <c r="I112" t="str">
        <f>INDEX(products!$A$1:$G$49,MATCH(orders!$D112,products!$A$1:$A$49,0),MATCH(orders!I$1,products!$A$1:$G$1,0))</f>
        <v>L</v>
      </c>
      <c r="J112" s="5">
        <f>INDEX(products!$A$1:$G$49,MATCH(orders!$D112,products!$A$1:$A$49,0),MATCH(orders!J$1,products!$A$1:$G$1,0))</f>
        <v>0.2</v>
      </c>
      <c r="K112" s="6">
        <f>INDEX(products!$A$1:$G$49,MATCH(orders!$D112,products!$A$1:$A$49,0),MATCH(orders!K$1,products!$A$1:$G$1,0))</f>
        <v>4.4550000000000001</v>
      </c>
      <c r="L112" s="6">
        <f>K112*E112</f>
        <v>13.365</v>
      </c>
      <c r="M112" t="str" cm="1">
        <f t="array" ref="M112">_xlfn.IFS(H112="Rob","Robusta",H112="Exc","Excelsa",H112="Ara","Arabica",H112="Lib","Liberica")</f>
        <v>Excelsa</v>
      </c>
      <c r="N112" t="str" cm="1">
        <f t="array" ref="N112">_xlfn.IFS(I112="M","Medium",I112="L","Light",I112="D","Dark")</f>
        <v>Light</v>
      </c>
      <c r="O112" t="str">
        <f>_xlfn.XLOOKUP(Orders[[#This Row],[Customer ID]],customers!$A$2:$A$1001,customers!$I$2:$I$1001,,0)</f>
        <v>Yes</v>
      </c>
    </row>
    <row r="113" spans="1:15" x14ac:dyDescent="0.3">
      <c r="A113" s="2" t="s">
        <v>1112</v>
      </c>
      <c r="B113" s="3">
        <v>43642</v>
      </c>
      <c r="C113" s="2" t="s">
        <v>1113</v>
      </c>
      <c r="D113" t="s">
        <v>6172</v>
      </c>
      <c r="E113" s="2">
        <v>5</v>
      </c>
      <c r="F113" s="2" t="str">
        <f>_xlfn.XLOOKUP(C113,customers!$A$2:$A$1001,customers!$B$2:$B$1001,,0)</f>
        <v>Betty Fominov</v>
      </c>
      <c r="G113" s="2" t="str">
        <f>_xlfn.XLOOKUP(C113,customers!$A$2:$A$1001,customers!$G$2:$G$1001,,0)</f>
        <v>United States</v>
      </c>
      <c r="H113" t="str">
        <f>INDEX(products!$A$1:$G$49,MATCH(orders!$D113,products!$A$1:$A$49,0),MATCH(orders!H$1,products!$A$1:$G$1,0))</f>
        <v>Rob</v>
      </c>
      <c r="I113" t="str">
        <f>INDEX(products!$A$1:$G$49,MATCH(orders!$D113,products!$A$1:$A$49,0),MATCH(orders!I$1,products!$A$1:$G$1,0))</f>
        <v>D</v>
      </c>
      <c r="J113" s="5">
        <f>INDEX(products!$A$1:$G$49,MATCH(orders!$D113,products!$A$1:$A$49,0),MATCH(orders!J$1,products!$A$1:$G$1,0))</f>
        <v>0.5</v>
      </c>
      <c r="K113" s="6">
        <f>INDEX(products!$A$1:$G$49,MATCH(orders!$D113,products!$A$1:$A$49,0),MATCH(orders!K$1,products!$A$1:$G$1,0))</f>
        <v>5.3699999999999992</v>
      </c>
      <c r="L113" s="6">
        <f>K113*E113</f>
        <v>26.849999999999994</v>
      </c>
      <c r="M113" t="str" cm="1">
        <f t="array" ref="M113">_xlfn.IFS(H113="Rob","Robusta",H113="Exc","Excelsa",H113="Ara","Arabica",H113="Lib","Liberica")</f>
        <v>Robusta</v>
      </c>
      <c r="N113" t="str" cm="1">
        <f t="array" ref="N113">_xlfn.IFS(I113="M","Medium",I113="L","Light",I113="D","Dark")</f>
        <v>Dark</v>
      </c>
      <c r="O113" t="str">
        <f>_xlfn.XLOOKUP(Orders[[#This Row],[Customer ID]],customers!$A$2:$A$1001,customers!$I$2:$I$1001,,0)</f>
        <v>No</v>
      </c>
    </row>
    <row r="114" spans="1:15" x14ac:dyDescent="0.3">
      <c r="A114" s="2" t="s">
        <v>1117</v>
      </c>
      <c r="B114" s="3">
        <v>44481</v>
      </c>
      <c r="C114" s="2" t="s">
        <v>1118</v>
      </c>
      <c r="D114" t="s">
        <v>6155</v>
      </c>
      <c r="E114" s="2">
        <v>1</v>
      </c>
      <c r="F114" s="2" t="str">
        <f>_xlfn.XLOOKUP(C114,customers!$A$2:$A$1001,customers!$B$2:$B$1001,,0)</f>
        <v>Shawnee Critchlow</v>
      </c>
      <c r="G114" s="2" t="str">
        <f>_xlfn.XLOOKUP(C114,customers!$A$2:$A$1001,customers!$G$2:$G$1001,,0)</f>
        <v>United States</v>
      </c>
      <c r="H114" t="str">
        <f>INDEX(products!$A$1:$G$49,MATCH(orders!$D114,products!$A$1:$A$49,0),MATCH(orders!H$1,products!$A$1:$G$1,0))</f>
        <v>Ara</v>
      </c>
      <c r="I114" t="str">
        <f>INDEX(products!$A$1:$G$49,MATCH(orders!$D114,products!$A$1:$A$49,0),MATCH(orders!I$1,products!$A$1:$G$1,0))</f>
        <v>M</v>
      </c>
      <c r="J114" s="5">
        <f>INDEX(products!$A$1:$G$49,MATCH(orders!$D114,products!$A$1:$A$49,0),MATCH(orders!J$1,products!$A$1:$G$1,0))</f>
        <v>1</v>
      </c>
      <c r="K114" s="6">
        <f>INDEX(products!$A$1:$G$49,MATCH(orders!$D114,products!$A$1:$A$49,0),MATCH(orders!K$1,products!$A$1:$G$1,0))</f>
        <v>11.25</v>
      </c>
      <c r="L114" s="6">
        <f>K114*E114</f>
        <v>11.25</v>
      </c>
      <c r="M114" t="str" cm="1">
        <f t="array" ref="M114">_xlfn.IFS(H114="Rob","Robusta",H114="Exc","Excelsa",H114="Ara","Arabica",H114="Lib","Liberica")</f>
        <v>Arabica</v>
      </c>
      <c r="N114" t="str" cm="1">
        <f t="array" ref="N114">_xlfn.IFS(I114="M","Medium",I114="L","Light",I114="D","Dark")</f>
        <v>Medium</v>
      </c>
      <c r="O114" t="str">
        <f>_xlfn.XLOOKUP(Orders[[#This Row],[Customer ID]],customers!$A$2:$A$1001,customers!$I$2:$I$1001,,0)</f>
        <v>No</v>
      </c>
    </row>
    <row r="115" spans="1:15" x14ac:dyDescent="0.3">
      <c r="A115" s="2" t="s">
        <v>1123</v>
      </c>
      <c r="B115" s="3">
        <v>43556</v>
      </c>
      <c r="C115" s="2" t="s">
        <v>1124</v>
      </c>
      <c r="D115" t="s">
        <v>6162</v>
      </c>
      <c r="E115" s="2">
        <v>1</v>
      </c>
      <c r="F115" s="2" t="str">
        <f>_xlfn.XLOOKUP(C115,customers!$A$2:$A$1001,customers!$B$2:$B$1001,,0)</f>
        <v>Merrel Steptow</v>
      </c>
      <c r="G115" s="2" t="str">
        <f>_xlfn.XLOOKUP(C115,customers!$A$2:$A$1001,customers!$G$2:$G$1001,,0)</f>
        <v>Ireland</v>
      </c>
      <c r="H115" t="str">
        <f>INDEX(products!$A$1:$G$49,MATCH(orders!$D115,products!$A$1:$A$49,0),MATCH(orders!H$1,products!$A$1:$G$1,0))</f>
        <v>Lib</v>
      </c>
      <c r="I115" t="str">
        <f>INDEX(products!$A$1:$G$49,MATCH(orders!$D115,products!$A$1:$A$49,0),MATCH(orders!I$1,products!$A$1:$G$1,0))</f>
        <v>M</v>
      </c>
      <c r="J115" s="5">
        <f>INDEX(products!$A$1:$G$49,MATCH(orders!$D115,products!$A$1:$A$49,0),MATCH(orders!J$1,products!$A$1:$G$1,0))</f>
        <v>1</v>
      </c>
      <c r="K115" s="6">
        <f>INDEX(products!$A$1:$G$49,MATCH(orders!$D115,products!$A$1:$A$49,0),MATCH(orders!K$1,products!$A$1:$G$1,0))</f>
        <v>14.55</v>
      </c>
      <c r="L115" s="6">
        <f>K115*E115</f>
        <v>14.55</v>
      </c>
      <c r="M115" t="str" cm="1">
        <f t="array" ref="M115">_xlfn.IFS(H115="Rob","Robusta",H115="Exc","Excelsa",H115="Ara","Arabica",H115="Lib","Liberica")</f>
        <v>Liberica</v>
      </c>
      <c r="N115" t="str" cm="1">
        <f t="array" ref="N115">_xlfn.IFS(I115="M","Medium",I115="L","Light",I115="D","Dark")</f>
        <v>Medium</v>
      </c>
      <c r="O115" t="str">
        <f>_xlfn.XLOOKUP(Orders[[#This Row],[Customer ID]],customers!$A$2:$A$1001,customers!$I$2:$I$1001,,0)</f>
        <v>No</v>
      </c>
    </row>
    <row r="116" spans="1:15" x14ac:dyDescent="0.3">
      <c r="A116" s="2" t="s">
        <v>1129</v>
      </c>
      <c r="B116" s="3">
        <v>44265</v>
      </c>
      <c r="C116" s="2" t="s">
        <v>1130</v>
      </c>
      <c r="D116" t="s">
        <v>6178</v>
      </c>
      <c r="E116" s="2">
        <v>4</v>
      </c>
      <c r="F116" s="2" t="str">
        <f>_xlfn.XLOOKUP(C116,customers!$A$2:$A$1001,customers!$B$2:$B$1001,,0)</f>
        <v>Carmina Hubbuck</v>
      </c>
      <c r="G116" s="2" t="str">
        <f>_xlfn.XLOOKUP(C116,customers!$A$2:$A$1001,customers!$G$2:$G$1001,,0)</f>
        <v>United States</v>
      </c>
      <c r="H116" t="str">
        <f>INDEX(products!$A$1:$G$49,MATCH(orders!$D116,products!$A$1:$A$49,0),MATCH(orders!H$1,products!$A$1:$G$1,0))</f>
        <v>Rob</v>
      </c>
      <c r="I116" t="str">
        <f>INDEX(products!$A$1:$G$49,MATCH(orders!$D116,products!$A$1:$A$49,0),MATCH(orders!I$1,products!$A$1:$G$1,0))</f>
        <v>L</v>
      </c>
      <c r="J116" s="5">
        <f>INDEX(products!$A$1:$G$49,MATCH(orders!$D116,products!$A$1:$A$49,0),MATCH(orders!J$1,products!$A$1:$G$1,0))</f>
        <v>0.2</v>
      </c>
      <c r="K116" s="6">
        <f>INDEX(products!$A$1:$G$49,MATCH(orders!$D116,products!$A$1:$A$49,0),MATCH(orders!K$1,products!$A$1:$G$1,0))</f>
        <v>3.5849999999999995</v>
      </c>
      <c r="L116" s="6">
        <f>K116*E116</f>
        <v>14.339999999999998</v>
      </c>
      <c r="M116" t="str" cm="1">
        <f t="array" ref="M116">_xlfn.IFS(H116="Rob","Robusta",H116="Exc","Excelsa",H116="Ara","Arabica",H116="Lib","Liberica")</f>
        <v>Robusta</v>
      </c>
      <c r="N116" t="str" cm="1">
        <f t="array" ref="N116">_xlfn.IFS(I116="M","Medium",I116="L","Light",I116="D","Dark")</f>
        <v>Light</v>
      </c>
      <c r="O116" t="str">
        <f>_xlfn.XLOOKUP(Orders[[#This Row],[Customer ID]],customers!$A$2:$A$1001,customers!$I$2:$I$1001,,0)</f>
        <v>No</v>
      </c>
    </row>
    <row r="117" spans="1:15" x14ac:dyDescent="0.3">
      <c r="A117" s="2" t="s">
        <v>1134</v>
      </c>
      <c r="B117" s="3">
        <v>43693</v>
      </c>
      <c r="C117" s="2" t="s">
        <v>1135</v>
      </c>
      <c r="D117" t="s">
        <v>6170</v>
      </c>
      <c r="E117" s="2">
        <v>1</v>
      </c>
      <c r="F117" s="2" t="str">
        <f>_xlfn.XLOOKUP(C117,customers!$A$2:$A$1001,customers!$B$2:$B$1001,,0)</f>
        <v>Ingeberg Mulliner</v>
      </c>
      <c r="G117" s="2" t="str">
        <f>_xlfn.XLOOKUP(C117,customers!$A$2:$A$1001,customers!$G$2:$G$1001,,0)</f>
        <v>United Kingdom</v>
      </c>
      <c r="H117" t="str">
        <f>INDEX(products!$A$1:$G$49,MATCH(orders!$D117,products!$A$1:$A$49,0),MATCH(orders!H$1,products!$A$1:$G$1,0))</f>
        <v>Lib</v>
      </c>
      <c r="I117" t="str">
        <f>INDEX(products!$A$1:$G$49,MATCH(orders!$D117,products!$A$1:$A$49,0),MATCH(orders!I$1,products!$A$1:$G$1,0))</f>
        <v>L</v>
      </c>
      <c r="J117" s="5">
        <f>INDEX(products!$A$1:$G$49,MATCH(orders!$D117,products!$A$1:$A$49,0),MATCH(orders!J$1,products!$A$1:$G$1,0))</f>
        <v>1</v>
      </c>
      <c r="K117" s="6">
        <f>INDEX(products!$A$1:$G$49,MATCH(orders!$D117,products!$A$1:$A$49,0),MATCH(orders!K$1,products!$A$1:$G$1,0))</f>
        <v>15.85</v>
      </c>
      <c r="L117" s="6">
        <f>K117*E117</f>
        <v>15.85</v>
      </c>
      <c r="M117" t="str" cm="1">
        <f t="array" ref="M117">_xlfn.IFS(H117="Rob","Robusta",H117="Exc","Excelsa",H117="Ara","Arabica",H117="Lib","Liberica")</f>
        <v>Liberica</v>
      </c>
      <c r="N117" t="str" cm="1">
        <f t="array" ref="N117">_xlfn.IFS(I117="M","Medium",I117="L","Light",I117="D","Dark")</f>
        <v>Light</v>
      </c>
      <c r="O117" t="str">
        <f>_xlfn.XLOOKUP(Orders[[#This Row],[Customer ID]],customers!$A$2:$A$1001,customers!$I$2:$I$1001,,0)</f>
        <v>No</v>
      </c>
    </row>
    <row r="118" spans="1:15" x14ac:dyDescent="0.3">
      <c r="A118" s="2" t="s">
        <v>1140</v>
      </c>
      <c r="B118" s="3">
        <v>44054</v>
      </c>
      <c r="C118" s="2" t="s">
        <v>1141</v>
      </c>
      <c r="D118" t="s">
        <v>6145</v>
      </c>
      <c r="E118" s="2">
        <v>4</v>
      </c>
      <c r="F118" s="2" t="str">
        <f>_xlfn.XLOOKUP(C118,customers!$A$2:$A$1001,customers!$B$2:$B$1001,,0)</f>
        <v>Geneva Standley</v>
      </c>
      <c r="G118" s="2" t="str">
        <f>_xlfn.XLOOKUP(C118,customers!$A$2:$A$1001,customers!$G$2:$G$1001,,0)</f>
        <v>Ireland</v>
      </c>
      <c r="H118" t="str">
        <f>INDEX(products!$A$1:$G$49,MATCH(orders!$D118,products!$A$1:$A$49,0),MATCH(orders!H$1,products!$A$1:$G$1,0))</f>
        <v>Lib</v>
      </c>
      <c r="I118" t="str">
        <f>INDEX(products!$A$1:$G$49,MATCH(orders!$D118,products!$A$1:$A$49,0),MATCH(orders!I$1,products!$A$1:$G$1,0))</f>
        <v>L</v>
      </c>
      <c r="J118" s="5">
        <f>INDEX(products!$A$1:$G$49,MATCH(orders!$D118,products!$A$1:$A$49,0),MATCH(orders!J$1,products!$A$1:$G$1,0))</f>
        <v>0.2</v>
      </c>
      <c r="K118" s="6">
        <f>INDEX(products!$A$1:$G$49,MATCH(orders!$D118,products!$A$1:$A$49,0),MATCH(orders!K$1,products!$A$1:$G$1,0))</f>
        <v>4.7549999999999999</v>
      </c>
      <c r="L118" s="6">
        <f>K118*E118</f>
        <v>19.02</v>
      </c>
      <c r="M118" t="str" cm="1">
        <f t="array" ref="M118">_xlfn.IFS(H118="Rob","Robusta",H118="Exc","Excelsa",H118="Ara","Arabica",H118="Lib","Liberica")</f>
        <v>Liberica</v>
      </c>
      <c r="N118" t="str" cm="1">
        <f t="array" ref="N118">_xlfn.IFS(I118="M","Medium",I118="L","Light",I118="D","Dark")</f>
        <v>Light</v>
      </c>
      <c r="O118" t="str">
        <f>_xlfn.XLOOKUP(Orders[[#This Row],[Customer ID]],customers!$A$2:$A$1001,customers!$I$2:$I$1001,,0)</f>
        <v>Yes</v>
      </c>
    </row>
    <row r="119" spans="1:15" x14ac:dyDescent="0.3">
      <c r="A119" s="2" t="s">
        <v>1146</v>
      </c>
      <c r="B119" s="3">
        <v>44656</v>
      </c>
      <c r="C119" s="2" t="s">
        <v>1147</v>
      </c>
      <c r="D119" t="s">
        <v>6161</v>
      </c>
      <c r="E119" s="2">
        <v>4</v>
      </c>
      <c r="F119" s="2" t="str">
        <f>_xlfn.XLOOKUP(C119,customers!$A$2:$A$1001,customers!$B$2:$B$1001,,0)</f>
        <v>Brook Drage</v>
      </c>
      <c r="G119" s="2" t="str">
        <f>_xlfn.XLOOKUP(C119,customers!$A$2:$A$1001,customers!$G$2:$G$1001,,0)</f>
        <v>United States</v>
      </c>
      <c r="H119" t="str">
        <f>INDEX(products!$A$1:$G$49,MATCH(orders!$D119,products!$A$1:$A$49,0),MATCH(orders!H$1,products!$A$1:$G$1,0))</f>
        <v>Lib</v>
      </c>
      <c r="I119" t="str">
        <f>INDEX(products!$A$1:$G$49,MATCH(orders!$D119,products!$A$1:$A$49,0),MATCH(orders!I$1,products!$A$1:$G$1,0))</f>
        <v>L</v>
      </c>
      <c r="J119" s="5">
        <f>INDEX(products!$A$1:$G$49,MATCH(orders!$D119,products!$A$1:$A$49,0),MATCH(orders!J$1,products!$A$1:$G$1,0))</f>
        <v>0.5</v>
      </c>
      <c r="K119" s="6">
        <f>INDEX(products!$A$1:$G$49,MATCH(orders!$D119,products!$A$1:$A$49,0),MATCH(orders!K$1,products!$A$1:$G$1,0))</f>
        <v>9.51</v>
      </c>
      <c r="L119" s="6">
        <f>K119*E119</f>
        <v>38.04</v>
      </c>
      <c r="M119" t="str" cm="1">
        <f t="array" ref="M119">_xlfn.IFS(H119="Rob","Robusta",H119="Exc","Excelsa",H119="Ara","Arabica",H119="Lib","Liberica")</f>
        <v>Liberica</v>
      </c>
      <c r="N119" t="str" cm="1">
        <f t="array" ref="N119">_xlfn.IFS(I119="M","Medium",I119="L","Light",I119="D","Dark")</f>
        <v>Light</v>
      </c>
      <c r="O119" t="str">
        <f>_xlfn.XLOOKUP(Orders[[#This Row],[Customer ID]],customers!$A$2:$A$1001,customers!$I$2:$I$1001,,0)</f>
        <v>No</v>
      </c>
    </row>
    <row r="120" spans="1:15" x14ac:dyDescent="0.3">
      <c r="A120" s="2" t="s">
        <v>1152</v>
      </c>
      <c r="B120" s="3">
        <v>43760</v>
      </c>
      <c r="C120" s="2" t="s">
        <v>1153</v>
      </c>
      <c r="D120" t="s">
        <v>6144</v>
      </c>
      <c r="E120" s="2">
        <v>3</v>
      </c>
      <c r="F120" s="2" t="str">
        <f>_xlfn.XLOOKUP(C120,customers!$A$2:$A$1001,customers!$B$2:$B$1001,,0)</f>
        <v>Muffin Yallop</v>
      </c>
      <c r="G120" s="2" t="str">
        <f>_xlfn.XLOOKUP(C120,customers!$A$2:$A$1001,customers!$G$2:$G$1001,,0)</f>
        <v>United States</v>
      </c>
      <c r="H120" t="str">
        <f>INDEX(products!$A$1:$G$49,MATCH(orders!$D120,products!$A$1:$A$49,0),MATCH(orders!H$1,products!$A$1:$G$1,0))</f>
        <v>Exc</v>
      </c>
      <c r="I120" t="str">
        <f>INDEX(products!$A$1:$G$49,MATCH(orders!$D120,products!$A$1:$A$49,0),MATCH(orders!I$1,products!$A$1:$G$1,0))</f>
        <v>D</v>
      </c>
      <c r="J120" s="5">
        <f>INDEX(products!$A$1:$G$49,MATCH(orders!$D120,products!$A$1:$A$49,0),MATCH(orders!J$1,products!$A$1:$G$1,0))</f>
        <v>0.5</v>
      </c>
      <c r="K120" s="6">
        <f>INDEX(products!$A$1:$G$49,MATCH(orders!$D120,products!$A$1:$A$49,0),MATCH(orders!K$1,products!$A$1:$G$1,0))</f>
        <v>7.29</v>
      </c>
      <c r="L120" s="6">
        <f>K120*E120</f>
        <v>21.87</v>
      </c>
      <c r="M120" t="str" cm="1">
        <f t="array" ref="M120">_xlfn.IFS(H120="Rob","Robusta",H120="Exc","Excelsa",H120="Ara","Arabica",H120="Lib","Liberica")</f>
        <v>Excelsa</v>
      </c>
      <c r="N120" t="str" cm="1">
        <f t="array" ref="N120">_xlfn.IFS(I120="M","Medium",I120="L","Light",I120="D","Dark")</f>
        <v>Dark</v>
      </c>
      <c r="O120" t="str">
        <f>_xlfn.XLOOKUP(Orders[[#This Row],[Customer ID]],customers!$A$2:$A$1001,customers!$I$2:$I$1001,,0)</f>
        <v>Yes</v>
      </c>
    </row>
    <row r="121" spans="1:15" x14ac:dyDescent="0.3">
      <c r="A121" s="2" t="s">
        <v>1158</v>
      </c>
      <c r="B121" s="3">
        <v>44471</v>
      </c>
      <c r="C121" s="2" t="s">
        <v>1159</v>
      </c>
      <c r="D121" t="s">
        <v>6156</v>
      </c>
      <c r="E121" s="2">
        <v>1</v>
      </c>
      <c r="F121" s="2" t="str">
        <f>_xlfn.XLOOKUP(C121,customers!$A$2:$A$1001,customers!$B$2:$B$1001,,0)</f>
        <v>Cordi Switsur</v>
      </c>
      <c r="G121" s="2" t="str">
        <f>_xlfn.XLOOKUP(C121,customers!$A$2:$A$1001,customers!$G$2:$G$1001,,0)</f>
        <v>United States</v>
      </c>
      <c r="H121" t="str">
        <f>INDEX(products!$A$1:$G$49,MATCH(orders!$D121,products!$A$1:$A$49,0),MATCH(orders!H$1,products!$A$1:$G$1,0))</f>
        <v>Exc</v>
      </c>
      <c r="I121" t="str">
        <f>INDEX(products!$A$1:$G$49,MATCH(orders!$D121,products!$A$1:$A$49,0),MATCH(orders!I$1,products!$A$1:$G$1,0))</f>
        <v>M</v>
      </c>
      <c r="J121" s="5">
        <f>INDEX(products!$A$1:$G$49,MATCH(orders!$D121,products!$A$1:$A$49,0),MATCH(orders!J$1,products!$A$1:$G$1,0))</f>
        <v>0.2</v>
      </c>
      <c r="K121" s="6">
        <f>INDEX(products!$A$1:$G$49,MATCH(orders!$D121,products!$A$1:$A$49,0),MATCH(orders!K$1,products!$A$1:$G$1,0))</f>
        <v>4.125</v>
      </c>
      <c r="L121" s="6">
        <f>K121*E121</f>
        <v>4.125</v>
      </c>
      <c r="M121" t="str" cm="1">
        <f t="array" ref="M121">_xlfn.IFS(H121="Rob","Robusta",H121="Exc","Excelsa",H121="Ara","Arabica",H121="Lib","Liberica")</f>
        <v>Excelsa</v>
      </c>
      <c r="N121" t="str" cm="1">
        <f t="array" ref="N121">_xlfn.IFS(I121="M","Medium",I121="L","Light",I121="D","Dark")</f>
        <v>Medium</v>
      </c>
      <c r="O121" t="str">
        <f>_xlfn.XLOOKUP(Orders[[#This Row],[Customer ID]],customers!$A$2:$A$1001,customers!$I$2:$I$1001,,0)</f>
        <v>No</v>
      </c>
    </row>
    <row r="122" spans="1:15" x14ac:dyDescent="0.3">
      <c r="A122" s="2" t="s">
        <v>1158</v>
      </c>
      <c r="B122" s="3">
        <v>44471</v>
      </c>
      <c r="C122" s="2" t="s">
        <v>1159</v>
      </c>
      <c r="D122" t="s">
        <v>6167</v>
      </c>
      <c r="E122" s="2">
        <v>1</v>
      </c>
      <c r="F122" s="2" t="str">
        <f>_xlfn.XLOOKUP(C122,customers!$A$2:$A$1001,customers!$B$2:$B$1001,,0)</f>
        <v>Cordi Switsur</v>
      </c>
      <c r="G122" s="2" t="str">
        <f>_xlfn.XLOOKUP(C122,customers!$A$2:$A$1001,customers!$G$2:$G$1001,,0)</f>
        <v>United States</v>
      </c>
      <c r="H122" t="str">
        <f>INDEX(products!$A$1:$G$49,MATCH(orders!$D122,products!$A$1:$A$49,0),MATCH(orders!H$1,products!$A$1:$G$1,0))</f>
        <v>Ara</v>
      </c>
      <c r="I122" t="str">
        <f>INDEX(products!$A$1:$G$49,MATCH(orders!$D122,products!$A$1:$A$49,0),MATCH(orders!I$1,products!$A$1:$G$1,0))</f>
        <v>L</v>
      </c>
      <c r="J122" s="5">
        <f>INDEX(products!$A$1:$G$49,MATCH(orders!$D122,products!$A$1:$A$49,0),MATCH(orders!J$1,products!$A$1:$G$1,0))</f>
        <v>0.2</v>
      </c>
      <c r="K122" s="6">
        <f>INDEX(products!$A$1:$G$49,MATCH(orders!$D122,products!$A$1:$A$49,0),MATCH(orders!K$1,products!$A$1:$G$1,0))</f>
        <v>3.8849999999999998</v>
      </c>
      <c r="L122" s="6">
        <f>K122*E122</f>
        <v>3.8849999999999998</v>
      </c>
      <c r="M122" t="str" cm="1">
        <f t="array" ref="M122">_xlfn.IFS(H122="Rob","Robusta",H122="Exc","Excelsa",H122="Ara","Arabica",H122="Lib","Liberica")</f>
        <v>Arabica</v>
      </c>
      <c r="N122" t="str" cm="1">
        <f t="array" ref="N122">_xlfn.IFS(I122="M","Medium",I122="L","Light",I122="D","Dark")</f>
        <v>Light</v>
      </c>
      <c r="O122" t="str">
        <f>_xlfn.XLOOKUP(Orders[[#This Row],[Customer ID]],customers!$A$2:$A$1001,customers!$I$2:$I$1001,,0)</f>
        <v>No</v>
      </c>
    </row>
    <row r="123" spans="1:15" x14ac:dyDescent="0.3">
      <c r="A123" s="2" t="s">
        <v>1158</v>
      </c>
      <c r="B123" s="3">
        <v>44471</v>
      </c>
      <c r="C123" s="2" t="s">
        <v>1159</v>
      </c>
      <c r="D123" t="s">
        <v>6141</v>
      </c>
      <c r="E123" s="2">
        <v>5</v>
      </c>
      <c r="F123" s="2" t="str">
        <f>_xlfn.XLOOKUP(C123,customers!$A$2:$A$1001,customers!$B$2:$B$1001,,0)</f>
        <v>Cordi Switsur</v>
      </c>
      <c r="G123" s="2" t="str">
        <f>_xlfn.XLOOKUP(C123,customers!$A$2:$A$1001,customers!$G$2:$G$1001,,0)</f>
        <v>United States</v>
      </c>
      <c r="H123" t="str">
        <f>INDEX(products!$A$1:$G$49,MATCH(orders!$D123,products!$A$1:$A$49,0),MATCH(orders!H$1,products!$A$1:$G$1,0))</f>
        <v>Exc</v>
      </c>
      <c r="I123" t="str">
        <f>INDEX(products!$A$1:$G$49,MATCH(orders!$D123,products!$A$1:$A$49,0),MATCH(orders!I$1,products!$A$1:$G$1,0))</f>
        <v>M</v>
      </c>
      <c r="J123" s="5">
        <f>INDEX(products!$A$1:$G$49,MATCH(orders!$D123,products!$A$1:$A$49,0),MATCH(orders!J$1,products!$A$1:$G$1,0))</f>
        <v>1</v>
      </c>
      <c r="K123" s="6">
        <f>INDEX(products!$A$1:$G$49,MATCH(orders!$D123,products!$A$1:$A$49,0),MATCH(orders!K$1,products!$A$1:$G$1,0))</f>
        <v>13.75</v>
      </c>
      <c r="L123" s="6">
        <f>K123*E123</f>
        <v>68.75</v>
      </c>
      <c r="M123" t="str" cm="1">
        <f t="array" ref="M123">_xlfn.IFS(H123="Rob","Robusta",H123="Exc","Excelsa",H123="Ara","Arabica",H123="Lib","Liberica")</f>
        <v>Excelsa</v>
      </c>
      <c r="N123" t="str" cm="1">
        <f t="array" ref="N123">_xlfn.IFS(I123="M","Medium",I123="L","Light",I123="D","Dark")</f>
        <v>Medium</v>
      </c>
      <c r="O123" t="str">
        <f>_xlfn.XLOOKUP(Orders[[#This Row],[Customer ID]],customers!$A$2:$A$1001,customers!$I$2:$I$1001,,0)</f>
        <v>No</v>
      </c>
    </row>
    <row r="124" spans="1:15" x14ac:dyDescent="0.3">
      <c r="A124" s="2" t="s">
        <v>1174</v>
      </c>
      <c r="B124" s="3">
        <v>44268</v>
      </c>
      <c r="C124" s="2" t="s">
        <v>1175</v>
      </c>
      <c r="D124" t="s">
        <v>6158</v>
      </c>
      <c r="E124" s="2">
        <v>4</v>
      </c>
      <c r="F124" s="2" t="str">
        <f>_xlfn.XLOOKUP(C124,customers!$A$2:$A$1001,customers!$B$2:$B$1001,,0)</f>
        <v>Mahala Ludwell</v>
      </c>
      <c r="G124" s="2" t="str">
        <f>_xlfn.XLOOKUP(C124,customers!$A$2:$A$1001,customers!$G$2:$G$1001,,0)</f>
        <v>United States</v>
      </c>
      <c r="H124" t="str">
        <f>INDEX(products!$A$1:$G$49,MATCH(orders!$D124,products!$A$1:$A$49,0),MATCH(orders!H$1,products!$A$1:$G$1,0))</f>
        <v>Ara</v>
      </c>
      <c r="I124" t="str">
        <f>INDEX(products!$A$1:$G$49,MATCH(orders!$D124,products!$A$1:$A$49,0),MATCH(orders!I$1,products!$A$1:$G$1,0))</f>
        <v>D</v>
      </c>
      <c r="J124" s="5">
        <f>INDEX(products!$A$1:$G$49,MATCH(orders!$D124,products!$A$1:$A$49,0),MATCH(orders!J$1,products!$A$1:$G$1,0))</f>
        <v>0.5</v>
      </c>
      <c r="K124" s="6">
        <f>INDEX(products!$A$1:$G$49,MATCH(orders!$D124,products!$A$1:$A$49,0),MATCH(orders!K$1,products!$A$1:$G$1,0))</f>
        <v>5.97</v>
      </c>
      <c r="L124" s="6">
        <f>K124*E124</f>
        <v>23.88</v>
      </c>
      <c r="M124" t="str" cm="1">
        <f t="array" ref="M124">_xlfn.IFS(H124="Rob","Robusta",H124="Exc","Excelsa",H124="Ara","Arabica",H124="Lib","Liberica")</f>
        <v>Arabica</v>
      </c>
      <c r="N124" t="str" cm="1">
        <f t="array" ref="N124">_xlfn.IFS(I124="M","Medium",I124="L","Light",I124="D","Dark")</f>
        <v>Dark</v>
      </c>
      <c r="O124" t="str">
        <f>_xlfn.XLOOKUP(Orders[[#This Row],[Customer ID]],customers!$A$2:$A$1001,customers!$I$2:$I$1001,,0)</f>
        <v>Yes</v>
      </c>
    </row>
    <row r="125" spans="1:15" x14ac:dyDescent="0.3">
      <c r="A125" s="2" t="s">
        <v>1180</v>
      </c>
      <c r="B125" s="3">
        <v>44724</v>
      </c>
      <c r="C125" s="2" t="s">
        <v>1181</v>
      </c>
      <c r="D125" t="s">
        <v>6164</v>
      </c>
      <c r="E125" s="2">
        <v>4</v>
      </c>
      <c r="F125" s="2" t="str">
        <f>_xlfn.XLOOKUP(C125,customers!$A$2:$A$1001,customers!$B$2:$B$1001,,0)</f>
        <v>Doll Beauchamp</v>
      </c>
      <c r="G125" s="2" t="str">
        <f>_xlfn.XLOOKUP(C125,customers!$A$2:$A$1001,customers!$G$2:$G$1001,,0)</f>
        <v>United States</v>
      </c>
      <c r="H125" t="str">
        <f>INDEX(products!$A$1:$G$49,MATCH(orders!$D125,products!$A$1:$A$49,0),MATCH(orders!H$1,products!$A$1:$G$1,0))</f>
        <v>Lib</v>
      </c>
      <c r="I125" t="str">
        <f>INDEX(products!$A$1:$G$49,MATCH(orders!$D125,products!$A$1:$A$49,0),MATCH(orders!I$1,products!$A$1:$G$1,0))</f>
        <v>L</v>
      </c>
      <c r="J125" s="5">
        <f>INDEX(products!$A$1:$G$49,MATCH(orders!$D125,products!$A$1:$A$49,0),MATCH(orders!J$1,products!$A$1:$G$1,0))</f>
        <v>2.5</v>
      </c>
      <c r="K125" s="6">
        <f>INDEX(products!$A$1:$G$49,MATCH(orders!$D125,products!$A$1:$A$49,0),MATCH(orders!K$1,products!$A$1:$G$1,0))</f>
        <v>36.454999999999998</v>
      </c>
      <c r="L125" s="6">
        <f>K125*E125</f>
        <v>145.82</v>
      </c>
      <c r="M125" t="str" cm="1">
        <f t="array" ref="M125">_xlfn.IFS(H125="Rob","Robusta",H125="Exc","Excelsa",H125="Ara","Arabica",H125="Lib","Liberica")</f>
        <v>Liberica</v>
      </c>
      <c r="N125" t="str" cm="1">
        <f t="array" ref="N125">_xlfn.IFS(I125="M","Medium",I125="L","Light",I125="D","Dark")</f>
        <v>Light</v>
      </c>
      <c r="O125" t="str">
        <f>_xlfn.XLOOKUP(Orders[[#This Row],[Customer ID]],customers!$A$2:$A$1001,customers!$I$2:$I$1001,,0)</f>
        <v>No</v>
      </c>
    </row>
    <row r="126" spans="1:15" x14ac:dyDescent="0.3">
      <c r="A126" s="2" t="s">
        <v>1186</v>
      </c>
      <c r="B126" s="3">
        <v>43582</v>
      </c>
      <c r="C126" s="2" t="s">
        <v>1187</v>
      </c>
      <c r="D126" t="s">
        <v>6159</v>
      </c>
      <c r="E126" s="2">
        <v>5</v>
      </c>
      <c r="F126" s="2" t="str">
        <f>_xlfn.XLOOKUP(C126,customers!$A$2:$A$1001,customers!$B$2:$B$1001,,0)</f>
        <v>Stanford Rodliff</v>
      </c>
      <c r="G126" s="2" t="str">
        <f>_xlfn.XLOOKUP(C126,customers!$A$2:$A$1001,customers!$G$2:$G$1001,,0)</f>
        <v>United States</v>
      </c>
      <c r="H126" t="str">
        <f>INDEX(products!$A$1:$G$49,MATCH(orders!$D126,products!$A$1:$A$49,0),MATCH(orders!H$1,products!$A$1:$G$1,0))</f>
        <v>Lib</v>
      </c>
      <c r="I126" t="str">
        <f>INDEX(products!$A$1:$G$49,MATCH(orders!$D126,products!$A$1:$A$49,0),MATCH(orders!I$1,products!$A$1:$G$1,0))</f>
        <v>M</v>
      </c>
      <c r="J126" s="5">
        <f>INDEX(products!$A$1:$G$49,MATCH(orders!$D126,products!$A$1:$A$49,0),MATCH(orders!J$1,products!$A$1:$G$1,0))</f>
        <v>0.2</v>
      </c>
      <c r="K126" s="6">
        <f>INDEX(products!$A$1:$G$49,MATCH(orders!$D126,products!$A$1:$A$49,0),MATCH(orders!K$1,products!$A$1:$G$1,0))</f>
        <v>4.3650000000000002</v>
      </c>
      <c r="L126" s="6">
        <f>K126*E126</f>
        <v>21.825000000000003</v>
      </c>
      <c r="M126" t="str" cm="1">
        <f t="array" ref="M126">_xlfn.IFS(H126="Rob","Robusta",H126="Exc","Excelsa",H126="Ara","Arabica",H126="Lib","Liberica")</f>
        <v>Liberica</v>
      </c>
      <c r="N126" t="str" cm="1">
        <f t="array" ref="N126">_xlfn.IFS(I126="M","Medium",I126="L","Light",I126="D","Dark")</f>
        <v>Medium</v>
      </c>
      <c r="O126" t="str">
        <f>_xlfn.XLOOKUP(Orders[[#This Row],[Customer ID]],customers!$A$2:$A$1001,customers!$I$2:$I$1001,,0)</f>
        <v>Yes</v>
      </c>
    </row>
    <row r="127" spans="1:15" x14ac:dyDescent="0.3">
      <c r="A127" s="2" t="s">
        <v>1192</v>
      </c>
      <c r="B127" s="3">
        <v>43608</v>
      </c>
      <c r="C127" s="2" t="s">
        <v>1193</v>
      </c>
      <c r="D127" t="s">
        <v>6160</v>
      </c>
      <c r="E127" s="2">
        <v>3</v>
      </c>
      <c r="F127" s="2" t="str">
        <f>_xlfn.XLOOKUP(C127,customers!$A$2:$A$1001,customers!$B$2:$B$1001,,0)</f>
        <v>Stevana Woodham</v>
      </c>
      <c r="G127" s="2" t="str">
        <f>_xlfn.XLOOKUP(C127,customers!$A$2:$A$1001,customers!$G$2:$G$1001,,0)</f>
        <v>Ireland</v>
      </c>
      <c r="H127" t="str">
        <f>INDEX(products!$A$1:$G$49,MATCH(orders!$D127,products!$A$1:$A$49,0),MATCH(orders!H$1,products!$A$1:$G$1,0))</f>
        <v>Lib</v>
      </c>
      <c r="I127" t="str">
        <f>INDEX(products!$A$1:$G$49,MATCH(orders!$D127,products!$A$1:$A$49,0),MATCH(orders!I$1,products!$A$1:$G$1,0))</f>
        <v>M</v>
      </c>
      <c r="J127" s="5">
        <f>INDEX(products!$A$1:$G$49,MATCH(orders!$D127,products!$A$1:$A$49,0),MATCH(orders!J$1,products!$A$1:$G$1,0))</f>
        <v>0.5</v>
      </c>
      <c r="K127" s="6">
        <f>INDEX(products!$A$1:$G$49,MATCH(orders!$D127,products!$A$1:$A$49,0),MATCH(orders!K$1,products!$A$1:$G$1,0))</f>
        <v>8.73</v>
      </c>
      <c r="L127" s="6">
        <f>K127*E127</f>
        <v>26.19</v>
      </c>
      <c r="M127" t="str" cm="1">
        <f t="array" ref="M127">_xlfn.IFS(H127="Rob","Robusta",H127="Exc","Excelsa",H127="Ara","Arabica",H127="Lib","Liberica")</f>
        <v>Liberica</v>
      </c>
      <c r="N127" t="str" cm="1">
        <f t="array" ref="N127">_xlfn.IFS(I127="M","Medium",I127="L","Light",I127="D","Dark")</f>
        <v>Medium</v>
      </c>
      <c r="O127" t="str">
        <f>_xlfn.XLOOKUP(Orders[[#This Row],[Customer ID]],customers!$A$2:$A$1001,customers!$I$2:$I$1001,,0)</f>
        <v>Yes</v>
      </c>
    </row>
    <row r="128" spans="1:15" x14ac:dyDescent="0.3">
      <c r="A128" s="2" t="s">
        <v>1198</v>
      </c>
      <c r="B128" s="3">
        <v>44026</v>
      </c>
      <c r="C128" s="2" t="s">
        <v>1199</v>
      </c>
      <c r="D128" t="s">
        <v>6155</v>
      </c>
      <c r="E128" s="2">
        <v>1</v>
      </c>
      <c r="F128" s="2" t="str">
        <f>_xlfn.XLOOKUP(C128,customers!$A$2:$A$1001,customers!$B$2:$B$1001,,0)</f>
        <v>Hewet Synnot</v>
      </c>
      <c r="G128" s="2" t="str">
        <f>_xlfn.XLOOKUP(C128,customers!$A$2:$A$1001,customers!$G$2:$G$1001,,0)</f>
        <v>United States</v>
      </c>
      <c r="H128" t="str">
        <f>INDEX(products!$A$1:$G$49,MATCH(orders!$D128,products!$A$1:$A$49,0),MATCH(orders!H$1,products!$A$1:$G$1,0))</f>
        <v>Ara</v>
      </c>
      <c r="I128" t="str">
        <f>INDEX(products!$A$1:$G$49,MATCH(orders!$D128,products!$A$1:$A$49,0),MATCH(orders!I$1,products!$A$1:$G$1,0))</f>
        <v>M</v>
      </c>
      <c r="J128" s="5">
        <f>INDEX(products!$A$1:$G$49,MATCH(orders!$D128,products!$A$1:$A$49,0),MATCH(orders!J$1,products!$A$1:$G$1,0))</f>
        <v>1</v>
      </c>
      <c r="K128" s="6">
        <f>INDEX(products!$A$1:$G$49,MATCH(orders!$D128,products!$A$1:$A$49,0),MATCH(orders!K$1,products!$A$1:$G$1,0))</f>
        <v>11.25</v>
      </c>
      <c r="L128" s="6">
        <f>K128*E128</f>
        <v>11.25</v>
      </c>
      <c r="M128" t="str" cm="1">
        <f t="array" ref="M128">_xlfn.IFS(H128="Rob","Robusta",H128="Exc","Excelsa",H128="Ara","Arabica",H128="Lib","Liberica")</f>
        <v>Arabica</v>
      </c>
      <c r="N128" t="str" cm="1">
        <f t="array" ref="N128">_xlfn.IFS(I128="M","Medium",I128="L","Light",I128="D","Dark")</f>
        <v>Medium</v>
      </c>
      <c r="O128" t="str">
        <f>_xlfn.XLOOKUP(Orders[[#This Row],[Customer ID]],customers!$A$2:$A$1001,customers!$I$2:$I$1001,,0)</f>
        <v>No</v>
      </c>
    </row>
    <row r="129" spans="1:15" x14ac:dyDescent="0.3">
      <c r="A129" s="2" t="s">
        <v>1204</v>
      </c>
      <c r="B129" s="3">
        <v>44510</v>
      </c>
      <c r="C129" s="2" t="s">
        <v>1205</v>
      </c>
      <c r="D129" t="s">
        <v>6143</v>
      </c>
      <c r="E129" s="2">
        <v>6</v>
      </c>
      <c r="F129" s="2" t="str">
        <f>_xlfn.XLOOKUP(C129,customers!$A$2:$A$1001,customers!$B$2:$B$1001,,0)</f>
        <v>Raleigh Lepere</v>
      </c>
      <c r="G129" s="2" t="str">
        <f>_xlfn.XLOOKUP(C129,customers!$A$2:$A$1001,customers!$G$2:$G$1001,,0)</f>
        <v>Ireland</v>
      </c>
      <c r="H129" t="str">
        <f>INDEX(products!$A$1:$G$49,MATCH(orders!$D129,products!$A$1:$A$49,0),MATCH(orders!H$1,products!$A$1:$G$1,0))</f>
        <v>Lib</v>
      </c>
      <c r="I129" t="str">
        <f>INDEX(products!$A$1:$G$49,MATCH(orders!$D129,products!$A$1:$A$49,0),MATCH(orders!I$1,products!$A$1:$G$1,0))</f>
        <v>D</v>
      </c>
      <c r="J129" s="5">
        <f>INDEX(products!$A$1:$G$49,MATCH(orders!$D129,products!$A$1:$A$49,0),MATCH(orders!J$1,products!$A$1:$G$1,0))</f>
        <v>1</v>
      </c>
      <c r="K129" s="6">
        <f>INDEX(products!$A$1:$G$49,MATCH(orders!$D129,products!$A$1:$A$49,0),MATCH(orders!K$1,products!$A$1:$G$1,0))</f>
        <v>12.95</v>
      </c>
      <c r="L129" s="6">
        <f>K129*E129</f>
        <v>77.699999999999989</v>
      </c>
      <c r="M129" t="str" cm="1">
        <f t="array" ref="M129">_xlfn.IFS(H129="Rob","Robusta",H129="Exc","Excelsa",H129="Ara","Arabica",H129="Lib","Liberica")</f>
        <v>Liberica</v>
      </c>
      <c r="N129" t="str" cm="1">
        <f t="array" ref="N129">_xlfn.IFS(I129="M","Medium",I129="L","Light",I129="D","Dark")</f>
        <v>Dark</v>
      </c>
      <c r="O129" t="str">
        <f>_xlfn.XLOOKUP(Orders[[#This Row],[Customer ID]],customers!$A$2:$A$1001,customers!$I$2:$I$1001,,0)</f>
        <v>No</v>
      </c>
    </row>
    <row r="130" spans="1:15" x14ac:dyDescent="0.3">
      <c r="A130" s="2" t="s">
        <v>1210</v>
      </c>
      <c r="B130" s="3">
        <v>44439</v>
      </c>
      <c r="C130" s="2" t="s">
        <v>1211</v>
      </c>
      <c r="D130" t="s">
        <v>6157</v>
      </c>
      <c r="E130" s="2">
        <v>1</v>
      </c>
      <c r="F130" s="2" t="str">
        <f>_xlfn.XLOOKUP(C130,customers!$A$2:$A$1001,customers!$B$2:$B$1001,,0)</f>
        <v>Timofei Woofinden</v>
      </c>
      <c r="G130" s="2" t="str">
        <f>_xlfn.XLOOKUP(C130,customers!$A$2:$A$1001,customers!$G$2:$G$1001,,0)</f>
        <v>United States</v>
      </c>
      <c r="H130" t="str">
        <f>INDEX(products!$A$1:$G$49,MATCH(orders!$D130,products!$A$1:$A$49,0),MATCH(orders!H$1,products!$A$1:$G$1,0))</f>
        <v>Ara</v>
      </c>
      <c r="I130" t="str">
        <f>INDEX(products!$A$1:$G$49,MATCH(orders!$D130,products!$A$1:$A$49,0),MATCH(orders!I$1,products!$A$1:$G$1,0))</f>
        <v>M</v>
      </c>
      <c r="J130" s="5">
        <f>INDEX(products!$A$1:$G$49,MATCH(orders!$D130,products!$A$1:$A$49,0),MATCH(orders!J$1,products!$A$1:$G$1,0))</f>
        <v>0.5</v>
      </c>
      <c r="K130" s="6">
        <f>INDEX(products!$A$1:$G$49,MATCH(orders!$D130,products!$A$1:$A$49,0),MATCH(orders!K$1,products!$A$1:$G$1,0))</f>
        <v>6.75</v>
      </c>
      <c r="L130" s="6">
        <f>K130*E130</f>
        <v>6.75</v>
      </c>
      <c r="M130" t="str" cm="1">
        <f t="array" ref="M130">_xlfn.IFS(H130="Rob","Robusta",H130="Exc","Excelsa",H130="Ara","Arabica",H130="Lib","Liberica")</f>
        <v>Arabica</v>
      </c>
      <c r="N130" t="str" cm="1">
        <f t="array" ref="N130">_xlfn.IFS(I130="M","Medium",I130="L","Light",I130="D","Dark")</f>
        <v>Medium</v>
      </c>
      <c r="O130" t="str">
        <f>_xlfn.XLOOKUP(Orders[[#This Row],[Customer ID]],customers!$A$2:$A$1001,customers!$I$2:$I$1001,,0)</f>
        <v>No</v>
      </c>
    </row>
    <row r="131" spans="1:15" x14ac:dyDescent="0.3">
      <c r="A131" s="2" t="s">
        <v>1216</v>
      </c>
      <c r="B131" s="3">
        <v>43652</v>
      </c>
      <c r="C131" s="2" t="s">
        <v>1217</v>
      </c>
      <c r="D131" t="s">
        <v>6183</v>
      </c>
      <c r="E131" s="2">
        <v>1</v>
      </c>
      <c r="F131" s="2" t="str">
        <f>_xlfn.XLOOKUP(C131,customers!$A$2:$A$1001,customers!$B$2:$B$1001,,0)</f>
        <v>Evelina Dacca</v>
      </c>
      <c r="G131" s="2" t="str">
        <f>_xlfn.XLOOKUP(C131,customers!$A$2:$A$1001,customers!$G$2:$G$1001,,0)</f>
        <v>United States</v>
      </c>
      <c r="H131" t="str">
        <f>INDEX(products!$A$1:$G$49,MATCH(orders!$D131,products!$A$1:$A$49,0),MATCH(orders!H$1,products!$A$1:$G$1,0))</f>
        <v>Exc</v>
      </c>
      <c r="I131" t="str">
        <f>INDEX(products!$A$1:$G$49,MATCH(orders!$D131,products!$A$1:$A$49,0),MATCH(orders!I$1,products!$A$1:$G$1,0))</f>
        <v>D</v>
      </c>
      <c r="J131" s="5">
        <f>INDEX(products!$A$1:$G$49,MATCH(orders!$D131,products!$A$1:$A$49,0),MATCH(orders!J$1,products!$A$1:$G$1,0))</f>
        <v>1</v>
      </c>
      <c r="K131" s="6">
        <f>INDEX(products!$A$1:$G$49,MATCH(orders!$D131,products!$A$1:$A$49,0),MATCH(orders!K$1,products!$A$1:$G$1,0))</f>
        <v>12.15</v>
      </c>
      <c r="L131" s="6">
        <f>K131*E131</f>
        <v>12.15</v>
      </c>
      <c r="M131" t="str" cm="1">
        <f t="array" ref="M131">_xlfn.IFS(H131="Rob","Robusta",H131="Exc","Excelsa",H131="Ara","Arabica",H131="Lib","Liberica")</f>
        <v>Excelsa</v>
      </c>
      <c r="N131" t="str" cm="1">
        <f t="array" ref="N131">_xlfn.IFS(I131="M","Medium",I131="L","Light",I131="D","Dark")</f>
        <v>Dark</v>
      </c>
      <c r="O131" t="str">
        <f>_xlfn.XLOOKUP(Orders[[#This Row],[Customer ID]],customers!$A$2:$A$1001,customers!$I$2:$I$1001,,0)</f>
        <v>Yes</v>
      </c>
    </row>
    <row r="132" spans="1:15" x14ac:dyDescent="0.3">
      <c r="A132" s="2" t="s">
        <v>1222</v>
      </c>
      <c r="B132" s="3">
        <v>44624</v>
      </c>
      <c r="C132" s="2" t="s">
        <v>1223</v>
      </c>
      <c r="D132" t="s">
        <v>6182</v>
      </c>
      <c r="E132" s="2">
        <v>5</v>
      </c>
      <c r="F132" s="2" t="str">
        <f>_xlfn.XLOOKUP(C132,customers!$A$2:$A$1001,customers!$B$2:$B$1001,,0)</f>
        <v>Bidget Tremellier</v>
      </c>
      <c r="G132" s="2" t="str">
        <f>_xlfn.XLOOKUP(C132,customers!$A$2:$A$1001,customers!$G$2:$G$1001,,0)</f>
        <v>Ireland</v>
      </c>
      <c r="H132" t="str">
        <f>INDEX(products!$A$1:$G$49,MATCH(orders!$D132,products!$A$1:$A$49,0),MATCH(orders!H$1,products!$A$1:$G$1,0))</f>
        <v>Ara</v>
      </c>
      <c r="I132" t="str">
        <f>INDEX(products!$A$1:$G$49,MATCH(orders!$D132,products!$A$1:$A$49,0),MATCH(orders!I$1,products!$A$1:$G$1,0))</f>
        <v>L</v>
      </c>
      <c r="J132" s="5">
        <f>INDEX(products!$A$1:$G$49,MATCH(orders!$D132,products!$A$1:$A$49,0),MATCH(orders!J$1,products!$A$1:$G$1,0))</f>
        <v>2.5</v>
      </c>
      <c r="K132" s="6">
        <f>INDEX(products!$A$1:$G$49,MATCH(orders!$D132,products!$A$1:$A$49,0),MATCH(orders!K$1,products!$A$1:$G$1,0))</f>
        <v>29.784999999999997</v>
      </c>
      <c r="L132" s="6">
        <f>K132*E132</f>
        <v>148.92499999999998</v>
      </c>
      <c r="M132" t="str" cm="1">
        <f t="array" ref="M132">_xlfn.IFS(H132="Rob","Robusta",H132="Exc","Excelsa",H132="Ara","Arabica",H132="Lib","Liberica")</f>
        <v>Arabica</v>
      </c>
      <c r="N132" t="str" cm="1">
        <f t="array" ref="N132">_xlfn.IFS(I132="M","Medium",I132="L","Light",I132="D","Dark")</f>
        <v>Light</v>
      </c>
      <c r="O132" t="str">
        <f>_xlfn.XLOOKUP(Orders[[#This Row],[Customer ID]],customers!$A$2:$A$1001,customers!$I$2:$I$1001,,0)</f>
        <v>Yes</v>
      </c>
    </row>
    <row r="133" spans="1:15" x14ac:dyDescent="0.3">
      <c r="A133" s="2" t="s">
        <v>1227</v>
      </c>
      <c r="B133" s="3">
        <v>44196</v>
      </c>
      <c r="C133" s="2" t="s">
        <v>1228</v>
      </c>
      <c r="D133" t="s">
        <v>6144</v>
      </c>
      <c r="E133" s="2">
        <v>2</v>
      </c>
      <c r="F133" s="2" t="str">
        <f>_xlfn.XLOOKUP(C133,customers!$A$2:$A$1001,customers!$B$2:$B$1001,,0)</f>
        <v>Bobinette Hindsberg</v>
      </c>
      <c r="G133" s="2" t="str">
        <f>_xlfn.XLOOKUP(C133,customers!$A$2:$A$1001,customers!$G$2:$G$1001,,0)</f>
        <v>United States</v>
      </c>
      <c r="H133" t="str">
        <f>INDEX(products!$A$1:$G$49,MATCH(orders!$D133,products!$A$1:$A$49,0),MATCH(orders!H$1,products!$A$1:$G$1,0))</f>
        <v>Exc</v>
      </c>
      <c r="I133" t="str">
        <f>INDEX(products!$A$1:$G$49,MATCH(orders!$D133,products!$A$1:$A$49,0),MATCH(orders!I$1,products!$A$1:$G$1,0))</f>
        <v>D</v>
      </c>
      <c r="J133" s="5">
        <f>INDEX(products!$A$1:$G$49,MATCH(orders!$D133,products!$A$1:$A$49,0),MATCH(orders!J$1,products!$A$1:$G$1,0))</f>
        <v>0.5</v>
      </c>
      <c r="K133" s="6">
        <f>INDEX(products!$A$1:$G$49,MATCH(orders!$D133,products!$A$1:$A$49,0),MATCH(orders!K$1,products!$A$1:$G$1,0))</f>
        <v>7.29</v>
      </c>
      <c r="L133" s="6">
        <f>K133*E133</f>
        <v>14.58</v>
      </c>
      <c r="M133" t="str" cm="1">
        <f t="array" ref="M133">_xlfn.IFS(H133="Rob","Robusta",H133="Exc","Excelsa",H133="Ara","Arabica",H133="Lib","Liberica")</f>
        <v>Excelsa</v>
      </c>
      <c r="N133" t="str" cm="1">
        <f t="array" ref="N133">_xlfn.IFS(I133="M","Medium",I133="L","Light",I133="D","Dark")</f>
        <v>Dark</v>
      </c>
      <c r="O133" t="str">
        <f>_xlfn.XLOOKUP(Orders[[#This Row],[Customer ID]],customers!$A$2:$A$1001,customers!$I$2:$I$1001,,0)</f>
        <v>Yes</v>
      </c>
    </row>
    <row r="134" spans="1:15" x14ac:dyDescent="0.3">
      <c r="A134" s="2" t="s">
        <v>1233</v>
      </c>
      <c r="B134" s="3">
        <v>44043</v>
      </c>
      <c r="C134" s="2" t="s">
        <v>1234</v>
      </c>
      <c r="D134" t="s">
        <v>6182</v>
      </c>
      <c r="E134" s="2">
        <v>5</v>
      </c>
      <c r="F134" s="2" t="str">
        <f>_xlfn.XLOOKUP(C134,customers!$A$2:$A$1001,customers!$B$2:$B$1001,,0)</f>
        <v>Osbert Robins</v>
      </c>
      <c r="G134" s="2" t="str">
        <f>_xlfn.XLOOKUP(C134,customers!$A$2:$A$1001,customers!$G$2:$G$1001,,0)</f>
        <v>United States</v>
      </c>
      <c r="H134" t="str">
        <f>INDEX(products!$A$1:$G$49,MATCH(orders!$D134,products!$A$1:$A$49,0),MATCH(orders!H$1,products!$A$1:$G$1,0))</f>
        <v>Ara</v>
      </c>
      <c r="I134" t="str">
        <f>INDEX(products!$A$1:$G$49,MATCH(orders!$D134,products!$A$1:$A$49,0),MATCH(orders!I$1,products!$A$1:$G$1,0))</f>
        <v>L</v>
      </c>
      <c r="J134" s="5">
        <f>INDEX(products!$A$1:$G$49,MATCH(orders!$D134,products!$A$1:$A$49,0),MATCH(orders!J$1,products!$A$1:$G$1,0))</f>
        <v>2.5</v>
      </c>
      <c r="K134" s="6">
        <f>INDEX(products!$A$1:$G$49,MATCH(orders!$D134,products!$A$1:$A$49,0),MATCH(orders!K$1,products!$A$1:$G$1,0))</f>
        <v>29.784999999999997</v>
      </c>
      <c r="L134" s="6">
        <f>K134*E134</f>
        <v>148.92499999999998</v>
      </c>
      <c r="M134" t="str" cm="1">
        <f t="array" ref="M134">_xlfn.IFS(H134="Rob","Robusta",H134="Exc","Excelsa",H134="Ara","Arabica",H134="Lib","Liberica")</f>
        <v>Arabica</v>
      </c>
      <c r="N134" t="str" cm="1">
        <f t="array" ref="N134">_xlfn.IFS(I134="M","Medium",I134="L","Light",I134="D","Dark")</f>
        <v>Light</v>
      </c>
      <c r="O134" t="str">
        <f>_xlfn.XLOOKUP(Orders[[#This Row],[Customer ID]],customers!$A$2:$A$1001,customers!$I$2:$I$1001,,0)</f>
        <v>Yes</v>
      </c>
    </row>
    <row r="135" spans="1:15" x14ac:dyDescent="0.3">
      <c r="A135" s="2" t="s">
        <v>1239</v>
      </c>
      <c r="B135" s="3">
        <v>44340</v>
      </c>
      <c r="C135" s="2" t="s">
        <v>1240</v>
      </c>
      <c r="D135" t="s">
        <v>6143</v>
      </c>
      <c r="E135" s="2">
        <v>1</v>
      </c>
      <c r="F135" s="2" t="str">
        <f>_xlfn.XLOOKUP(C135,customers!$A$2:$A$1001,customers!$B$2:$B$1001,,0)</f>
        <v>Othello Syseland</v>
      </c>
      <c r="G135" s="2" t="str">
        <f>_xlfn.XLOOKUP(C135,customers!$A$2:$A$1001,customers!$G$2:$G$1001,,0)</f>
        <v>United States</v>
      </c>
      <c r="H135" t="str">
        <f>INDEX(products!$A$1:$G$49,MATCH(orders!$D135,products!$A$1:$A$49,0),MATCH(orders!H$1,products!$A$1:$G$1,0))</f>
        <v>Lib</v>
      </c>
      <c r="I135" t="str">
        <f>INDEX(products!$A$1:$G$49,MATCH(orders!$D135,products!$A$1:$A$49,0),MATCH(orders!I$1,products!$A$1:$G$1,0))</f>
        <v>D</v>
      </c>
      <c r="J135" s="5">
        <f>INDEX(products!$A$1:$G$49,MATCH(orders!$D135,products!$A$1:$A$49,0),MATCH(orders!J$1,products!$A$1:$G$1,0))</f>
        <v>1</v>
      </c>
      <c r="K135" s="6">
        <f>INDEX(products!$A$1:$G$49,MATCH(orders!$D135,products!$A$1:$A$49,0),MATCH(orders!K$1,products!$A$1:$G$1,0))</f>
        <v>12.95</v>
      </c>
      <c r="L135" s="6">
        <f>K135*E135</f>
        <v>12.95</v>
      </c>
      <c r="M135" t="str" cm="1">
        <f t="array" ref="M135">_xlfn.IFS(H135="Rob","Robusta",H135="Exc","Excelsa",H135="Ara","Arabica",H135="Lib","Liberica")</f>
        <v>Liberica</v>
      </c>
      <c r="N135" t="str" cm="1">
        <f t="array" ref="N135">_xlfn.IFS(I135="M","Medium",I135="L","Light",I135="D","Dark")</f>
        <v>Dark</v>
      </c>
      <c r="O135" t="str">
        <f>_xlfn.XLOOKUP(Orders[[#This Row],[Customer ID]],customers!$A$2:$A$1001,customers!$I$2:$I$1001,,0)</f>
        <v>No</v>
      </c>
    </row>
    <row r="136" spans="1:15" x14ac:dyDescent="0.3">
      <c r="A136" s="2" t="s">
        <v>1245</v>
      </c>
      <c r="B136" s="3">
        <v>44758</v>
      </c>
      <c r="C136" s="2" t="s">
        <v>1246</v>
      </c>
      <c r="D136" t="s">
        <v>6166</v>
      </c>
      <c r="E136" s="2">
        <v>3</v>
      </c>
      <c r="F136" s="2" t="str">
        <f>_xlfn.XLOOKUP(C136,customers!$A$2:$A$1001,customers!$B$2:$B$1001,,0)</f>
        <v>Ewell Hanby</v>
      </c>
      <c r="G136" s="2" t="str">
        <f>_xlfn.XLOOKUP(C136,customers!$A$2:$A$1001,customers!$G$2:$G$1001,,0)</f>
        <v>United States</v>
      </c>
      <c r="H136" t="str">
        <f>INDEX(products!$A$1:$G$49,MATCH(orders!$D136,products!$A$1:$A$49,0),MATCH(orders!H$1,products!$A$1:$G$1,0))</f>
        <v>Exc</v>
      </c>
      <c r="I136" t="str">
        <f>INDEX(products!$A$1:$G$49,MATCH(orders!$D136,products!$A$1:$A$49,0),MATCH(orders!I$1,products!$A$1:$G$1,0))</f>
        <v>M</v>
      </c>
      <c r="J136" s="5">
        <f>INDEX(products!$A$1:$G$49,MATCH(orders!$D136,products!$A$1:$A$49,0),MATCH(orders!J$1,products!$A$1:$G$1,0))</f>
        <v>2.5</v>
      </c>
      <c r="K136" s="6">
        <f>INDEX(products!$A$1:$G$49,MATCH(orders!$D136,products!$A$1:$A$49,0),MATCH(orders!K$1,products!$A$1:$G$1,0))</f>
        <v>31.624999999999996</v>
      </c>
      <c r="L136" s="6">
        <f>K136*E136</f>
        <v>94.874999999999986</v>
      </c>
      <c r="M136" t="str" cm="1">
        <f t="array" ref="M136">_xlfn.IFS(H136="Rob","Robusta",H136="Exc","Excelsa",H136="Ara","Arabica",H136="Lib","Liberica")</f>
        <v>Excelsa</v>
      </c>
      <c r="N136" t="str" cm="1">
        <f t="array" ref="N136">_xlfn.IFS(I136="M","Medium",I136="L","Light",I136="D","Dark")</f>
        <v>Medium</v>
      </c>
      <c r="O136" t="str">
        <f>_xlfn.XLOOKUP(Orders[[#This Row],[Customer ID]],customers!$A$2:$A$1001,customers!$I$2:$I$1001,,0)</f>
        <v>Yes</v>
      </c>
    </row>
    <row r="137" spans="1:15" x14ac:dyDescent="0.3">
      <c r="A137" s="2" t="s">
        <v>1249</v>
      </c>
      <c r="B137" s="3">
        <v>44232</v>
      </c>
      <c r="C137" s="2" t="s">
        <v>976</v>
      </c>
      <c r="D137" t="s">
        <v>6180</v>
      </c>
      <c r="E137" s="2">
        <v>5</v>
      </c>
      <c r="F137" s="2" t="str">
        <f>_xlfn.XLOOKUP(C137,customers!$A$2:$A$1001,customers!$B$2:$B$1001,,0)</f>
        <v>Blancha McAmish</v>
      </c>
      <c r="G137" s="2" t="str">
        <f>_xlfn.XLOOKUP(C137,customers!$A$2:$A$1001,customers!$G$2:$G$1001,,0)</f>
        <v>United States</v>
      </c>
      <c r="H137" t="str">
        <f>INDEX(products!$A$1:$G$49,MATCH(orders!$D137,products!$A$1:$A$49,0),MATCH(orders!H$1,products!$A$1:$G$1,0))</f>
        <v>Ara</v>
      </c>
      <c r="I137" t="str">
        <f>INDEX(products!$A$1:$G$49,MATCH(orders!$D137,products!$A$1:$A$49,0),MATCH(orders!I$1,products!$A$1:$G$1,0))</f>
        <v>L</v>
      </c>
      <c r="J137" s="5">
        <f>INDEX(products!$A$1:$G$49,MATCH(orders!$D137,products!$A$1:$A$49,0),MATCH(orders!J$1,products!$A$1:$G$1,0))</f>
        <v>0.5</v>
      </c>
      <c r="K137" s="6">
        <f>INDEX(products!$A$1:$G$49,MATCH(orders!$D137,products!$A$1:$A$49,0),MATCH(orders!K$1,products!$A$1:$G$1,0))</f>
        <v>7.77</v>
      </c>
      <c r="L137" s="6">
        <f>K137*E137</f>
        <v>38.849999999999994</v>
      </c>
      <c r="M137" t="str" cm="1">
        <f t="array" ref="M137">_xlfn.IFS(H137="Rob","Robusta",H137="Exc","Excelsa",H137="Ara","Arabica",H137="Lib","Liberica")</f>
        <v>Arabica</v>
      </c>
      <c r="N137" t="str" cm="1">
        <f t="array" ref="N137">_xlfn.IFS(I137="M","Medium",I137="L","Light",I137="D","Dark")</f>
        <v>Light</v>
      </c>
      <c r="O137" t="str">
        <f>_xlfn.XLOOKUP(Orders[[#This Row],[Customer ID]],customers!$A$2:$A$1001,customers!$I$2:$I$1001,,0)</f>
        <v>Yes</v>
      </c>
    </row>
    <row r="138" spans="1:15" x14ac:dyDescent="0.3">
      <c r="A138" s="2" t="s">
        <v>1255</v>
      </c>
      <c r="B138" s="3">
        <v>44406</v>
      </c>
      <c r="C138" s="2" t="s">
        <v>1256</v>
      </c>
      <c r="D138" t="s">
        <v>6154</v>
      </c>
      <c r="E138" s="2">
        <v>4</v>
      </c>
      <c r="F138" s="2" t="str">
        <f>_xlfn.XLOOKUP(C138,customers!$A$2:$A$1001,customers!$B$2:$B$1001,,0)</f>
        <v>Lowell Keenleyside</v>
      </c>
      <c r="G138" s="2" t="str">
        <f>_xlfn.XLOOKUP(C138,customers!$A$2:$A$1001,customers!$G$2:$G$1001,,0)</f>
        <v>United States</v>
      </c>
      <c r="H138" t="str">
        <f>INDEX(products!$A$1:$G$49,MATCH(orders!$D138,products!$A$1:$A$49,0),MATCH(orders!H$1,products!$A$1:$G$1,0))</f>
        <v>Ara</v>
      </c>
      <c r="I138" t="str">
        <f>INDEX(products!$A$1:$G$49,MATCH(orders!$D138,products!$A$1:$A$49,0),MATCH(orders!I$1,products!$A$1:$G$1,0))</f>
        <v>D</v>
      </c>
      <c r="J138" s="5">
        <f>INDEX(products!$A$1:$G$49,MATCH(orders!$D138,products!$A$1:$A$49,0),MATCH(orders!J$1,products!$A$1:$G$1,0))</f>
        <v>0.2</v>
      </c>
      <c r="K138" s="6">
        <f>INDEX(products!$A$1:$G$49,MATCH(orders!$D138,products!$A$1:$A$49,0),MATCH(orders!K$1,products!$A$1:$G$1,0))</f>
        <v>2.9849999999999999</v>
      </c>
      <c r="L138" s="6">
        <f>K138*E138</f>
        <v>11.94</v>
      </c>
      <c r="M138" t="str" cm="1">
        <f t="array" ref="M138">_xlfn.IFS(H138="Rob","Robusta",H138="Exc","Excelsa",H138="Ara","Arabica",H138="Lib","Liberica")</f>
        <v>Arabica</v>
      </c>
      <c r="N138" t="str" cm="1">
        <f t="array" ref="N138">_xlfn.IFS(I138="M","Medium",I138="L","Light",I138="D","Dark")</f>
        <v>Dark</v>
      </c>
      <c r="O138" t="str">
        <f>_xlfn.XLOOKUP(Orders[[#This Row],[Customer ID]],customers!$A$2:$A$1001,customers!$I$2:$I$1001,,0)</f>
        <v>No</v>
      </c>
    </row>
    <row r="139" spans="1:15" x14ac:dyDescent="0.3">
      <c r="A139" s="2" t="s">
        <v>1261</v>
      </c>
      <c r="B139" s="3">
        <v>44637</v>
      </c>
      <c r="C139" s="2" t="s">
        <v>1262</v>
      </c>
      <c r="D139" t="s">
        <v>6148</v>
      </c>
      <c r="E139" s="2">
        <v>3</v>
      </c>
      <c r="F139" s="2" t="str">
        <f>_xlfn.XLOOKUP(C139,customers!$A$2:$A$1001,customers!$B$2:$B$1001,,0)</f>
        <v>Elonore Joliffe</v>
      </c>
      <c r="G139" s="2" t="str">
        <f>_xlfn.XLOOKUP(C139,customers!$A$2:$A$1001,customers!$G$2:$G$1001,,0)</f>
        <v>Ireland</v>
      </c>
      <c r="H139" t="str">
        <f>INDEX(products!$A$1:$G$49,MATCH(orders!$D139,products!$A$1:$A$49,0),MATCH(orders!H$1,products!$A$1:$G$1,0))</f>
        <v>Exc</v>
      </c>
      <c r="I139" t="str">
        <f>INDEX(products!$A$1:$G$49,MATCH(orders!$D139,products!$A$1:$A$49,0),MATCH(orders!I$1,products!$A$1:$G$1,0))</f>
        <v>L</v>
      </c>
      <c r="J139" s="5">
        <f>INDEX(products!$A$1:$G$49,MATCH(orders!$D139,products!$A$1:$A$49,0),MATCH(orders!J$1,products!$A$1:$G$1,0))</f>
        <v>2.5</v>
      </c>
      <c r="K139" s="6">
        <f>INDEX(products!$A$1:$G$49,MATCH(orders!$D139,products!$A$1:$A$49,0),MATCH(orders!K$1,products!$A$1:$G$1,0))</f>
        <v>34.154999999999994</v>
      </c>
      <c r="L139" s="6">
        <f>K139*E139</f>
        <v>102.46499999999997</v>
      </c>
      <c r="M139" t="str" cm="1">
        <f t="array" ref="M139">_xlfn.IFS(H139="Rob","Robusta",H139="Exc","Excelsa",H139="Ara","Arabica",H139="Lib","Liberica")</f>
        <v>Excelsa</v>
      </c>
      <c r="N139" t="str" cm="1">
        <f t="array" ref="N139">_xlfn.IFS(I139="M","Medium",I139="L","Light",I139="D","Dark")</f>
        <v>Light</v>
      </c>
      <c r="O139" t="str">
        <f>_xlfn.XLOOKUP(Orders[[#This Row],[Customer ID]],customers!$A$2:$A$1001,customers!$I$2:$I$1001,,0)</f>
        <v>No</v>
      </c>
    </row>
    <row r="140" spans="1:15" x14ac:dyDescent="0.3">
      <c r="A140" s="2" t="s">
        <v>1266</v>
      </c>
      <c r="B140" s="3">
        <v>44238</v>
      </c>
      <c r="C140" s="2" t="s">
        <v>1267</v>
      </c>
      <c r="D140" t="s">
        <v>6183</v>
      </c>
      <c r="E140" s="2">
        <v>4</v>
      </c>
      <c r="F140" s="2" t="str">
        <f>_xlfn.XLOOKUP(C140,customers!$A$2:$A$1001,customers!$B$2:$B$1001,,0)</f>
        <v>Abraham Coleman</v>
      </c>
      <c r="G140" s="2" t="str">
        <f>_xlfn.XLOOKUP(C140,customers!$A$2:$A$1001,customers!$G$2:$G$1001,,0)</f>
        <v>United States</v>
      </c>
      <c r="H140" t="str">
        <f>INDEX(products!$A$1:$G$49,MATCH(orders!$D140,products!$A$1:$A$49,0),MATCH(orders!H$1,products!$A$1:$G$1,0))</f>
        <v>Exc</v>
      </c>
      <c r="I140" t="str">
        <f>INDEX(products!$A$1:$G$49,MATCH(orders!$D140,products!$A$1:$A$49,0),MATCH(orders!I$1,products!$A$1:$G$1,0))</f>
        <v>D</v>
      </c>
      <c r="J140" s="5">
        <f>INDEX(products!$A$1:$G$49,MATCH(orders!$D140,products!$A$1:$A$49,0),MATCH(orders!J$1,products!$A$1:$G$1,0))</f>
        <v>1</v>
      </c>
      <c r="K140" s="6">
        <f>INDEX(products!$A$1:$G$49,MATCH(orders!$D140,products!$A$1:$A$49,0),MATCH(orders!K$1,products!$A$1:$G$1,0))</f>
        <v>12.15</v>
      </c>
      <c r="L140" s="6">
        <f>K140*E140</f>
        <v>48.6</v>
      </c>
      <c r="M140" t="str" cm="1">
        <f t="array" ref="M140">_xlfn.IFS(H140="Rob","Robusta",H140="Exc","Excelsa",H140="Ara","Arabica",H140="Lib","Liberica")</f>
        <v>Excelsa</v>
      </c>
      <c r="N140" t="str" cm="1">
        <f t="array" ref="N140">_xlfn.IFS(I140="M","Medium",I140="L","Light",I140="D","Dark")</f>
        <v>Dark</v>
      </c>
      <c r="O140" t="str">
        <f>_xlfn.XLOOKUP(Orders[[#This Row],[Customer ID]],customers!$A$2:$A$1001,customers!$I$2:$I$1001,,0)</f>
        <v>No</v>
      </c>
    </row>
    <row r="141" spans="1:15" x14ac:dyDescent="0.3">
      <c r="A141" s="2" t="s">
        <v>1271</v>
      </c>
      <c r="B141" s="3">
        <v>43509</v>
      </c>
      <c r="C141" s="2" t="s">
        <v>1272</v>
      </c>
      <c r="D141" t="s">
        <v>6143</v>
      </c>
      <c r="E141" s="2">
        <v>6</v>
      </c>
      <c r="F141" s="2" t="str">
        <f>_xlfn.XLOOKUP(C141,customers!$A$2:$A$1001,customers!$B$2:$B$1001,,0)</f>
        <v>Rivy Farington</v>
      </c>
      <c r="G141" s="2" t="str">
        <f>_xlfn.XLOOKUP(C141,customers!$A$2:$A$1001,customers!$G$2:$G$1001,,0)</f>
        <v>United States</v>
      </c>
      <c r="H141" t="str">
        <f>INDEX(products!$A$1:$G$49,MATCH(orders!$D141,products!$A$1:$A$49,0),MATCH(orders!H$1,products!$A$1:$G$1,0))</f>
        <v>Lib</v>
      </c>
      <c r="I141" t="str">
        <f>INDEX(products!$A$1:$G$49,MATCH(orders!$D141,products!$A$1:$A$49,0),MATCH(orders!I$1,products!$A$1:$G$1,0))</f>
        <v>D</v>
      </c>
      <c r="J141" s="5">
        <f>INDEX(products!$A$1:$G$49,MATCH(orders!$D141,products!$A$1:$A$49,0),MATCH(orders!J$1,products!$A$1:$G$1,0))</f>
        <v>1</v>
      </c>
      <c r="K141" s="6">
        <f>INDEX(products!$A$1:$G$49,MATCH(orders!$D141,products!$A$1:$A$49,0),MATCH(orders!K$1,products!$A$1:$G$1,0))</f>
        <v>12.95</v>
      </c>
      <c r="L141" s="6">
        <f>K141*E141</f>
        <v>77.699999999999989</v>
      </c>
      <c r="M141" t="str" cm="1">
        <f t="array" ref="M141">_xlfn.IFS(H141="Rob","Robusta",H141="Exc","Excelsa",H141="Ara","Arabica",H141="Lib","Liberica")</f>
        <v>Liberica</v>
      </c>
      <c r="N141" t="str" cm="1">
        <f t="array" ref="N141">_xlfn.IFS(I141="M","Medium",I141="L","Light",I141="D","Dark")</f>
        <v>Dark</v>
      </c>
      <c r="O141" t="str">
        <f>_xlfn.XLOOKUP(Orders[[#This Row],[Customer ID]],customers!$A$2:$A$1001,customers!$I$2:$I$1001,,0)</f>
        <v>Yes</v>
      </c>
    </row>
    <row r="142" spans="1:15" x14ac:dyDescent="0.3">
      <c r="A142" s="2" t="s">
        <v>1276</v>
      </c>
      <c r="B142" s="3">
        <v>44694</v>
      </c>
      <c r="C142" s="2" t="s">
        <v>1277</v>
      </c>
      <c r="D142" t="s">
        <v>6165</v>
      </c>
      <c r="E142" s="2">
        <v>1</v>
      </c>
      <c r="F142" s="2" t="str">
        <f>_xlfn.XLOOKUP(C142,customers!$A$2:$A$1001,customers!$B$2:$B$1001,,0)</f>
        <v>Vallie Kundt</v>
      </c>
      <c r="G142" s="2" t="str">
        <f>_xlfn.XLOOKUP(C142,customers!$A$2:$A$1001,customers!$G$2:$G$1001,,0)</f>
        <v>Ireland</v>
      </c>
      <c r="H142" t="str">
        <f>INDEX(products!$A$1:$G$49,MATCH(orders!$D142,products!$A$1:$A$49,0),MATCH(orders!H$1,products!$A$1:$G$1,0))</f>
        <v>Lib</v>
      </c>
      <c r="I142" t="str">
        <f>INDEX(products!$A$1:$G$49,MATCH(orders!$D142,products!$A$1:$A$49,0),MATCH(orders!I$1,products!$A$1:$G$1,0))</f>
        <v>D</v>
      </c>
      <c r="J142" s="5">
        <f>INDEX(products!$A$1:$G$49,MATCH(orders!$D142,products!$A$1:$A$49,0),MATCH(orders!J$1,products!$A$1:$G$1,0))</f>
        <v>2.5</v>
      </c>
      <c r="K142" s="6">
        <f>INDEX(products!$A$1:$G$49,MATCH(orders!$D142,products!$A$1:$A$49,0),MATCH(orders!K$1,products!$A$1:$G$1,0))</f>
        <v>29.784999999999997</v>
      </c>
      <c r="L142" s="6">
        <f>K142*E142</f>
        <v>29.784999999999997</v>
      </c>
      <c r="M142" t="str" cm="1">
        <f t="array" ref="M142">_xlfn.IFS(H142="Rob","Robusta",H142="Exc","Excelsa",H142="Ara","Arabica",H142="Lib","Liberica")</f>
        <v>Liberica</v>
      </c>
      <c r="N142" t="str" cm="1">
        <f t="array" ref="N142">_xlfn.IFS(I142="M","Medium",I142="L","Light",I142="D","Dark")</f>
        <v>Dark</v>
      </c>
      <c r="O142" t="str">
        <f>_xlfn.XLOOKUP(Orders[[#This Row],[Customer ID]],customers!$A$2:$A$1001,customers!$I$2:$I$1001,,0)</f>
        <v>Yes</v>
      </c>
    </row>
    <row r="143" spans="1:15" x14ac:dyDescent="0.3">
      <c r="A143" s="2" t="s">
        <v>1283</v>
      </c>
      <c r="B143" s="3">
        <v>43970</v>
      </c>
      <c r="C143" s="2" t="s">
        <v>1284</v>
      </c>
      <c r="D143" t="s">
        <v>6167</v>
      </c>
      <c r="E143" s="2">
        <v>4</v>
      </c>
      <c r="F143" s="2" t="str">
        <f>_xlfn.XLOOKUP(C143,customers!$A$2:$A$1001,customers!$B$2:$B$1001,,0)</f>
        <v>Boyd Bett</v>
      </c>
      <c r="G143" s="2" t="str">
        <f>_xlfn.XLOOKUP(C143,customers!$A$2:$A$1001,customers!$G$2:$G$1001,,0)</f>
        <v>United States</v>
      </c>
      <c r="H143" t="str">
        <f>INDEX(products!$A$1:$G$49,MATCH(orders!$D143,products!$A$1:$A$49,0),MATCH(orders!H$1,products!$A$1:$G$1,0))</f>
        <v>Ara</v>
      </c>
      <c r="I143" t="str">
        <f>INDEX(products!$A$1:$G$49,MATCH(orders!$D143,products!$A$1:$A$49,0),MATCH(orders!I$1,products!$A$1:$G$1,0))</f>
        <v>L</v>
      </c>
      <c r="J143" s="5">
        <f>INDEX(products!$A$1:$G$49,MATCH(orders!$D143,products!$A$1:$A$49,0),MATCH(orders!J$1,products!$A$1:$G$1,0))</f>
        <v>0.2</v>
      </c>
      <c r="K143" s="6">
        <f>INDEX(products!$A$1:$G$49,MATCH(orders!$D143,products!$A$1:$A$49,0),MATCH(orders!K$1,products!$A$1:$G$1,0))</f>
        <v>3.8849999999999998</v>
      </c>
      <c r="L143" s="6">
        <f>K143*E143</f>
        <v>15.54</v>
      </c>
      <c r="M143" t="str" cm="1">
        <f t="array" ref="M143">_xlfn.IFS(H143="Rob","Robusta",H143="Exc","Excelsa",H143="Ara","Arabica",H143="Lib","Liberica")</f>
        <v>Arabica</v>
      </c>
      <c r="N143" t="str" cm="1">
        <f t="array" ref="N143">_xlfn.IFS(I143="M","Medium",I143="L","Light",I143="D","Dark")</f>
        <v>Light</v>
      </c>
      <c r="O143" t="str">
        <f>_xlfn.XLOOKUP(Orders[[#This Row],[Customer ID]],customers!$A$2:$A$1001,customers!$I$2:$I$1001,,0)</f>
        <v>Yes</v>
      </c>
    </row>
    <row r="144" spans="1:15" x14ac:dyDescent="0.3">
      <c r="A144" s="2" t="s">
        <v>1289</v>
      </c>
      <c r="B144" s="3">
        <v>44678</v>
      </c>
      <c r="C144" s="2" t="s">
        <v>1290</v>
      </c>
      <c r="D144" t="s">
        <v>6148</v>
      </c>
      <c r="E144" s="2">
        <v>4</v>
      </c>
      <c r="F144" s="2" t="str">
        <f>_xlfn.XLOOKUP(C144,customers!$A$2:$A$1001,customers!$B$2:$B$1001,,0)</f>
        <v>Julio Armytage</v>
      </c>
      <c r="G144" s="2" t="str">
        <f>_xlfn.XLOOKUP(C144,customers!$A$2:$A$1001,customers!$G$2:$G$1001,,0)</f>
        <v>Ireland</v>
      </c>
      <c r="H144" t="str">
        <f>INDEX(products!$A$1:$G$49,MATCH(orders!$D144,products!$A$1:$A$49,0),MATCH(orders!H$1,products!$A$1:$G$1,0))</f>
        <v>Exc</v>
      </c>
      <c r="I144" t="str">
        <f>INDEX(products!$A$1:$G$49,MATCH(orders!$D144,products!$A$1:$A$49,0),MATCH(orders!I$1,products!$A$1:$G$1,0))</f>
        <v>L</v>
      </c>
      <c r="J144" s="5">
        <f>INDEX(products!$A$1:$G$49,MATCH(orders!$D144,products!$A$1:$A$49,0),MATCH(orders!J$1,products!$A$1:$G$1,0))</f>
        <v>2.5</v>
      </c>
      <c r="K144" s="6">
        <f>INDEX(products!$A$1:$G$49,MATCH(orders!$D144,products!$A$1:$A$49,0),MATCH(orders!K$1,products!$A$1:$G$1,0))</f>
        <v>34.154999999999994</v>
      </c>
      <c r="L144" s="6">
        <f>K144*E144</f>
        <v>136.61999999999998</v>
      </c>
      <c r="M144" t="str" cm="1">
        <f t="array" ref="M144">_xlfn.IFS(H144="Rob","Robusta",H144="Exc","Excelsa",H144="Ara","Arabica",H144="Lib","Liberica")</f>
        <v>Excelsa</v>
      </c>
      <c r="N144" t="str" cm="1">
        <f t="array" ref="N144">_xlfn.IFS(I144="M","Medium",I144="L","Light",I144="D","Dark")</f>
        <v>Light</v>
      </c>
      <c r="O144" t="str">
        <f>_xlfn.XLOOKUP(Orders[[#This Row],[Customer ID]],customers!$A$2:$A$1001,customers!$I$2:$I$1001,,0)</f>
        <v>Yes</v>
      </c>
    </row>
    <row r="145" spans="1:15" x14ac:dyDescent="0.3">
      <c r="A145" s="2" t="s">
        <v>1293</v>
      </c>
      <c r="B145" s="3">
        <v>44083</v>
      </c>
      <c r="C145" s="2" t="s">
        <v>1294</v>
      </c>
      <c r="D145" t="s">
        <v>6160</v>
      </c>
      <c r="E145" s="2">
        <v>2</v>
      </c>
      <c r="F145" s="2" t="str">
        <f>_xlfn.XLOOKUP(C145,customers!$A$2:$A$1001,customers!$B$2:$B$1001,,0)</f>
        <v>Deana Staite</v>
      </c>
      <c r="G145" s="2" t="str">
        <f>_xlfn.XLOOKUP(C145,customers!$A$2:$A$1001,customers!$G$2:$G$1001,,0)</f>
        <v>United States</v>
      </c>
      <c r="H145" t="str">
        <f>INDEX(products!$A$1:$G$49,MATCH(orders!$D145,products!$A$1:$A$49,0),MATCH(orders!H$1,products!$A$1:$G$1,0))</f>
        <v>Lib</v>
      </c>
      <c r="I145" t="str">
        <f>INDEX(products!$A$1:$G$49,MATCH(orders!$D145,products!$A$1:$A$49,0),MATCH(orders!I$1,products!$A$1:$G$1,0))</f>
        <v>M</v>
      </c>
      <c r="J145" s="5">
        <f>INDEX(products!$A$1:$G$49,MATCH(orders!$D145,products!$A$1:$A$49,0),MATCH(orders!J$1,products!$A$1:$G$1,0))</f>
        <v>0.5</v>
      </c>
      <c r="K145" s="6">
        <f>INDEX(products!$A$1:$G$49,MATCH(orders!$D145,products!$A$1:$A$49,0),MATCH(orders!K$1,products!$A$1:$G$1,0))</f>
        <v>8.73</v>
      </c>
      <c r="L145" s="6">
        <f>K145*E145</f>
        <v>17.46</v>
      </c>
      <c r="M145" t="str" cm="1">
        <f t="array" ref="M145">_xlfn.IFS(H145="Rob","Robusta",H145="Exc","Excelsa",H145="Ara","Arabica",H145="Lib","Liberica")</f>
        <v>Liberica</v>
      </c>
      <c r="N145" t="str" cm="1">
        <f t="array" ref="N145">_xlfn.IFS(I145="M","Medium",I145="L","Light",I145="D","Dark")</f>
        <v>Medium</v>
      </c>
      <c r="O145" t="str">
        <f>_xlfn.XLOOKUP(Orders[[#This Row],[Customer ID]],customers!$A$2:$A$1001,customers!$I$2:$I$1001,,0)</f>
        <v>No</v>
      </c>
    </row>
    <row r="146" spans="1:15" x14ac:dyDescent="0.3">
      <c r="A146" s="2" t="s">
        <v>1299</v>
      </c>
      <c r="B146" s="3">
        <v>44265</v>
      </c>
      <c r="C146" s="2" t="s">
        <v>1300</v>
      </c>
      <c r="D146" t="s">
        <v>6148</v>
      </c>
      <c r="E146" s="2">
        <v>2</v>
      </c>
      <c r="F146" s="2" t="str">
        <f>_xlfn.XLOOKUP(C146,customers!$A$2:$A$1001,customers!$B$2:$B$1001,,0)</f>
        <v>Winn Keyse</v>
      </c>
      <c r="G146" s="2" t="str">
        <f>_xlfn.XLOOKUP(C146,customers!$A$2:$A$1001,customers!$G$2:$G$1001,,0)</f>
        <v>United States</v>
      </c>
      <c r="H146" t="str">
        <f>INDEX(products!$A$1:$G$49,MATCH(orders!$D146,products!$A$1:$A$49,0),MATCH(orders!H$1,products!$A$1:$G$1,0))</f>
        <v>Exc</v>
      </c>
      <c r="I146" t="str">
        <f>INDEX(products!$A$1:$G$49,MATCH(orders!$D146,products!$A$1:$A$49,0),MATCH(orders!I$1,products!$A$1:$G$1,0))</f>
        <v>L</v>
      </c>
      <c r="J146" s="5">
        <f>INDEX(products!$A$1:$G$49,MATCH(orders!$D146,products!$A$1:$A$49,0),MATCH(orders!J$1,products!$A$1:$G$1,0))</f>
        <v>2.5</v>
      </c>
      <c r="K146" s="6">
        <f>INDEX(products!$A$1:$G$49,MATCH(orders!$D146,products!$A$1:$A$49,0),MATCH(orders!K$1,products!$A$1:$G$1,0))</f>
        <v>34.154999999999994</v>
      </c>
      <c r="L146" s="6">
        <f>K146*E146</f>
        <v>68.309999999999988</v>
      </c>
      <c r="M146" t="str" cm="1">
        <f t="array" ref="M146">_xlfn.IFS(H146="Rob","Robusta",H146="Exc","Excelsa",H146="Ara","Arabica",H146="Lib","Liberica")</f>
        <v>Excelsa</v>
      </c>
      <c r="N146" t="str" cm="1">
        <f t="array" ref="N146">_xlfn.IFS(I146="M","Medium",I146="L","Light",I146="D","Dark")</f>
        <v>Light</v>
      </c>
      <c r="O146" t="str">
        <f>_xlfn.XLOOKUP(Orders[[#This Row],[Customer ID]],customers!$A$2:$A$1001,customers!$I$2:$I$1001,,0)</f>
        <v>Yes</v>
      </c>
    </row>
    <row r="147" spans="1:15" x14ac:dyDescent="0.3">
      <c r="A147" s="2" t="s">
        <v>1305</v>
      </c>
      <c r="B147" s="3">
        <v>43562</v>
      </c>
      <c r="C147" s="2" t="s">
        <v>1306</v>
      </c>
      <c r="D147" t="s">
        <v>6159</v>
      </c>
      <c r="E147" s="2">
        <v>4</v>
      </c>
      <c r="F147" s="2" t="str">
        <f>_xlfn.XLOOKUP(C147,customers!$A$2:$A$1001,customers!$B$2:$B$1001,,0)</f>
        <v>Osmund Clausen-Thue</v>
      </c>
      <c r="G147" s="2" t="str">
        <f>_xlfn.XLOOKUP(C147,customers!$A$2:$A$1001,customers!$G$2:$G$1001,,0)</f>
        <v>United States</v>
      </c>
      <c r="H147" t="str">
        <f>INDEX(products!$A$1:$G$49,MATCH(orders!$D147,products!$A$1:$A$49,0),MATCH(orders!H$1,products!$A$1:$G$1,0))</f>
        <v>Lib</v>
      </c>
      <c r="I147" t="str">
        <f>INDEX(products!$A$1:$G$49,MATCH(orders!$D147,products!$A$1:$A$49,0),MATCH(orders!I$1,products!$A$1:$G$1,0))</f>
        <v>M</v>
      </c>
      <c r="J147" s="5">
        <f>INDEX(products!$A$1:$G$49,MATCH(orders!$D147,products!$A$1:$A$49,0),MATCH(orders!J$1,products!$A$1:$G$1,0))</f>
        <v>0.2</v>
      </c>
      <c r="K147" s="6">
        <f>INDEX(products!$A$1:$G$49,MATCH(orders!$D147,products!$A$1:$A$49,0),MATCH(orders!K$1,products!$A$1:$G$1,0))</f>
        <v>4.3650000000000002</v>
      </c>
      <c r="L147" s="6">
        <f>K147*E147</f>
        <v>17.46</v>
      </c>
      <c r="M147" t="str" cm="1">
        <f t="array" ref="M147">_xlfn.IFS(H147="Rob","Robusta",H147="Exc","Excelsa",H147="Ara","Arabica",H147="Lib","Liberica")</f>
        <v>Liberica</v>
      </c>
      <c r="N147" t="str" cm="1">
        <f t="array" ref="N147">_xlfn.IFS(I147="M","Medium",I147="L","Light",I147="D","Dark")</f>
        <v>Medium</v>
      </c>
      <c r="O147" t="str">
        <f>_xlfn.XLOOKUP(Orders[[#This Row],[Customer ID]],customers!$A$2:$A$1001,customers!$I$2:$I$1001,,0)</f>
        <v>No</v>
      </c>
    </row>
    <row r="148" spans="1:15" x14ac:dyDescent="0.3">
      <c r="A148" s="2" t="s">
        <v>1311</v>
      </c>
      <c r="B148" s="3">
        <v>44024</v>
      </c>
      <c r="C148" s="2" t="s">
        <v>1312</v>
      </c>
      <c r="D148" t="s">
        <v>6162</v>
      </c>
      <c r="E148" s="2">
        <v>3</v>
      </c>
      <c r="F148" s="2" t="str">
        <f>_xlfn.XLOOKUP(C148,customers!$A$2:$A$1001,customers!$B$2:$B$1001,,0)</f>
        <v>Leonore Francisco</v>
      </c>
      <c r="G148" s="2" t="str">
        <f>_xlfn.XLOOKUP(C148,customers!$A$2:$A$1001,customers!$G$2:$G$1001,,0)</f>
        <v>United States</v>
      </c>
      <c r="H148" t="str">
        <f>INDEX(products!$A$1:$G$49,MATCH(orders!$D148,products!$A$1:$A$49,0),MATCH(orders!H$1,products!$A$1:$G$1,0))</f>
        <v>Lib</v>
      </c>
      <c r="I148" t="str">
        <f>INDEX(products!$A$1:$G$49,MATCH(orders!$D148,products!$A$1:$A$49,0),MATCH(orders!I$1,products!$A$1:$G$1,0))</f>
        <v>M</v>
      </c>
      <c r="J148" s="5">
        <f>INDEX(products!$A$1:$G$49,MATCH(orders!$D148,products!$A$1:$A$49,0),MATCH(orders!J$1,products!$A$1:$G$1,0))</f>
        <v>1</v>
      </c>
      <c r="K148" s="6">
        <f>INDEX(products!$A$1:$G$49,MATCH(orders!$D148,products!$A$1:$A$49,0),MATCH(orders!K$1,products!$A$1:$G$1,0))</f>
        <v>14.55</v>
      </c>
      <c r="L148" s="6">
        <f>K148*E148</f>
        <v>43.650000000000006</v>
      </c>
      <c r="M148" t="str" cm="1">
        <f t="array" ref="M148">_xlfn.IFS(H148="Rob","Robusta",H148="Exc","Excelsa",H148="Ara","Arabica",H148="Lib","Liberica")</f>
        <v>Liberica</v>
      </c>
      <c r="N148" t="str" cm="1">
        <f t="array" ref="N148">_xlfn.IFS(I148="M","Medium",I148="L","Light",I148="D","Dark")</f>
        <v>Medium</v>
      </c>
      <c r="O148" t="str">
        <f>_xlfn.XLOOKUP(Orders[[#This Row],[Customer ID]],customers!$A$2:$A$1001,customers!$I$2:$I$1001,,0)</f>
        <v>No</v>
      </c>
    </row>
    <row r="149" spans="1:15" x14ac:dyDescent="0.3">
      <c r="A149" s="2" t="s">
        <v>1311</v>
      </c>
      <c r="B149" s="3">
        <v>44024</v>
      </c>
      <c r="C149" s="2" t="s">
        <v>1312</v>
      </c>
      <c r="D149" t="s">
        <v>6141</v>
      </c>
      <c r="E149" s="2">
        <v>2</v>
      </c>
      <c r="F149" s="2" t="str">
        <f>_xlfn.XLOOKUP(C149,customers!$A$2:$A$1001,customers!$B$2:$B$1001,,0)</f>
        <v>Leonore Francisco</v>
      </c>
      <c r="G149" s="2" t="str">
        <f>_xlfn.XLOOKUP(C149,customers!$A$2:$A$1001,customers!$G$2:$G$1001,,0)</f>
        <v>United States</v>
      </c>
      <c r="H149" t="str">
        <f>INDEX(products!$A$1:$G$49,MATCH(orders!$D149,products!$A$1:$A$49,0),MATCH(orders!H$1,products!$A$1:$G$1,0))</f>
        <v>Exc</v>
      </c>
      <c r="I149" t="str">
        <f>INDEX(products!$A$1:$G$49,MATCH(orders!$D149,products!$A$1:$A$49,0),MATCH(orders!I$1,products!$A$1:$G$1,0))</f>
        <v>M</v>
      </c>
      <c r="J149" s="5">
        <f>INDEX(products!$A$1:$G$49,MATCH(orders!$D149,products!$A$1:$A$49,0),MATCH(orders!J$1,products!$A$1:$G$1,0))</f>
        <v>1</v>
      </c>
      <c r="K149" s="6">
        <f>INDEX(products!$A$1:$G$49,MATCH(orders!$D149,products!$A$1:$A$49,0),MATCH(orders!K$1,products!$A$1:$G$1,0))</f>
        <v>13.75</v>
      </c>
      <c r="L149" s="6">
        <f>K149*E149</f>
        <v>27.5</v>
      </c>
      <c r="M149" t="str" cm="1">
        <f t="array" ref="M149">_xlfn.IFS(H149="Rob","Robusta",H149="Exc","Excelsa",H149="Ara","Arabica",H149="Lib","Liberica")</f>
        <v>Excelsa</v>
      </c>
      <c r="N149" t="str" cm="1">
        <f t="array" ref="N149">_xlfn.IFS(I149="M","Medium",I149="L","Light",I149="D","Dark")</f>
        <v>Medium</v>
      </c>
      <c r="O149" t="str">
        <f>_xlfn.XLOOKUP(Orders[[#This Row],[Customer ID]],customers!$A$2:$A$1001,customers!$I$2:$I$1001,,0)</f>
        <v>No</v>
      </c>
    </row>
    <row r="150" spans="1:15" x14ac:dyDescent="0.3">
      <c r="A150" s="2" t="s">
        <v>1322</v>
      </c>
      <c r="B150" s="3">
        <v>44551</v>
      </c>
      <c r="C150" s="2" t="s">
        <v>1323</v>
      </c>
      <c r="D150" t="s">
        <v>6153</v>
      </c>
      <c r="E150" s="2">
        <v>5</v>
      </c>
      <c r="F150" s="2" t="str">
        <f>_xlfn.XLOOKUP(C150,customers!$A$2:$A$1001,customers!$B$2:$B$1001,,0)</f>
        <v>Giacobo Skingle</v>
      </c>
      <c r="G150" s="2" t="str">
        <f>_xlfn.XLOOKUP(C150,customers!$A$2:$A$1001,customers!$G$2:$G$1001,,0)</f>
        <v>United States</v>
      </c>
      <c r="H150" t="str">
        <f>INDEX(products!$A$1:$G$49,MATCH(orders!$D150,products!$A$1:$A$49,0),MATCH(orders!H$1,products!$A$1:$G$1,0))</f>
        <v>Exc</v>
      </c>
      <c r="I150" t="str">
        <f>INDEX(products!$A$1:$G$49,MATCH(orders!$D150,products!$A$1:$A$49,0),MATCH(orders!I$1,products!$A$1:$G$1,0))</f>
        <v>D</v>
      </c>
      <c r="J150" s="5">
        <f>INDEX(products!$A$1:$G$49,MATCH(orders!$D150,products!$A$1:$A$49,0),MATCH(orders!J$1,products!$A$1:$G$1,0))</f>
        <v>0.2</v>
      </c>
      <c r="K150" s="6">
        <f>INDEX(products!$A$1:$G$49,MATCH(orders!$D150,products!$A$1:$A$49,0),MATCH(orders!K$1,products!$A$1:$G$1,0))</f>
        <v>3.645</v>
      </c>
      <c r="L150" s="6">
        <f>K150*E150</f>
        <v>18.225000000000001</v>
      </c>
      <c r="M150" t="str" cm="1">
        <f t="array" ref="M150">_xlfn.IFS(H150="Rob","Robusta",H150="Exc","Excelsa",H150="Ara","Arabica",H150="Lib","Liberica")</f>
        <v>Excelsa</v>
      </c>
      <c r="N150" t="str" cm="1">
        <f t="array" ref="N150">_xlfn.IFS(I150="M","Medium",I150="L","Light",I150="D","Dark")</f>
        <v>Dark</v>
      </c>
      <c r="O150" t="str">
        <f>_xlfn.XLOOKUP(Orders[[#This Row],[Customer ID]],customers!$A$2:$A$1001,customers!$I$2:$I$1001,,0)</f>
        <v>Yes</v>
      </c>
    </row>
    <row r="151" spans="1:15" x14ac:dyDescent="0.3">
      <c r="A151" s="2" t="s">
        <v>1328</v>
      </c>
      <c r="B151" s="3">
        <v>44108</v>
      </c>
      <c r="C151" s="2" t="s">
        <v>1329</v>
      </c>
      <c r="D151" t="s">
        <v>6175</v>
      </c>
      <c r="E151" s="2">
        <v>2</v>
      </c>
      <c r="F151" s="2" t="str">
        <f>_xlfn.XLOOKUP(C151,customers!$A$2:$A$1001,customers!$B$2:$B$1001,,0)</f>
        <v>Gerard Pirdy</v>
      </c>
      <c r="G151" s="2" t="str">
        <f>_xlfn.XLOOKUP(C151,customers!$A$2:$A$1001,customers!$G$2:$G$1001,,0)</f>
        <v>United States</v>
      </c>
      <c r="H151" t="str">
        <f>INDEX(products!$A$1:$G$49,MATCH(orders!$D151,products!$A$1:$A$49,0),MATCH(orders!H$1,products!$A$1:$G$1,0))</f>
        <v>Ara</v>
      </c>
      <c r="I151" t="str">
        <f>INDEX(products!$A$1:$G$49,MATCH(orders!$D151,products!$A$1:$A$49,0),MATCH(orders!I$1,products!$A$1:$G$1,0))</f>
        <v>M</v>
      </c>
      <c r="J151" s="5">
        <f>INDEX(products!$A$1:$G$49,MATCH(orders!$D151,products!$A$1:$A$49,0),MATCH(orders!J$1,products!$A$1:$G$1,0))</f>
        <v>2.5</v>
      </c>
      <c r="K151" s="6">
        <f>INDEX(products!$A$1:$G$49,MATCH(orders!$D151,products!$A$1:$A$49,0),MATCH(orders!K$1,products!$A$1:$G$1,0))</f>
        <v>25.874999999999996</v>
      </c>
      <c r="L151" s="6">
        <f>K151*E151</f>
        <v>51.749999999999993</v>
      </c>
      <c r="M151" t="str" cm="1">
        <f t="array" ref="M151">_xlfn.IFS(H151="Rob","Robusta",H151="Exc","Excelsa",H151="Ara","Arabica",H151="Lib","Liberica")</f>
        <v>Arabica</v>
      </c>
      <c r="N151" t="str" cm="1">
        <f t="array" ref="N151">_xlfn.IFS(I151="M","Medium",I151="L","Light",I151="D","Dark")</f>
        <v>Medium</v>
      </c>
      <c r="O151" t="str">
        <f>_xlfn.XLOOKUP(Orders[[#This Row],[Customer ID]],customers!$A$2:$A$1001,customers!$I$2:$I$1001,,0)</f>
        <v>Yes</v>
      </c>
    </row>
    <row r="152" spans="1:15" x14ac:dyDescent="0.3">
      <c r="A152" s="2" t="s">
        <v>1333</v>
      </c>
      <c r="B152" s="3">
        <v>44051</v>
      </c>
      <c r="C152" s="2" t="s">
        <v>1334</v>
      </c>
      <c r="D152" t="s">
        <v>6143</v>
      </c>
      <c r="E152" s="2">
        <v>1</v>
      </c>
      <c r="F152" s="2" t="str">
        <f>_xlfn.XLOOKUP(C152,customers!$A$2:$A$1001,customers!$B$2:$B$1001,,0)</f>
        <v>Jacinthe Balsillie</v>
      </c>
      <c r="G152" s="2" t="str">
        <f>_xlfn.XLOOKUP(C152,customers!$A$2:$A$1001,customers!$G$2:$G$1001,,0)</f>
        <v>United States</v>
      </c>
      <c r="H152" t="str">
        <f>INDEX(products!$A$1:$G$49,MATCH(orders!$D152,products!$A$1:$A$49,0),MATCH(orders!H$1,products!$A$1:$G$1,0))</f>
        <v>Lib</v>
      </c>
      <c r="I152" t="str">
        <f>INDEX(products!$A$1:$G$49,MATCH(orders!$D152,products!$A$1:$A$49,0),MATCH(orders!I$1,products!$A$1:$G$1,0))</f>
        <v>D</v>
      </c>
      <c r="J152" s="5">
        <f>INDEX(products!$A$1:$G$49,MATCH(orders!$D152,products!$A$1:$A$49,0),MATCH(orders!J$1,products!$A$1:$G$1,0))</f>
        <v>1</v>
      </c>
      <c r="K152" s="6">
        <f>INDEX(products!$A$1:$G$49,MATCH(orders!$D152,products!$A$1:$A$49,0),MATCH(orders!K$1,products!$A$1:$G$1,0))</f>
        <v>12.95</v>
      </c>
      <c r="L152" s="6">
        <f>K152*E152</f>
        <v>12.95</v>
      </c>
      <c r="M152" t="str" cm="1">
        <f t="array" ref="M152">_xlfn.IFS(H152="Rob","Robusta",H152="Exc","Excelsa",H152="Ara","Arabica",H152="Lib","Liberica")</f>
        <v>Liberica</v>
      </c>
      <c r="N152" t="str" cm="1">
        <f t="array" ref="N152">_xlfn.IFS(I152="M","Medium",I152="L","Light",I152="D","Dark")</f>
        <v>Dark</v>
      </c>
      <c r="O152" t="str">
        <f>_xlfn.XLOOKUP(Orders[[#This Row],[Customer ID]],customers!$A$2:$A$1001,customers!$I$2:$I$1001,,0)</f>
        <v>Yes</v>
      </c>
    </row>
    <row r="153" spans="1:15" x14ac:dyDescent="0.3">
      <c r="A153" s="2" t="s">
        <v>1339</v>
      </c>
      <c r="B153" s="3">
        <v>44115</v>
      </c>
      <c r="C153" s="2" t="s">
        <v>1340</v>
      </c>
      <c r="D153" t="s">
        <v>6155</v>
      </c>
      <c r="E153" s="2">
        <v>3</v>
      </c>
      <c r="F153" s="2" t="str">
        <f>_xlfn.XLOOKUP(C153,customers!$A$2:$A$1001,customers!$B$2:$B$1001,,0)</f>
        <v>Quinton Fouracres</v>
      </c>
      <c r="G153" s="2" t="str">
        <f>_xlfn.XLOOKUP(C153,customers!$A$2:$A$1001,customers!$G$2:$G$1001,,0)</f>
        <v>United States</v>
      </c>
      <c r="H153" t="str">
        <f>INDEX(products!$A$1:$G$49,MATCH(orders!$D153,products!$A$1:$A$49,0),MATCH(orders!H$1,products!$A$1:$G$1,0))</f>
        <v>Ara</v>
      </c>
      <c r="I153" t="str">
        <f>INDEX(products!$A$1:$G$49,MATCH(orders!$D153,products!$A$1:$A$49,0),MATCH(orders!I$1,products!$A$1:$G$1,0))</f>
        <v>M</v>
      </c>
      <c r="J153" s="5">
        <f>INDEX(products!$A$1:$G$49,MATCH(orders!$D153,products!$A$1:$A$49,0),MATCH(orders!J$1,products!$A$1:$G$1,0))</f>
        <v>1</v>
      </c>
      <c r="K153" s="6">
        <f>INDEX(products!$A$1:$G$49,MATCH(orders!$D153,products!$A$1:$A$49,0),MATCH(orders!K$1,products!$A$1:$G$1,0))</f>
        <v>11.25</v>
      </c>
      <c r="L153" s="6">
        <f>K153*E153</f>
        <v>33.75</v>
      </c>
      <c r="M153" t="str" cm="1">
        <f t="array" ref="M153">_xlfn.IFS(H153="Rob","Robusta",H153="Exc","Excelsa",H153="Ara","Arabica",H153="Lib","Liberica")</f>
        <v>Arabica</v>
      </c>
      <c r="N153" t="str" cm="1">
        <f t="array" ref="N153">_xlfn.IFS(I153="M","Medium",I153="L","Light",I153="D","Dark")</f>
        <v>Medium</v>
      </c>
      <c r="O153" t="str">
        <f>_xlfn.XLOOKUP(Orders[[#This Row],[Customer ID]],customers!$A$2:$A$1001,customers!$I$2:$I$1001,,0)</f>
        <v>Yes</v>
      </c>
    </row>
    <row r="154" spans="1:15" x14ac:dyDescent="0.3">
      <c r="A154" s="2" t="s">
        <v>1344</v>
      </c>
      <c r="B154" s="3">
        <v>44510</v>
      </c>
      <c r="C154" s="2" t="s">
        <v>1345</v>
      </c>
      <c r="D154" t="s">
        <v>6151</v>
      </c>
      <c r="E154" s="2">
        <v>3</v>
      </c>
      <c r="F154" s="2" t="str">
        <f>_xlfn.XLOOKUP(C154,customers!$A$2:$A$1001,customers!$B$2:$B$1001,,0)</f>
        <v>Bettina Leffek</v>
      </c>
      <c r="G154" s="2" t="str">
        <f>_xlfn.XLOOKUP(C154,customers!$A$2:$A$1001,customers!$G$2:$G$1001,,0)</f>
        <v>United States</v>
      </c>
      <c r="H154" t="str">
        <f>INDEX(products!$A$1:$G$49,MATCH(orders!$D154,products!$A$1:$A$49,0),MATCH(orders!H$1,products!$A$1:$G$1,0))</f>
        <v>Rob</v>
      </c>
      <c r="I154" t="str">
        <f>INDEX(products!$A$1:$G$49,MATCH(orders!$D154,products!$A$1:$A$49,0),MATCH(orders!I$1,products!$A$1:$G$1,0))</f>
        <v>M</v>
      </c>
      <c r="J154" s="5">
        <f>INDEX(products!$A$1:$G$49,MATCH(orders!$D154,products!$A$1:$A$49,0),MATCH(orders!J$1,products!$A$1:$G$1,0))</f>
        <v>2.5</v>
      </c>
      <c r="K154" s="6">
        <f>INDEX(products!$A$1:$G$49,MATCH(orders!$D154,products!$A$1:$A$49,0),MATCH(orders!K$1,products!$A$1:$G$1,0))</f>
        <v>22.884999999999998</v>
      </c>
      <c r="L154" s="6">
        <f>K154*E154</f>
        <v>68.655000000000001</v>
      </c>
      <c r="M154" t="str" cm="1">
        <f t="array" ref="M154">_xlfn.IFS(H154="Rob","Robusta",H154="Exc","Excelsa",H154="Ara","Arabica",H154="Lib","Liberica")</f>
        <v>Robusta</v>
      </c>
      <c r="N154" t="str" cm="1">
        <f t="array" ref="N154">_xlfn.IFS(I154="M","Medium",I154="L","Light",I154="D","Dark")</f>
        <v>Medium</v>
      </c>
      <c r="O154" t="str">
        <f>_xlfn.XLOOKUP(Orders[[#This Row],[Customer ID]],customers!$A$2:$A$1001,customers!$I$2:$I$1001,,0)</f>
        <v>Yes</v>
      </c>
    </row>
    <row r="155" spans="1:15" x14ac:dyDescent="0.3">
      <c r="A155" s="2" t="s">
        <v>1350</v>
      </c>
      <c r="B155" s="3">
        <v>44367</v>
      </c>
      <c r="C155" s="2" t="s">
        <v>1351</v>
      </c>
      <c r="D155" t="s">
        <v>6163</v>
      </c>
      <c r="E155" s="2">
        <v>1</v>
      </c>
      <c r="F155" s="2" t="str">
        <f>_xlfn.XLOOKUP(C155,customers!$A$2:$A$1001,customers!$B$2:$B$1001,,0)</f>
        <v>Hetti Penson</v>
      </c>
      <c r="G155" s="2" t="str">
        <f>_xlfn.XLOOKUP(C155,customers!$A$2:$A$1001,customers!$G$2:$G$1001,,0)</f>
        <v>United States</v>
      </c>
      <c r="H155" t="str">
        <f>INDEX(products!$A$1:$G$49,MATCH(orders!$D155,products!$A$1:$A$49,0),MATCH(orders!H$1,products!$A$1:$G$1,0))</f>
        <v>Rob</v>
      </c>
      <c r="I155" t="str">
        <f>INDEX(products!$A$1:$G$49,MATCH(orders!$D155,products!$A$1:$A$49,0),MATCH(orders!I$1,products!$A$1:$G$1,0))</f>
        <v>D</v>
      </c>
      <c r="J155" s="5">
        <f>INDEX(products!$A$1:$G$49,MATCH(orders!$D155,products!$A$1:$A$49,0),MATCH(orders!J$1,products!$A$1:$G$1,0))</f>
        <v>0.2</v>
      </c>
      <c r="K155" s="6">
        <f>INDEX(products!$A$1:$G$49,MATCH(orders!$D155,products!$A$1:$A$49,0),MATCH(orders!K$1,products!$A$1:$G$1,0))</f>
        <v>2.6849999999999996</v>
      </c>
      <c r="L155" s="6">
        <f>K155*E155</f>
        <v>2.6849999999999996</v>
      </c>
      <c r="M155" t="str" cm="1">
        <f t="array" ref="M155">_xlfn.IFS(H155="Rob","Robusta",H155="Exc","Excelsa",H155="Ara","Arabica",H155="Lib","Liberica")</f>
        <v>Robusta</v>
      </c>
      <c r="N155" t="str" cm="1">
        <f t="array" ref="N155">_xlfn.IFS(I155="M","Medium",I155="L","Light",I155="D","Dark")</f>
        <v>Dark</v>
      </c>
      <c r="O155" t="str">
        <f>_xlfn.XLOOKUP(Orders[[#This Row],[Customer ID]],customers!$A$2:$A$1001,customers!$I$2:$I$1001,,0)</f>
        <v>No</v>
      </c>
    </row>
    <row r="156" spans="1:15" x14ac:dyDescent="0.3">
      <c r="A156" s="2" t="s">
        <v>1355</v>
      </c>
      <c r="B156" s="3">
        <v>44473</v>
      </c>
      <c r="C156" s="2" t="s">
        <v>1356</v>
      </c>
      <c r="D156" t="s">
        <v>6168</v>
      </c>
      <c r="E156" s="2">
        <v>5</v>
      </c>
      <c r="F156" s="2" t="str">
        <f>_xlfn.XLOOKUP(C156,customers!$A$2:$A$1001,customers!$B$2:$B$1001,,0)</f>
        <v>Jocko Pray</v>
      </c>
      <c r="G156" s="2" t="str">
        <f>_xlfn.XLOOKUP(C156,customers!$A$2:$A$1001,customers!$G$2:$G$1001,,0)</f>
        <v>United States</v>
      </c>
      <c r="H156" t="str">
        <f>INDEX(products!$A$1:$G$49,MATCH(orders!$D156,products!$A$1:$A$49,0),MATCH(orders!H$1,products!$A$1:$G$1,0))</f>
        <v>Ara</v>
      </c>
      <c r="I156" t="str">
        <f>INDEX(products!$A$1:$G$49,MATCH(orders!$D156,products!$A$1:$A$49,0),MATCH(orders!I$1,products!$A$1:$G$1,0))</f>
        <v>D</v>
      </c>
      <c r="J156" s="5">
        <f>INDEX(products!$A$1:$G$49,MATCH(orders!$D156,products!$A$1:$A$49,0),MATCH(orders!J$1,products!$A$1:$G$1,0))</f>
        <v>2.5</v>
      </c>
      <c r="K156" s="6">
        <f>INDEX(products!$A$1:$G$49,MATCH(orders!$D156,products!$A$1:$A$49,0),MATCH(orders!K$1,products!$A$1:$G$1,0))</f>
        <v>22.884999999999998</v>
      </c>
      <c r="L156" s="6">
        <f>K156*E156</f>
        <v>114.42499999999998</v>
      </c>
      <c r="M156" t="str" cm="1">
        <f t="array" ref="M156">_xlfn.IFS(H156="Rob","Robusta",H156="Exc","Excelsa",H156="Ara","Arabica",H156="Lib","Liberica")</f>
        <v>Arabica</v>
      </c>
      <c r="N156" t="str" cm="1">
        <f t="array" ref="N156">_xlfn.IFS(I156="M","Medium",I156="L","Light",I156="D","Dark")</f>
        <v>Dark</v>
      </c>
      <c r="O156" t="str">
        <f>_xlfn.XLOOKUP(Orders[[#This Row],[Customer ID]],customers!$A$2:$A$1001,customers!$I$2:$I$1001,,0)</f>
        <v>No</v>
      </c>
    </row>
    <row r="157" spans="1:15" x14ac:dyDescent="0.3">
      <c r="A157" s="2" t="s">
        <v>1361</v>
      </c>
      <c r="B157" s="3">
        <v>43640</v>
      </c>
      <c r="C157" s="2" t="s">
        <v>1362</v>
      </c>
      <c r="D157" t="s">
        <v>6175</v>
      </c>
      <c r="E157" s="2">
        <v>6</v>
      </c>
      <c r="F157" s="2" t="str">
        <f>_xlfn.XLOOKUP(C157,customers!$A$2:$A$1001,customers!$B$2:$B$1001,,0)</f>
        <v>Grete Holborn</v>
      </c>
      <c r="G157" s="2" t="str">
        <f>_xlfn.XLOOKUP(C157,customers!$A$2:$A$1001,customers!$G$2:$G$1001,,0)</f>
        <v>United States</v>
      </c>
      <c r="H157" t="str">
        <f>INDEX(products!$A$1:$G$49,MATCH(orders!$D157,products!$A$1:$A$49,0),MATCH(orders!H$1,products!$A$1:$G$1,0))</f>
        <v>Ara</v>
      </c>
      <c r="I157" t="str">
        <f>INDEX(products!$A$1:$G$49,MATCH(orders!$D157,products!$A$1:$A$49,0),MATCH(orders!I$1,products!$A$1:$G$1,0))</f>
        <v>M</v>
      </c>
      <c r="J157" s="5">
        <f>INDEX(products!$A$1:$G$49,MATCH(orders!$D157,products!$A$1:$A$49,0),MATCH(orders!J$1,products!$A$1:$G$1,0))</f>
        <v>2.5</v>
      </c>
      <c r="K157" s="6">
        <f>INDEX(products!$A$1:$G$49,MATCH(orders!$D157,products!$A$1:$A$49,0),MATCH(orders!K$1,products!$A$1:$G$1,0))</f>
        <v>25.874999999999996</v>
      </c>
      <c r="L157" s="6">
        <f>K157*E157</f>
        <v>155.24999999999997</v>
      </c>
      <c r="M157" t="str" cm="1">
        <f t="array" ref="M157">_xlfn.IFS(H157="Rob","Robusta",H157="Exc","Excelsa",H157="Ara","Arabica",H157="Lib","Liberica")</f>
        <v>Arabica</v>
      </c>
      <c r="N157" t="str" cm="1">
        <f t="array" ref="N157">_xlfn.IFS(I157="M","Medium",I157="L","Light",I157="D","Dark")</f>
        <v>Medium</v>
      </c>
      <c r="O157" t="str">
        <f>_xlfn.XLOOKUP(Orders[[#This Row],[Customer ID]],customers!$A$2:$A$1001,customers!$I$2:$I$1001,,0)</f>
        <v>Yes</v>
      </c>
    </row>
    <row r="158" spans="1:15" x14ac:dyDescent="0.3">
      <c r="A158" s="2" t="s">
        <v>1367</v>
      </c>
      <c r="B158" s="3">
        <v>43764</v>
      </c>
      <c r="C158" s="2" t="s">
        <v>1368</v>
      </c>
      <c r="D158" t="s">
        <v>6175</v>
      </c>
      <c r="E158" s="2">
        <v>3</v>
      </c>
      <c r="F158" s="2" t="str">
        <f>_xlfn.XLOOKUP(C158,customers!$A$2:$A$1001,customers!$B$2:$B$1001,,0)</f>
        <v>Fielding Keinrat</v>
      </c>
      <c r="G158" s="2" t="str">
        <f>_xlfn.XLOOKUP(C158,customers!$A$2:$A$1001,customers!$G$2:$G$1001,,0)</f>
        <v>United States</v>
      </c>
      <c r="H158" t="str">
        <f>INDEX(products!$A$1:$G$49,MATCH(orders!$D158,products!$A$1:$A$49,0),MATCH(orders!H$1,products!$A$1:$G$1,0))</f>
        <v>Ara</v>
      </c>
      <c r="I158" t="str">
        <f>INDEX(products!$A$1:$G$49,MATCH(orders!$D158,products!$A$1:$A$49,0),MATCH(orders!I$1,products!$A$1:$G$1,0))</f>
        <v>M</v>
      </c>
      <c r="J158" s="5">
        <f>INDEX(products!$A$1:$G$49,MATCH(orders!$D158,products!$A$1:$A$49,0),MATCH(orders!J$1,products!$A$1:$G$1,0))</f>
        <v>2.5</v>
      </c>
      <c r="K158" s="6">
        <f>INDEX(products!$A$1:$G$49,MATCH(orders!$D158,products!$A$1:$A$49,0),MATCH(orders!K$1,products!$A$1:$G$1,0))</f>
        <v>25.874999999999996</v>
      </c>
      <c r="L158" s="6">
        <f>K158*E158</f>
        <v>77.624999999999986</v>
      </c>
      <c r="M158" t="str" cm="1">
        <f t="array" ref="M158">_xlfn.IFS(H158="Rob","Robusta",H158="Exc","Excelsa",H158="Ara","Arabica",H158="Lib","Liberica")</f>
        <v>Arabica</v>
      </c>
      <c r="N158" t="str" cm="1">
        <f t="array" ref="N158">_xlfn.IFS(I158="M","Medium",I158="L","Light",I158="D","Dark")</f>
        <v>Medium</v>
      </c>
      <c r="O158" t="str">
        <f>_xlfn.XLOOKUP(Orders[[#This Row],[Customer ID]],customers!$A$2:$A$1001,customers!$I$2:$I$1001,,0)</f>
        <v>Yes</v>
      </c>
    </row>
    <row r="159" spans="1:15" x14ac:dyDescent="0.3">
      <c r="A159" s="2" t="s">
        <v>1373</v>
      </c>
      <c r="B159" s="3">
        <v>44374</v>
      </c>
      <c r="C159" s="2" t="s">
        <v>1374</v>
      </c>
      <c r="D159" t="s">
        <v>6149</v>
      </c>
      <c r="E159" s="2">
        <v>3</v>
      </c>
      <c r="F159" s="2" t="str">
        <f>_xlfn.XLOOKUP(C159,customers!$A$2:$A$1001,customers!$B$2:$B$1001,,0)</f>
        <v>Paulo Yea</v>
      </c>
      <c r="G159" s="2" t="str">
        <f>_xlfn.XLOOKUP(C159,customers!$A$2:$A$1001,customers!$G$2:$G$1001,,0)</f>
        <v>Ireland</v>
      </c>
      <c r="H159" t="str">
        <f>INDEX(products!$A$1:$G$49,MATCH(orders!$D159,products!$A$1:$A$49,0),MATCH(orders!H$1,products!$A$1:$G$1,0))</f>
        <v>Rob</v>
      </c>
      <c r="I159" t="str">
        <f>INDEX(products!$A$1:$G$49,MATCH(orders!$D159,products!$A$1:$A$49,0),MATCH(orders!I$1,products!$A$1:$G$1,0))</f>
        <v>D</v>
      </c>
      <c r="J159" s="5">
        <f>INDEX(products!$A$1:$G$49,MATCH(orders!$D159,products!$A$1:$A$49,0),MATCH(orders!J$1,products!$A$1:$G$1,0))</f>
        <v>2.5</v>
      </c>
      <c r="K159" s="6">
        <f>INDEX(products!$A$1:$G$49,MATCH(orders!$D159,products!$A$1:$A$49,0),MATCH(orders!K$1,products!$A$1:$G$1,0))</f>
        <v>20.584999999999997</v>
      </c>
      <c r="L159" s="6">
        <f>K159*E159</f>
        <v>61.754999999999995</v>
      </c>
      <c r="M159" t="str" cm="1">
        <f t="array" ref="M159">_xlfn.IFS(H159="Rob","Robusta",H159="Exc","Excelsa",H159="Ara","Arabica",H159="Lib","Liberica")</f>
        <v>Robusta</v>
      </c>
      <c r="N159" t="str" cm="1">
        <f t="array" ref="N159">_xlfn.IFS(I159="M","Medium",I159="L","Light",I159="D","Dark")</f>
        <v>Dark</v>
      </c>
      <c r="O159" t="str">
        <f>_xlfn.XLOOKUP(Orders[[#This Row],[Customer ID]],customers!$A$2:$A$1001,customers!$I$2:$I$1001,,0)</f>
        <v>No</v>
      </c>
    </row>
    <row r="160" spans="1:15" x14ac:dyDescent="0.3">
      <c r="A160" s="2" t="s">
        <v>1379</v>
      </c>
      <c r="B160" s="3">
        <v>43714</v>
      </c>
      <c r="C160" s="2" t="s">
        <v>1380</v>
      </c>
      <c r="D160" t="s">
        <v>6149</v>
      </c>
      <c r="E160" s="2">
        <v>6</v>
      </c>
      <c r="F160" s="2" t="str">
        <f>_xlfn.XLOOKUP(C160,customers!$A$2:$A$1001,customers!$B$2:$B$1001,,0)</f>
        <v>Say Risborough</v>
      </c>
      <c r="G160" s="2" t="str">
        <f>_xlfn.XLOOKUP(C160,customers!$A$2:$A$1001,customers!$G$2:$G$1001,,0)</f>
        <v>United States</v>
      </c>
      <c r="H160" t="str">
        <f>INDEX(products!$A$1:$G$49,MATCH(orders!$D160,products!$A$1:$A$49,0),MATCH(orders!H$1,products!$A$1:$G$1,0))</f>
        <v>Rob</v>
      </c>
      <c r="I160" t="str">
        <f>INDEX(products!$A$1:$G$49,MATCH(orders!$D160,products!$A$1:$A$49,0),MATCH(orders!I$1,products!$A$1:$G$1,0))</f>
        <v>D</v>
      </c>
      <c r="J160" s="5">
        <f>INDEX(products!$A$1:$G$49,MATCH(orders!$D160,products!$A$1:$A$49,0),MATCH(orders!J$1,products!$A$1:$G$1,0))</f>
        <v>2.5</v>
      </c>
      <c r="K160" s="6">
        <f>INDEX(products!$A$1:$G$49,MATCH(orders!$D160,products!$A$1:$A$49,0),MATCH(orders!K$1,products!$A$1:$G$1,0))</f>
        <v>20.584999999999997</v>
      </c>
      <c r="L160" s="6">
        <f>K160*E160</f>
        <v>123.50999999999999</v>
      </c>
      <c r="M160" t="str" cm="1">
        <f t="array" ref="M160">_xlfn.IFS(H160="Rob","Robusta",H160="Exc","Excelsa",H160="Ara","Arabica",H160="Lib","Liberica")</f>
        <v>Robusta</v>
      </c>
      <c r="N160" t="str" cm="1">
        <f t="array" ref="N160">_xlfn.IFS(I160="M","Medium",I160="L","Light",I160="D","Dark")</f>
        <v>Dark</v>
      </c>
      <c r="O160" t="str">
        <f>_xlfn.XLOOKUP(Orders[[#This Row],[Customer ID]],customers!$A$2:$A$1001,customers!$I$2:$I$1001,,0)</f>
        <v>Yes</v>
      </c>
    </row>
    <row r="161" spans="1:15" x14ac:dyDescent="0.3">
      <c r="A161" s="2" t="s">
        <v>1384</v>
      </c>
      <c r="B161" s="3">
        <v>44316</v>
      </c>
      <c r="C161" s="2" t="s">
        <v>1385</v>
      </c>
      <c r="D161" t="s">
        <v>6164</v>
      </c>
      <c r="E161" s="2">
        <v>6</v>
      </c>
      <c r="F161" s="2" t="str">
        <f>_xlfn.XLOOKUP(C161,customers!$A$2:$A$1001,customers!$B$2:$B$1001,,0)</f>
        <v>Alexa Sizey</v>
      </c>
      <c r="G161" s="2" t="str">
        <f>_xlfn.XLOOKUP(C161,customers!$A$2:$A$1001,customers!$G$2:$G$1001,,0)</f>
        <v>United States</v>
      </c>
      <c r="H161" t="str">
        <f>INDEX(products!$A$1:$G$49,MATCH(orders!$D161,products!$A$1:$A$49,0),MATCH(orders!H$1,products!$A$1:$G$1,0))</f>
        <v>Lib</v>
      </c>
      <c r="I161" t="str">
        <f>INDEX(products!$A$1:$G$49,MATCH(orders!$D161,products!$A$1:$A$49,0),MATCH(orders!I$1,products!$A$1:$G$1,0))</f>
        <v>L</v>
      </c>
      <c r="J161" s="5">
        <f>INDEX(products!$A$1:$G$49,MATCH(orders!$D161,products!$A$1:$A$49,0),MATCH(orders!J$1,products!$A$1:$G$1,0))</f>
        <v>2.5</v>
      </c>
      <c r="K161" s="6">
        <f>INDEX(products!$A$1:$G$49,MATCH(orders!$D161,products!$A$1:$A$49,0),MATCH(orders!K$1,products!$A$1:$G$1,0))</f>
        <v>36.454999999999998</v>
      </c>
      <c r="L161" s="6">
        <f>K161*E161</f>
        <v>218.73</v>
      </c>
      <c r="M161" t="str" cm="1">
        <f t="array" ref="M161">_xlfn.IFS(H161="Rob","Robusta",H161="Exc","Excelsa",H161="Ara","Arabica",H161="Lib","Liberica")</f>
        <v>Liberica</v>
      </c>
      <c r="N161" t="str" cm="1">
        <f t="array" ref="N161">_xlfn.IFS(I161="M","Medium",I161="L","Light",I161="D","Dark")</f>
        <v>Light</v>
      </c>
      <c r="O161" t="str">
        <f>_xlfn.XLOOKUP(Orders[[#This Row],[Customer ID]],customers!$A$2:$A$1001,customers!$I$2:$I$1001,,0)</f>
        <v>No</v>
      </c>
    </row>
    <row r="162" spans="1:15" x14ac:dyDescent="0.3">
      <c r="A162" s="2" t="s">
        <v>1389</v>
      </c>
      <c r="B162" s="3">
        <v>43837</v>
      </c>
      <c r="C162" s="2" t="s">
        <v>1390</v>
      </c>
      <c r="D162" t="s">
        <v>6139</v>
      </c>
      <c r="E162" s="2">
        <v>4</v>
      </c>
      <c r="F162" s="2" t="str">
        <f>_xlfn.XLOOKUP(C162,customers!$A$2:$A$1001,customers!$B$2:$B$1001,,0)</f>
        <v>Kari Swede</v>
      </c>
      <c r="G162" s="2" t="str">
        <f>_xlfn.XLOOKUP(C162,customers!$A$2:$A$1001,customers!$G$2:$G$1001,,0)</f>
        <v>United States</v>
      </c>
      <c r="H162" t="str">
        <f>INDEX(products!$A$1:$G$49,MATCH(orders!$D162,products!$A$1:$A$49,0),MATCH(orders!H$1,products!$A$1:$G$1,0))</f>
        <v>Exc</v>
      </c>
      <c r="I162" t="str">
        <f>INDEX(products!$A$1:$G$49,MATCH(orders!$D162,products!$A$1:$A$49,0),MATCH(orders!I$1,products!$A$1:$G$1,0))</f>
        <v>M</v>
      </c>
      <c r="J162" s="5">
        <f>INDEX(products!$A$1:$G$49,MATCH(orders!$D162,products!$A$1:$A$49,0),MATCH(orders!J$1,products!$A$1:$G$1,0))</f>
        <v>0.5</v>
      </c>
      <c r="K162" s="6">
        <f>INDEX(products!$A$1:$G$49,MATCH(orders!$D162,products!$A$1:$A$49,0),MATCH(orders!K$1,products!$A$1:$G$1,0))</f>
        <v>8.25</v>
      </c>
      <c r="L162" s="6">
        <f>K162*E162</f>
        <v>33</v>
      </c>
      <c r="M162" t="str" cm="1">
        <f t="array" ref="M162">_xlfn.IFS(H162="Rob","Robusta",H162="Exc","Excelsa",H162="Ara","Arabica",H162="Lib","Liberica")</f>
        <v>Excelsa</v>
      </c>
      <c r="N162" t="str" cm="1">
        <f t="array" ref="N162">_xlfn.IFS(I162="M","Medium",I162="L","Light",I162="D","Dark")</f>
        <v>Medium</v>
      </c>
      <c r="O162" t="str">
        <f>_xlfn.XLOOKUP(Orders[[#This Row],[Customer ID]],customers!$A$2:$A$1001,customers!$I$2:$I$1001,,0)</f>
        <v>No</v>
      </c>
    </row>
    <row r="163" spans="1:15" x14ac:dyDescent="0.3">
      <c r="A163" s="2" t="s">
        <v>1395</v>
      </c>
      <c r="B163" s="3">
        <v>44207</v>
      </c>
      <c r="C163" s="2" t="s">
        <v>1396</v>
      </c>
      <c r="D163" t="s">
        <v>6180</v>
      </c>
      <c r="E163" s="2">
        <v>3</v>
      </c>
      <c r="F163" s="2" t="str">
        <f>_xlfn.XLOOKUP(C163,customers!$A$2:$A$1001,customers!$B$2:$B$1001,,0)</f>
        <v>Leontine Rubrow</v>
      </c>
      <c r="G163" s="2" t="str">
        <f>_xlfn.XLOOKUP(C163,customers!$A$2:$A$1001,customers!$G$2:$G$1001,,0)</f>
        <v>United States</v>
      </c>
      <c r="H163" t="str">
        <f>INDEX(products!$A$1:$G$49,MATCH(orders!$D163,products!$A$1:$A$49,0),MATCH(orders!H$1,products!$A$1:$G$1,0))</f>
        <v>Ara</v>
      </c>
      <c r="I163" t="str">
        <f>INDEX(products!$A$1:$G$49,MATCH(orders!$D163,products!$A$1:$A$49,0),MATCH(orders!I$1,products!$A$1:$G$1,0))</f>
        <v>L</v>
      </c>
      <c r="J163" s="5">
        <f>INDEX(products!$A$1:$G$49,MATCH(orders!$D163,products!$A$1:$A$49,0),MATCH(orders!J$1,products!$A$1:$G$1,0))</f>
        <v>0.5</v>
      </c>
      <c r="K163" s="6">
        <f>INDEX(products!$A$1:$G$49,MATCH(orders!$D163,products!$A$1:$A$49,0),MATCH(orders!K$1,products!$A$1:$G$1,0))</f>
        <v>7.77</v>
      </c>
      <c r="L163" s="6">
        <f>K163*E163</f>
        <v>23.31</v>
      </c>
      <c r="M163" t="str" cm="1">
        <f t="array" ref="M163">_xlfn.IFS(H163="Rob","Robusta",H163="Exc","Excelsa",H163="Ara","Arabica",H163="Lib","Liberica")</f>
        <v>Arabica</v>
      </c>
      <c r="N163" t="str" cm="1">
        <f t="array" ref="N163">_xlfn.IFS(I163="M","Medium",I163="L","Light",I163="D","Dark")</f>
        <v>Light</v>
      </c>
      <c r="O163" t="str">
        <f>_xlfn.XLOOKUP(Orders[[#This Row],[Customer ID]],customers!$A$2:$A$1001,customers!$I$2:$I$1001,,0)</f>
        <v>No</v>
      </c>
    </row>
    <row r="164" spans="1:15" x14ac:dyDescent="0.3">
      <c r="A164" s="2" t="s">
        <v>1401</v>
      </c>
      <c r="B164" s="3">
        <v>44515</v>
      </c>
      <c r="C164" s="2" t="s">
        <v>1402</v>
      </c>
      <c r="D164" t="s">
        <v>6144</v>
      </c>
      <c r="E164" s="2">
        <v>3</v>
      </c>
      <c r="F164" s="2" t="str">
        <f>_xlfn.XLOOKUP(C164,customers!$A$2:$A$1001,customers!$B$2:$B$1001,,0)</f>
        <v>Dottie Tift</v>
      </c>
      <c r="G164" s="2" t="str">
        <f>_xlfn.XLOOKUP(C164,customers!$A$2:$A$1001,customers!$G$2:$G$1001,,0)</f>
        <v>United States</v>
      </c>
      <c r="H164" t="str">
        <f>INDEX(products!$A$1:$G$49,MATCH(orders!$D164,products!$A$1:$A$49,0),MATCH(orders!H$1,products!$A$1:$G$1,0))</f>
        <v>Exc</v>
      </c>
      <c r="I164" t="str">
        <f>INDEX(products!$A$1:$G$49,MATCH(orders!$D164,products!$A$1:$A$49,0),MATCH(orders!I$1,products!$A$1:$G$1,0))</f>
        <v>D</v>
      </c>
      <c r="J164" s="5">
        <f>INDEX(products!$A$1:$G$49,MATCH(orders!$D164,products!$A$1:$A$49,0),MATCH(orders!J$1,products!$A$1:$G$1,0))</f>
        <v>0.5</v>
      </c>
      <c r="K164" s="6">
        <f>INDEX(products!$A$1:$G$49,MATCH(orders!$D164,products!$A$1:$A$49,0),MATCH(orders!K$1,products!$A$1:$G$1,0))</f>
        <v>7.29</v>
      </c>
      <c r="L164" s="6">
        <f>K164*E164</f>
        <v>21.87</v>
      </c>
      <c r="M164" t="str" cm="1">
        <f t="array" ref="M164">_xlfn.IFS(H164="Rob","Robusta",H164="Exc","Excelsa",H164="Ara","Arabica",H164="Lib","Liberica")</f>
        <v>Excelsa</v>
      </c>
      <c r="N164" t="str" cm="1">
        <f t="array" ref="N164">_xlfn.IFS(I164="M","Medium",I164="L","Light",I164="D","Dark")</f>
        <v>Dark</v>
      </c>
      <c r="O164" t="str">
        <f>_xlfn.XLOOKUP(Orders[[#This Row],[Customer ID]],customers!$A$2:$A$1001,customers!$I$2:$I$1001,,0)</f>
        <v>Yes</v>
      </c>
    </row>
    <row r="165" spans="1:15" x14ac:dyDescent="0.3">
      <c r="A165" s="2" t="s">
        <v>1407</v>
      </c>
      <c r="B165" s="3">
        <v>43619</v>
      </c>
      <c r="C165" s="2" t="s">
        <v>1408</v>
      </c>
      <c r="D165" t="s">
        <v>6163</v>
      </c>
      <c r="E165" s="2">
        <v>6</v>
      </c>
      <c r="F165" s="2" t="str">
        <f>_xlfn.XLOOKUP(C165,customers!$A$2:$A$1001,customers!$B$2:$B$1001,,0)</f>
        <v>Gerardo Schonfeld</v>
      </c>
      <c r="G165" s="2" t="str">
        <f>_xlfn.XLOOKUP(C165,customers!$A$2:$A$1001,customers!$G$2:$G$1001,,0)</f>
        <v>United States</v>
      </c>
      <c r="H165" t="str">
        <f>INDEX(products!$A$1:$G$49,MATCH(orders!$D165,products!$A$1:$A$49,0),MATCH(orders!H$1,products!$A$1:$G$1,0))</f>
        <v>Rob</v>
      </c>
      <c r="I165" t="str">
        <f>INDEX(products!$A$1:$G$49,MATCH(orders!$D165,products!$A$1:$A$49,0),MATCH(orders!I$1,products!$A$1:$G$1,0))</f>
        <v>D</v>
      </c>
      <c r="J165" s="5">
        <f>INDEX(products!$A$1:$G$49,MATCH(orders!$D165,products!$A$1:$A$49,0),MATCH(orders!J$1,products!$A$1:$G$1,0))</f>
        <v>0.2</v>
      </c>
      <c r="K165" s="6">
        <f>INDEX(products!$A$1:$G$49,MATCH(orders!$D165,products!$A$1:$A$49,0),MATCH(orders!K$1,products!$A$1:$G$1,0))</f>
        <v>2.6849999999999996</v>
      </c>
      <c r="L165" s="6">
        <f>K165*E165</f>
        <v>16.11</v>
      </c>
      <c r="M165" t="str" cm="1">
        <f t="array" ref="M165">_xlfn.IFS(H165="Rob","Robusta",H165="Exc","Excelsa",H165="Ara","Arabica",H165="Lib","Liberica")</f>
        <v>Robusta</v>
      </c>
      <c r="N165" t="str" cm="1">
        <f t="array" ref="N165">_xlfn.IFS(I165="M","Medium",I165="L","Light",I165="D","Dark")</f>
        <v>Dark</v>
      </c>
      <c r="O165" t="str">
        <f>_xlfn.XLOOKUP(Orders[[#This Row],[Customer ID]],customers!$A$2:$A$1001,customers!$I$2:$I$1001,,0)</f>
        <v>No</v>
      </c>
    </row>
    <row r="166" spans="1:15" x14ac:dyDescent="0.3">
      <c r="A166" s="2" t="s">
        <v>1413</v>
      </c>
      <c r="B166" s="3">
        <v>44182</v>
      </c>
      <c r="C166" s="2" t="s">
        <v>1414</v>
      </c>
      <c r="D166" t="s">
        <v>6144</v>
      </c>
      <c r="E166" s="2">
        <v>4</v>
      </c>
      <c r="F166" s="2" t="str">
        <f>_xlfn.XLOOKUP(C166,customers!$A$2:$A$1001,customers!$B$2:$B$1001,,0)</f>
        <v>Claiborne Feye</v>
      </c>
      <c r="G166" s="2" t="str">
        <f>_xlfn.XLOOKUP(C166,customers!$A$2:$A$1001,customers!$G$2:$G$1001,,0)</f>
        <v>Ireland</v>
      </c>
      <c r="H166" t="str">
        <f>INDEX(products!$A$1:$G$49,MATCH(orders!$D166,products!$A$1:$A$49,0),MATCH(orders!H$1,products!$A$1:$G$1,0))</f>
        <v>Exc</v>
      </c>
      <c r="I166" t="str">
        <f>INDEX(products!$A$1:$G$49,MATCH(orders!$D166,products!$A$1:$A$49,0),MATCH(orders!I$1,products!$A$1:$G$1,0))</f>
        <v>D</v>
      </c>
      <c r="J166" s="5">
        <f>INDEX(products!$A$1:$G$49,MATCH(orders!$D166,products!$A$1:$A$49,0),MATCH(orders!J$1,products!$A$1:$G$1,0))</f>
        <v>0.5</v>
      </c>
      <c r="K166" s="6">
        <f>INDEX(products!$A$1:$G$49,MATCH(orders!$D166,products!$A$1:$A$49,0),MATCH(orders!K$1,products!$A$1:$G$1,0))</f>
        <v>7.29</v>
      </c>
      <c r="L166" s="6">
        <f>K166*E166</f>
        <v>29.16</v>
      </c>
      <c r="M166" t="str" cm="1">
        <f t="array" ref="M166">_xlfn.IFS(H166="Rob","Robusta",H166="Exc","Excelsa",H166="Ara","Arabica",H166="Lib","Liberica")</f>
        <v>Excelsa</v>
      </c>
      <c r="N166" t="str" cm="1">
        <f t="array" ref="N166">_xlfn.IFS(I166="M","Medium",I166="L","Light",I166="D","Dark")</f>
        <v>Dark</v>
      </c>
      <c r="O166" t="str">
        <f>_xlfn.XLOOKUP(Orders[[#This Row],[Customer ID]],customers!$A$2:$A$1001,customers!$I$2:$I$1001,,0)</f>
        <v>No</v>
      </c>
    </row>
    <row r="167" spans="1:15" x14ac:dyDescent="0.3">
      <c r="A167" s="2" t="s">
        <v>1420</v>
      </c>
      <c r="B167" s="3">
        <v>44234</v>
      </c>
      <c r="C167" s="2" t="s">
        <v>1421</v>
      </c>
      <c r="D167" t="s">
        <v>6177</v>
      </c>
      <c r="E167" s="2">
        <v>6</v>
      </c>
      <c r="F167" s="2" t="str">
        <f>_xlfn.XLOOKUP(C167,customers!$A$2:$A$1001,customers!$B$2:$B$1001,,0)</f>
        <v>Mina Elstone</v>
      </c>
      <c r="G167" s="2" t="str">
        <f>_xlfn.XLOOKUP(C167,customers!$A$2:$A$1001,customers!$G$2:$G$1001,,0)</f>
        <v>United States</v>
      </c>
      <c r="H167" t="str">
        <f>INDEX(products!$A$1:$G$49,MATCH(orders!$D167,products!$A$1:$A$49,0),MATCH(orders!H$1,products!$A$1:$G$1,0))</f>
        <v>Rob</v>
      </c>
      <c r="I167" t="str">
        <f>INDEX(products!$A$1:$G$49,MATCH(orders!$D167,products!$A$1:$A$49,0),MATCH(orders!I$1,products!$A$1:$G$1,0))</f>
        <v>D</v>
      </c>
      <c r="J167" s="5">
        <f>INDEX(products!$A$1:$G$49,MATCH(orders!$D167,products!$A$1:$A$49,0),MATCH(orders!J$1,products!$A$1:$G$1,0))</f>
        <v>1</v>
      </c>
      <c r="K167" s="6">
        <f>INDEX(products!$A$1:$G$49,MATCH(orders!$D167,products!$A$1:$A$49,0),MATCH(orders!K$1,products!$A$1:$G$1,0))</f>
        <v>8.9499999999999993</v>
      </c>
      <c r="L167" s="6">
        <f>K167*E167</f>
        <v>53.699999999999996</v>
      </c>
      <c r="M167" t="str" cm="1">
        <f t="array" ref="M167">_xlfn.IFS(H167="Rob","Robusta",H167="Exc","Excelsa",H167="Ara","Arabica",H167="Lib","Liberica")</f>
        <v>Robusta</v>
      </c>
      <c r="N167" t="str" cm="1">
        <f t="array" ref="N167">_xlfn.IFS(I167="M","Medium",I167="L","Light",I167="D","Dark")</f>
        <v>Dark</v>
      </c>
      <c r="O167" t="str">
        <f>_xlfn.XLOOKUP(Orders[[#This Row],[Customer ID]],customers!$A$2:$A$1001,customers!$I$2:$I$1001,,0)</f>
        <v>Yes</v>
      </c>
    </row>
    <row r="168" spans="1:15" x14ac:dyDescent="0.3">
      <c r="A168" s="2" t="s">
        <v>1425</v>
      </c>
      <c r="B168" s="3">
        <v>44270</v>
      </c>
      <c r="C168" s="2" t="s">
        <v>1426</v>
      </c>
      <c r="D168" t="s">
        <v>6172</v>
      </c>
      <c r="E168" s="2">
        <v>5</v>
      </c>
      <c r="F168" s="2" t="str">
        <f>_xlfn.XLOOKUP(C168,customers!$A$2:$A$1001,customers!$B$2:$B$1001,,0)</f>
        <v>Sherman Mewrcik</v>
      </c>
      <c r="G168" s="2" t="str">
        <f>_xlfn.XLOOKUP(C168,customers!$A$2:$A$1001,customers!$G$2:$G$1001,,0)</f>
        <v>United States</v>
      </c>
      <c r="H168" t="str">
        <f>INDEX(products!$A$1:$G$49,MATCH(orders!$D168,products!$A$1:$A$49,0),MATCH(orders!H$1,products!$A$1:$G$1,0))</f>
        <v>Rob</v>
      </c>
      <c r="I168" t="str">
        <f>INDEX(products!$A$1:$G$49,MATCH(orders!$D168,products!$A$1:$A$49,0),MATCH(orders!I$1,products!$A$1:$G$1,0))</f>
        <v>D</v>
      </c>
      <c r="J168" s="5">
        <f>INDEX(products!$A$1:$G$49,MATCH(orders!$D168,products!$A$1:$A$49,0),MATCH(orders!J$1,products!$A$1:$G$1,0))</f>
        <v>0.5</v>
      </c>
      <c r="K168" s="6">
        <f>INDEX(products!$A$1:$G$49,MATCH(orders!$D168,products!$A$1:$A$49,0),MATCH(orders!K$1,products!$A$1:$G$1,0))</f>
        <v>5.3699999999999992</v>
      </c>
      <c r="L168" s="6">
        <f>K168*E168</f>
        <v>26.849999999999994</v>
      </c>
      <c r="M168" t="str" cm="1">
        <f t="array" ref="M168">_xlfn.IFS(H168="Rob","Robusta",H168="Exc","Excelsa",H168="Ara","Arabica",H168="Lib","Liberica")</f>
        <v>Robusta</v>
      </c>
      <c r="N168" t="str" cm="1">
        <f t="array" ref="N168">_xlfn.IFS(I168="M","Medium",I168="L","Light",I168="D","Dark")</f>
        <v>Dark</v>
      </c>
      <c r="O168" t="str">
        <f>_xlfn.XLOOKUP(Orders[[#This Row],[Customer ID]],customers!$A$2:$A$1001,customers!$I$2:$I$1001,,0)</f>
        <v>Yes</v>
      </c>
    </row>
    <row r="169" spans="1:15" x14ac:dyDescent="0.3">
      <c r="A169" s="2" t="s">
        <v>1430</v>
      </c>
      <c r="B169" s="3">
        <v>44777</v>
      </c>
      <c r="C169" s="2" t="s">
        <v>1431</v>
      </c>
      <c r="D169" t="s">
        <v>6139</v>
      </c>
      <c r="E169" s="2">
        <v>5</v>
      </c>
      <c r="F169" s="2" t="str">
        <f>_xlfn.XLOOKUP(C169,customers!$A$2:$A$1001,customers!$B$2:$B$1001,,0)</f>
        <v>Tamarah Fero</v>
      </c>
      <c r="G169" s="2" t="str">
        <f>_xlfn.XLOOKUP(C169,customers!$A$2:$A$1001,customers!$G$2:$G$1001,,0)</f>
        <v>United States</v>
      </c>
      <c r="H169" t="str">
        <f>INDEX(products!$A$1:$G$49,MATCH(orders!$D169,products!$A$1:$A$49,0),MATCH(orders!H$1,products!$A$1:$G$1,0))</f>
        <v>Exc</v>
      </c>
      <c r="I169" t="str">
        <f>INDEX(products!$A$1:$G$49,MATCH(orders!$D169,products!$A$1:$A$49,0),MATCH(orders!I$1,products!$A$1:$G$1,0))</f>
        <v>M</v>
      </c>
      <c r="J169" s="5">
        <f>INDEX(products!$A$1:$G$49,MATCH(orders!$D169,products!$A$1:$A$49,0),MATCH(orders!J$1,products!$A$1:$G$1,0))</f>
        <v>0.5</v>
      </c>
      <c r="K169" s="6">
        <f>INDEX(products!$A$1:$G$49,MATCH(orders!$D169,products!$A$1:$A$49,0),MATCH(orders!K$1,products!$A$1:$G$1,0))</f>
        <v>8.25</v>
      </c>
      <c r="L169" s="6">
        <f>K169*E169</f>
        <v>41.25</v>
      </c>
      <c r="M169" t="str" cm="1">
        <f t="array" ref="M169">_xlfn.IFS(H169="Rob","Robusta",H169="Exc","Excelsa",H169="Ara","Arabica",H169="Lib","Liberica")</f>
        <v>Excelsa</v>
      </c>
      <c r="N169" t="str" cm="1">
        <f t="array" ref="N169">_xlfn.IFS(I169="M","Medium",I169="L","Light",I169="D","Dark")</f>
        <v>Medium</v>
      </c>
      <c r="O169" t="str">
        <f>_xlfn.XLOOKUP(Orders[[#This Row],[Customer ID]],customers!$A$2:$A$1001,customers!$I$2:$I$1001,,0)</f>
        <v>Yes</v>
      </c>
    </row>
    <row r="170" spans="1:15" x14ac:dyDescent="0.3">
      <c r="A170" s="2" t="s">
        <v>1436</v>
      </c>
      <c r="B170" s="3">
        <v>43484</v>
      </c>
      <c r="C170" s="2" t="s">
        <v>1437</v>
      </c>
      <c r="D170" t="s">
        <v>6157</v>
      </c>
      <c r="E170" s="2">
        <v>6</v>
      </c>
      <c r="F170" s="2" t="str">
        <f>_xlfn.XLOOKUP(C170,customers!$A$2:$A$1001,customers!$B$2:$B$1001,,0)</f>
        <v>Stanislaus Valsler</v>
      </c>
      <c r="G170" s="2" t="str">
        <f>_xlfn.XLOOKUP(C170,customers!$A$2:$A$1001,customers!$G$2:$G$1001,,0)</f>
        <v>Ireland</v>
      </c>
      <c r="H170" t="str">
        <f>INDEX(products!$A$1:$G$49,MATCH(orders!$D170,products!$A$1:$A$49,0),MATCH(orders!H$1,products!$A$1:$G$1,0))</f>
        <v>Ara</v>
      </c>
      <c r="I170" t="str">
        <f>INDEX(products!$A$1:$G$49,MATCH(orders!$D170,products!$A$1:$A$49,0),MATCH(orders!I$1,products!$A$1:$G$1,0))</f>
        <v>M</v>
      </c>
      <c r="J170" s="5">
        <f>INDEX(products!$A$1:$G$49,MATCH(orders!$D170,products!$A$1:$A$49,0),MATCH(orders!J$1,products!$A$1:$G$1,0))</f>
        <v>0.5</v>
      </c>
      <c r="K170" s="6">
        <f>INDEX(products!$A$1:$G$49,MATCH(orders!$D170,products!$A$1:$A$49,0),MATCH(orders!K$1,products!$A$1:$G$1,0))</f>
        <v>6.75</v>
      </c>
      <c r="L170" s="6">
        <f>K170*E170</f>
        <v>40.5</v>
      </c>
      <c r="M170" t="str" cm="1">
        <f t="array" ref="M170">_xlfn.IFS(H170="Rob","Robusta",H170="Exc","Excelsa",H170="Ara","Arabica",H170="Lib","Liberica")</f>
        <v>Arabica</v>
      </c>
      <c r="N170" t="str" cm="1">
        <f t="array" ref="N170">_xlfn.IFS(I170="M","Medium",I170="L","Light",I170="D","Dark")</f>
        <v>Medium</v>
      </c>
      <c r="O170" t="str">
        <f>_xlfn.XLOOKUP(Orders[[#This Row],[Customer ID]],customers!$A$2:$A$1001,customers!$I$2:$I$1001,,0)</f>
        <v>No</v>
      </c>
    </row>
    <row r="171" spans="1:15" x14ac:dyDescent="0.3">
      <c r="A171" s="2" t="s">
        <v>1441</v>
      </c>
      <c r="B171" s="3">
        <v>44643</v>
      </c>
      <c r="C171" s="2" t="s">
        <v>1442</v>
      </c>
      <c r="D171" t="s">
        <v>6177</v>
      </c>
      <c r="E171" s="2">
        <v>2</v>
      </c>
      <c r="F171" s="2" t="str">
        <f>_xlfn.XLOOKUP(C171,customers!$A$2:$A$1001,customers!$B$2:$B$1001,,0)</f>
        <v>Felita Dauney</v>
      </c>
      <c r="G171" s="2" t="str">
        <f>_xlfn.XLOOKUP(C171,customers!$A$2:$A$1001,customers!$G$2:$G$1001,,0)</f>
        <v>Ireland</v>
      </c>
      <c r="H171" t="str">
        <f>INDEX(products!$A$1:$G$49,MATCH(orders!$D171,products!$A$1:$A$49,0),MATCH(orders!H$1,products!$A$1:$G$1,0))</f>
        <v>Rob</v>
      </c>
      <c r="I171" t="str">
        <f>INDEX(products!$A$1:$G$49,MATCH(orders!$D171,products!$A$1:$A$49,0),MATCH(orders!I$1,products!$A$1:$G$1,0))</f>
        <v>D</v>
      </c>
      <c r="J171" s="5">
        <f>INDEX(products!$A$1:$G$49,MATCH(orders!$D171,products!$A$1:$A$49,0),MATCH(orders!J$1,products!$A$1:$G$1,0))</f>
        <v>1</v>
      </c>
      <c r="K171" s="6">
        <f>INDEX(products!$A$1:$G$49,MATCH(orders!$D171,products!$A$1:$A$49,0),MATCH(orders!K$1,products!$A$1:$G$1,0))</f>
        <v>8.9499999999999993</v>
      </c>
      <c r="L171" s="6">
        <f>K171*E171</f>
        <v>17.899999999999999</v>
      </c>
      <c r="M171" t="str" cm="1">
        <f t="array" ref="M171">_xlfn.IFS(H171="Rob","Robusta",H171="Exc","Excelsa",H171="Ara","Arabica",H171="Lib","Liberica")</f>
        <v>Robusta</v>
      </c>
      <c r="N171" t="str" cm="1">
        <f t="array" ref="N171">_xlfn.IFS(I171="M","Medium",I171="L","Light",I171="D","Dark")</f>
        <v>Dark</v>
      </c>
      <c r="O171" t="str">
        <f>_xlfn.XLOOKUP(Orders[[#This Row],[Customer ID]],customers!$A$2:$A$1001,customers!$I$2:$I$1001,,0)</f>
        <v>No</v>
      </c>
    </row>
    <row r="172" spans="1:15" x14ac:dyDescent="0.3">
      <c r="A172" s="2" t="s">
        <v>1448</v>
      </c>
      <c r="B172" s="3">
        <v>44476</v>
      </c>
      <c r="C172" s="2" t="s">
        <v>1449</v>
      </c>
      <c r="D172" t="s">
        <v>6148</v>
      </c>
      <c r="E172" s="2">
        <v>2</v>
      </c>
      <c r="F172" s="2" t="str">
        <f>_xlfn.XLOOKUP(C172,customers!$A$2:$A$1001,customers!$B$2:$B$1001,,0)</f>
        <v>Serena Earley</v>
      </c>
      <c r="G172" s="2" t="str">
        <f>_xlfn.XLOOKUP(C172,customers!$A$2:$A$1001,customers!$G$2:$G$1001,,0)</f>
        <v>United Kingdom</v>
      </c>
      <c r="H172" t="str">
        <f>INDEX(products!$A$1:$G$49,MATCH(orders!$D172,products!$A$1:$A$49,0),MATCH(orders!H$1,products!$A$1:$G$1,0))</f>
        <v>Exc</v>
      </c>
      <c r="I172" t="str">
        <f>INDEX(products!$A$1:$G$49,MATCH(orders!$D172,products!$A$1:$A$49,0),MATCH(orders!I$1,products!$A$1:$G$1,0))</f>
        <v>L</v>
      </c>
      <c r="J172" s="5">
        <f>INDEX(products!$A$1:$G$49,MATCH(orders!$D172,products!$A$1:$A$49,0),MATCH(orders!J$1,products!$A$1:$G$1,0))</f>
        <v>2.5</v>
      </c>
      <c r="K172" s="6">
        <f>INDEX(products!$A$1:$G$49,MATCH(orders!$D172,products!$A$1:$A$49,0),MATCH(orders!K$1,products!$A$1:$G$1,0))</f>
        <v>34.154999999999994</v>
      </c>
      <c r="L172" s="6">
        <f>K172*E172</f>
        <v>68.309999999999988</v>
      </c>
      <c r="M172" t="str" cm="1">
        <f t="array" ref="M172">_xlfn.IFS(H172="Rob","Robusta",H172="Exc","Excelsa",H172="Ara","Arabica",H172="Lib","Liberica")</f>
        <v>Excelsa</v>
      </c>
      <c r="N172" t="str" cm="1">
        <f t="array" ref="N172">_xlfn.IFS(I172="M","Medium",I172="L","Light",I172="D","Dark")</f>
        <v>Light</v>
      </c>
      <c r="O172" t="str">
        <f>_xlfn.XLOOKUP(Orders[[#This Row],[Customer ID]],customers!$A$2:$A$1001,customers!$I$2:$I$1001,,0)</f>
        <v>No</v>
      </c>
    </row>
    <row r="173" spans="1:15" x14ac:dyDescent="0.3">
      <c r="A173" s="2" t="s">
        <v>1453</v>
      </c>
      <c r="B173" s="3">
        <v>43544</v>
      </c>
      <c r="C173" s="2" t="s">
        <v>1454</v>
      </c>
      <c r="D173" t="s">
        <v>6166</v>
      </c>
      <c r="E173" s="2">
        <v>2</v>
      </c>
      <c r="F173" s="2" t="str">
        <f>_xlfn.XLOOKUP(C173,customers!$A$2:$A$1001,customers!$B$2:$B$1001,,0)</f>
        <v>Minny Chamberlayne</v>
      </c>
      <c r="G173" s="2" t="str">
        <f>_xlfn.XLOOKUP(C173,customers!$A$2:$A$1001,customers!$G$2:$G$1001,,0)</f>
        <v>United States</v>
      </c>
      <c r="H173" t="str">
        <f>INDEX(products!$A$1:$G$49,MATCH(orders!$D173,products!$A$1:$A$49,0),MATCH(orders!H$1,products!$A$1:$G$1,0))</f>
        <v>Exc</v>
      </c>
      <c r="I173" t="str">
        <f>INDEX(products!$A$1:$G$49,MATCH(orders!$D173,products!$A$1:$A$49,0),MATCH(orders!I$1,products!$A$1:$G$1,0))</f>
        <v>M</v>
      </c>
      <c r="J173" s="5">
        <f>INDEX(products!$A$1:$G$49,MATCH(orders!$D173,products!$A$1:$A$49,0),MATCH(orders!J$1,products!$A$1:$G$1,0))</f>
        <v>2.5</v>
      </c>
      <c r="K173" s="6">
        <f>INDEX(products!$A$1:$G$49,MATCH(orders!$D173,products!$A$1:$A$49,0),MATCH(orders!K$1,products!$A$1:$G$1,0))</f>
        <v>31.624999999999996</v>
      </c>
      <c r="L173" s="6">
        <f>K173*E173</f>
        <v>63.249999999999993</v>
      </c>
      <c r="M173" t="str" cm="1">
        <f t="array" ref="M173">_xlfn.IFS(H173="Rob","Robusta",H173="Exc","Excelsa",H173="Ara","Arabica",H173="Lib","Liberica")</f>
        <v>Excelsa</v>
      </c>
      <c r="N173" t="str" cm="1">
        <f t="array" ref="N173">_xlfn.IFS(I173="M","Medium",I173="L","Light",I173="D","Dark")</f>
        <v>Medium</v>
      </c>
      <c r="O173" t="str">
        <f>_xlfn.XLOOKUP(Orders[[#This Row],[Customer ID]],customers!$A$2:$A$1001,customers!$I$2:$I$1001,,0)</f>
        <v>Yes</v>
      </c>
    </row>
    <row r="174" spans="1:15" x14ac:dyDescent="0.3">
      <c r="A174" s="2" t="s">
        <v>1459</v>
      </c>
      <c r="B174" s="3">
        <v>44545</v>
      </c>
      <c r="C174" s="2" t="s">
        <v>1460</v>
      </c>
      <c r="D174" t="s">
        <v>6144</v>
      </c>
      <c r="E174" s="2">
        <v>3</v>
      </c>
      <c r="F174" s="2" t="str">
        <f>_xlfn.XLOOKUP(C174,customers!$A$2:$A$1001,customers!$B$2:$B$1001,,0)</f>
        <v>Bartholemy Flaherty</v>
      </c>
      <c r="G174" s="2" t="str">
        <f>_xlfn.XLOOKUP(C174,customers!$A$2:$A$1001,customers!$G$2:$G$1001,,0)</f>
        <v>Ireland</v>
      </c>
      <c r="H174" t="str">
        <f>INDEX(products!$A$1:$G$49,MATCH(orders!$D174,products!$A$1:$A$49,0),MATCH(orders!H$1,products!$A$1:$G$1,0))</f>
        <v>Exc</v>
      </c>
      <c r="I174" t="str">
        <f>INDEX(products!$A$1:$G$49,MATCH(orders!$D174,products!$A$1:$A$49,0),MATCH(orders!I$1,products!$A$1:$G$1,0))</f>
        <v>D</v>
      </c>
      <c r="J174" s="5">
        <f>INDEX(products!$A$1:$G$49,MATCH(orders!$D174,products!$A$1:$A$49,0),MATCH(orders!J$1,products!$A$1:$G$1,0))</f>
        <v>0.5</v>
      </c>
      <c r="K174" s="6">
        <f>INDEX(products!$A$1:$G$49,MATCH(orders!$D174,products!$A$1:$A$49,0),MATCH(orders!K$1,products!$A$1:$G$1,0))</f>
        <v>7.29</v>
      </c>
      <c r="L174" s="6">
        <f>K174*E174</f>
        <v>21.87</v>
      </c>
      <c r="M174" t="str" cm="1">
        <f t="array" ref="M174">_xlfn.IFS(H174="Rob","Robusta",H174="Exc","Excelsa",H174="Ara","Arabica",H174="Lib","Liberica")</f>
        <v>Excelsa</v>
      </c>
      <c r="N174" t="str" cm="1">
        <f t="array" ref="N174">_xlfn.IFS(I174="M","Medium",I174="L","Light",I174="D","Dark")</f>
        <v>Dark</v>
      </c>
      <c r="O174" t="str">
        <f>_xlfn.XLOOKUP(Orders[[#This Row],[Customer ID]],customers!$A$2:$A$1001,customers!$I$2:$I$1001,,0)</f>
        <v>No</v>
      </c>
    </row>
    <row r="175" spans="1:15" x14ac:dyDescent="0.3">
      <c r="A175" s="2" t="s">
        <v>1464</v>
      </c>
      <c r="B175" s="3">
        <v>44720</v>
      </c>
      <c r="C175" s="2" t="s">
        <v>1465</v>
      </c>
      <c r="D175" t="s">
        <v>6151</v>
      </c>
      <c r="E175" s="2">
        <v>4</v>
      </c>
      <c r="F175" s="2" t="str">
        <f>_xlfn.XLOOKUP(C175,customers!$A$2:$A$1001,customers!$B$2:$B$1001,,0)</f>
        <v>Oran Colbeck</v>
      </c>
      <c r="G175" s="2" t="str">
        <f>_xlfn.XLOOKUP(C175,customers!$A$2:$A$1001,customers!$G$2:$G$1001,,0)</f>
        <v>United States</v>
      </c>
      <c r="H175" t="str">
        <f>INDEX(products!$A$1:$G$49,MATCH(orders!$D175,products!$A$1:$A$49,0),MATCH(orders!H$1,products!$A$1:$G$1,0))</f>
        <v>Rob</v>
      </c>
      <c r="I175" t="str">
        <f>INDEX(products!$A$1:$G$49,MATCH(orders!$D175,products!$A$1:$A$49,0),MATCH(orders!I$1,products!$A$1:$G$1,0))</f>
        <v>M</v>
      </c>
      <c r="J175" s="5">
        <f>INDEX(products!$A$1:$G$49,MATCH(orders!$D175,products!$A$1:$A$49,0),MATCH(orders!J$1,products!$A$1:$G$1,0))</f>
        <v>2.5</v>
      </c>
      <c r="K175" s="6">
        <f>INDEX(products!$A$1:$G$49,MATCH(orders!$D175,products!$A$1:$A$49,0),MATCH(orders!K$1,products!$A$1:$G$1,0))</f>
        <v>22.884999999999998</v>
      </c>
      <c r="L175" s="6">
        <f>K175*E175</f>
        <v>91.539999999999992</v>
      </c>
      <c r="M175" t="str" cm="1">
        <f t="array" ref="M175">_xlfn.IFS(H175="Rob","Robusta",H175="Exc","Excelsa",H175="Ara","Arabica",H175="Lib","Liberica")</f>
        <v>Robusta</v>
      </c>
      <c r="N175" t="str" cm="1">
        <f t="array" ref="N175">_xlfn.IFS(I175="M","Medium",I175="L","Light",I175="D","Dark")</f>
        <v>Medium</v>
      </c>
      <c r="O175" t="str">
        <f>_xlfn.XLOOKUP(Orders[[#This Row],[Customer ID]],customers!$A$2:$A$1001,customers!$I$2:$I$1001,,0)</f>
        <v>No</v>
      </c>
    </row>
    <row r="176" spans="1:15" x14ac:dyDescent="0.3">
      <c r="A176" s="2" t="s">
        <v>1470</v>
      </c>
      <c r="B176" s="3">
        <v>43813</v>
      </c>
      <c r="C176" s="2" t="s">
        <v>1471</v>
      </c>
      <c r="D176" t="s">
        <v>6148</v>
      </c>
      <c r="E176" s="2">
        <v>6</v>
      </c>
      <c r="F176" s="2" t="str">
        <f>_xlfn.XLOOKUP(C176,customers!$A$2:$A$1001,customers!$B$2:$B$1001,,0)</f>
        <v>Elysee Sketch</v>
      </c>
      <c r="G176" s="2" t="str">
        <f>_xlfn.XLOOKUP(C176,customers!$A$2:$A$1001,customers!$G$2:$G$1001,,0)</f>
        <v>United States</v>
      </c>
      <c r="H176" t="str">
        <f>INDEX(products!$A$1:$G$49,MATCH(orders!$D176,products!$A$1:$A$49,0),MATCH(orders!H$1,products!$A$1:$G$1,0))</f>
        <v>Exc</v>
      </c>
      <c r="I176" t="str">
        <f>INDEX(products!$A$1:$G$49,MATCH(orders!$D176,products!$A$1:$A$49,0),MATCH(orders!I$1,products!$A$1:$G$1,0))</f>
        <v>L</v>
      </c>
      <c r="J176" s="5">
        <f>INDEX(products!$A$1:$G$49,MATCH(orders!$D176,products!$A$1:$A$49,0),MATCH(orders!J$1,products!$A$1:$G$1,0))</f>
        <v>2.5</v>
      </c>
      <c r="K176" s="6">
        <f>INDEX(products!$A$1:$G$49,MATCH(orders!$D176,products!$A$1:$A$49,0),MATCH(orders!K$1,products!$A$1:$G$1,0))</f>
        <v>34.154999999999994</v>
      </c>
      <c r="L176" s="6">
        <f>K176*E176</f>
        <v>204.92999999999995</v>
      </c>
      <c r="M176" t="str" cm="1">
        <f t="array" ref="M176">_xlfn.IFS(H176="Rob","Robusta",H176="Exc","Excelsa",H176="Ara","Arabica",H176="Lib","Liberica")</f>
        <v>Excelsa</v>
      </c>
      <c r="N176" t="str" cm="1">
        <f t="array" ref="N176">_xlfn.IFS(I176="M","Medium",I176="L","Light",I176="D","Dark")</f>
        <v>Light</v>
      </c>
      <c r="O176" t="str">
        <f>_xlfn.XLOOKUP(Orders[[#This Row],[Customer ID]],customers!$A$2:$A$1001,customers!$I$2:$I$1001,,0)</f>
        <v>Yes</v>
      </c>
    </row>
    <row r="177" spans="1:15" x14ac:dyDescent="0.3">
      <c r="A177" s="2" t="s">
        <v>1475</v>
      </c>
      <c r="B177" s="3">
        <v>44296</v>
      </c>
      <c r="C177" s="2" t="s">
        <v>1476</v>
      </c>
      <c r="D177" t="s">
        <v>6166</v>
      </c>
      <c r="E177" s="2">
        <v>2</v>
      </c>
      <c r="F177" s="2" t="str">
        <f>_xlfn.XLOOKUP(C177,customers!$A$2:$A$1001,customers!$B$2:$B$1001,,0)</f>
        <v>Ethelda Hobbing</v>
      </c>
      <c r="G177" s="2" t="str">
        <f>_xlfn.XLOOKUP(C177,customers!$A$2:$A$1001,customers!$G$2:$G$1001,,0)</f>
        <v>United States</v>
      </c>
      <c r="H177" t="str">
        <f>INDEX(products!$A$1:$G$49,MATCH(orders!$D177,products!$A$1:$A$49,0),MATCH(orders!H$1,products!$A$1:$G$1,0))</f>
        <v>Exc</v>
      </c>
      <c r="I177" t="str">
        <f>INDEX(products!$A$1:$G$49,MATCH(orders!$D177,products!$A$1:$A$49,0),MATCH(orders!I$1,products!$A$1:$G$1,0))</f>
        <v>M</v>
      </c>
      <c r="J177" s="5">
        <f>INDEX(products!$A$1:$G$49,MATCH(orders!$D177,products!$A$1:$A$49,0),MATCH(orders!J$1,products!$A$1:$G$1,0))</f>
        <v>2.5</v>
      </c>
      <c r="K177" s="6">
        <f>INDEX(products!$A$1:$G$49,MATCH(orders!$D177,products!$A$1:$A$49,0),MATCH(orders!K$1,products!$A$1:$G$1,0))</f>
        <v>31.624999999999996</v>
      </c>
      <c r="L177" s="6">
        <f>K177*E177</f>
        <v>63.249999999999993</v>
      </c>
      <c r="M177" t="str" cm="1">
        <f t="array" ref="M177">_xlfn.IFS(H177="Rob","Robusta",H177="Exc","Excelsa",H177="Ara","Arabica",H177="Lib","Liberica")</f>
        <v>Excelsa</v>
      </c>
      <c r="N177" t="str" cm="1">
        <f t="array" ref="N177">_xlfn.IFS(I177="M","Medium",I177="L","Light",I177="D","Dark")</f>
        <v>Medium</v>
      </c>
      <c r="O177" t="str">
        <f>_xlfn.XLOOKUP(Orders[[#This Row],[Customer ID]],customers!$A$2:$A$1001,customers!$I$2:$I$1001,,0)</f>
        <v>Yes</v>
      </c>
    </row>
    <row r="178" spans="1:15" x14ac:dyDescent="0.3">
      <c r="A178" s="2" t="s">
        <v>1481</v>
      </c>
      <c r="B178" s="3">
        <v>43900</v>
      </c>
      <c r="C178" s="2" t="s">
        <v>1482</v>
      </c>
      <c r="D178" t="s">
        <v>6148</v>
      </c>
      <c r="E178" s="2">
        <v>1</v>
      </c>
      <c r="F178" s="2" t="str">
        <f>_xlfn.XLOOKUP(C178,customers!$A$2:$A$1001,customers!$B$2:$B$1001,,0)</f>
        <v>Odille Thynne</v>
      </c>
      <c r="G178" s="2" t="str">
        <f>_xlfn.XLOOKUP(C178,customers!$A$2:$A$1001,customers!$G$2:$G$1001,,0)</f>
        <v>United States</v>
      </c>
      <c r="H178" t="str">
        <f>INDEX(products!$A$1:$G$49,MATCH(orders!$D178,products!$A$1:$A$49,0),MATCH(orders!H$1,products!$A$1:$G$1,0))</f>
        <v>Exc</v>
      </c>
      <c r="I178" t="str">
        <f>INDEX(products!$A$1:$G$49,MATCH(orders!$D178,products!$A$1:$A$49,0),MATCH(orders!I$1,products!$A$1:$G$1,0))</f>
        <v>L</v>
      </c>
      <c r="J178" s="5">
        <f>INDEX(products!$A$1:$G$49,MATCH(orders!$D178,products!$A$1:$A$49,0),MATCH(orders!J$1,products!$A$1:$G$1,0))</f>
        <v>2.5</v>
      </c>
      <c r="K178" s="6">
        <f>INDEX(products!$A$1:$G$49,MATCH(orders!$D178,products!$A$1:$A$49,0),MATCH(orders!K$1,products!$A$1:$G$1,0))</f>
        <v>34.154999999999994</v>
      </c>
      <c r="L178" s="6">
        <f>K178*E178</f>
        <v>34.154999999999994</v>
      </c>
      <c r="M178" t="str" cm="1">
        <f t="array" ref="M178">_xlfn.IFS(H178="Rob","Robusta",H178="Exc","Excelsa",H178="Ara","Arabica",H178="Lib","Liberica")</f>
        <v>Excelsa</v>
      </c>
      <c r="N178" t="str" cm="1">
        <f t="array" ref="N178">_xlfn.IFS(I178="M","Medium",I178="L","Light",I178="D","Dark")</f>
        <v>Light</v>
      </c>
      <c r="O178" t="str">
        <f>_xlfn.XLOOKUP(Orders[[#This Row],[Customer ID]],customers!$A$2:$A$1001,customers!$I$2:$I$1001,,0)</f>
        <v>Yes</v>
      </c>
    </row>
    <row r="179" spans="1:15" x14ac:dyDescent="0.3">
      <c r="A179" s="2" t="s">
        <v>1487</v>
      </c>
      <c r="B179" s="3">
        <v>44120</v>
      </c>
      <c r="C179" s="2" t="s">
        <v>1488</v>
      </c>
      <c r="D179" t="s">
        <v>6142</v>
      </c>
      <c r="E179" s="2">
        <v>4</v>
      </c>
      <c r="F179" s="2" t="str">
        <f>_xlfn.XLOOKUP(C179,customers!$A$2:$A$1001,customers!$B$2:$B$1001,,0)</f>
        <v>Emlynne Heining</v>
      </c>
      <c r="G179" s="2" t="str">
        <f>_xlfn.XLOOKUP(C179,customers!$A$2:$A$1001,customers!$G$2:$G$1001,,0)</f>
        <v>United States</v>
      </c>
      <c r="H179" t="str">
        <f>INDEX(products!$A$1:$G$49,MATCH(orders!$D179,products!$A$1:$A$49,0),MATCH(orders!H$1,products!$A$1:$G$1,0))</f>
        <v>Rob</v>
      </c>
      <c r="I179" t="str">
        <f>INDEX(products!$A$1:$G$49,MATCH(orders!$D179,products!$A$1:$A$49,0),MATCH(orders!I$1,products!$A$1:$G$1,0))</f>
        <v>L</v>
      </c>
      <c r="J179" s="5">
        <f>INDEX(products!$A$1:$G$49,MATCH(orders!$D179,products!$A$1:$A$49,0),MATCH(orders!J$1,products!$A$1:$G$1,0))</f>
        <v>2.5</v>
      </c>
      <c r="K179" s="6">
        <f>INDEX(products!$A$1:$G$49,MATCH(orders!$D179,products!$A$1:$A$49,0),MATCH(orders!K$1,products!$A$1:$G$1,0))</f>
        <v>27.484999999999996</v>
      </c>
      <c r="L179" s="6">
        <f>K179*E179</f>
        <v>109.93999999999998</v>
      </c>
      <c r="M179" t="str" cm="1">
        <f t="array" ref="M179">_xlfn.IFS(H179="Rob","Robusta",H179="Exc","Excelsa",H179="Ara","Arabica",H179="Lib","Liberica")</f>
        <v>Robusta</v>
      </c>
      <c r="N179" t="str" cm="1">
        <f t="array" ref="N179">_xlfn.IFS(I179="M","Medium",I179="L","Light",I179="D","Dark")</f>
        <v>Light</v>
      </c>
      <c r="O179" t="str">
        <f>_xlfn.XLOOKUP(Orders[[#This Row],[Customer ID]],customers!$A$2:$A$1001,customers!$I$2:$I$1001,,0)</f>
        <v>Yes</v>
      </c>
    </row>
    <row r="180" spans="1:15" x14ac:dyDescent="0.3">
      <c r="A180" s="2" t="s">
        <v>1492</v>
      </c>
      <c r="B180" s="3">
        <v>43746</v>
      </c>
      <c r="C180" s="2" t="s">
        <v>1493</v>
      </c>
      <c r="D180" t="s">
        <v>6140</v>
      </c>
      <c r="E180" s="2">
        <v>2</v>
      </c>
      <c r="F180" s="2" t="str">
        <f>_xlfn.XLOOKUP(C180,customers!$A$2:$A$1001,customers!$B$2:$B$1001,,0)</f>
        <v>Katerina Melloi</v>
      </c>
      <c r="G180" s="2" t="str">
        <f>_xlfn.XLOOKUP(C180,customers!$A$2:$A$1001,customers!$G$2:$G$1001,,0)</f>
        <v>United States</v>
      </c>
      <c r="H180" t="str">
        <f>INDEX(products!$A$1:$G$49,MATCH(orders!$D180,products!$A$1:$A$49,0),MATCH(orders!H$1,products!$A$1:$G$1,0))</f>
        <v>Ara</v>
      </c>
      <c r="I180" t="str">
        <f>INDEX(products!$A$1:$G$49,MATCH(orders!$D180,products!$A$1:$A$49,0),MATCH(orders!I$1,products!$A$1:$G$1,0))</f>
        <v>L</v>
      </c>
      <c r="J180" s="5">
        <f>INDEX(products!$A$1:$G$49,MATCH(orders!$D180,products!$A$1:$A$49,0),MATCH(orders!J$1,products!$A$1:$G$1,0))</f>
        <v>1</v>
      </c>
      <c r="K180" s="6">
        <f>INDEX(products!$A$1:$G$49,MATCH(orders!$D180,products!$A$1:$A$49,0),MATCH(orders!K$1,products!$A$1:$G$1,0))</f>
        <v>12.95</v>
      </c>
      <c r="L180" s="6">
        <f>K180*E180</f>
        <v>25.9</v>
      </c>
      <c r="M180" t="str" cm="1">
        <f t="array" ref="M180">_xlfn.IFS(H180="Rob","Robusta",H180="Exc","Excelsa",H180="Ara","Arabica",H180="Lib","Liberica")</f>
        <v>Arabica</v>
      </c>
      <c r="N180" t="str" cm="1">
        <f t="array" ref="N180">_xlfn.IFS(I180="M","Medium",I180="L","Light",I180="D","Dark")</f>
        <v>Light</v>
      </c>
      <c r="O180" t="str">
        <f>_xlfn.XLOOKUP(Orders[[#This Row],[Customer ID]],customers!$A$2:$A$1001,customers!$I$2:$I$1001,,0)</f>
        <v>No</v>
      </c>
    </row>
    <row r="181" spans="1:15" x14ac:dyDescent="0.3">
      <c r="A181" s="2" t="s">
        <v>1498</v>
      </c>
      <c r="B181" s="3">
        <v>43830</v>
      </c>
      <c r="C181" s="2" t="s">
        <v>1499</v>
      </c>
      <c r="D181" t="s">
        <v>6154</v>
      </c>
      <c r="E181" s="2">
        <v>1</v>
      </c>
      <c r="F181" s="2" t="str">
        <f>_xlfn.XLOOKUP(C181,customers!$A$2:$A$1001,customers!$B$2:$B$1001,,0)</f>
        <v>Tiffany Scardafield</v>
      </c>
      <c r="G181" s="2" t="str">
        <f>_xlfn.XLOOKUP(C181,customers!$A$2:$A$1001,customers!$G$2:$G$1001,,0)</f>
        <v>Ireland</v>
      </c>
      <c r="H181" t="str">
        <f>INDEX(products!$A$1:$G$49,MATCH(orders!$D181,products!$A$1:$A$49,0),MATCH(orders!H$1,products!$A$1:$G$1,0))</f>
        <v>Ara</v>
      </c>
      <c r="I181" t="str">
        <f>INDEX(products!$A$1:$G$49,MATCH(orders!$D181,products!$A$1:$A$49,0),MATCH(orders!I$1,products!$A$1:$G$1,0))</f>
        <v>D</v>
      </c>
      <c r="J181" s="5">
        <f>INDEX(products!$A$1:$G$49,MATCH(orders!$D181,products!$A$1:$A$49,0),MATCH(orders!J$1,products!$A$1:$G$1,0))</f>
        <v>0.2</v>
      </c>
      <c r="K181" s="6">
        <f>INDEX(products!$A$1:$G$49,MATCH(orders!$D181,products!$A$1:$A$49,0),MATCH(orders!K$1,products!$A$1:$G$1,0))</f>
        <v>2.9849999999999999</v>
      </c>
      <c r="L181" s="6">
        <f>K181*E181</f>
        <v>2.9849999999999999</v>
      </c>
      <c r="M181" t="str" cm="1">
        <f t="array" ref="M181">_xlfn.IFS(H181="Rob","Robusta",H181="Exc","Excelsa",H181="Ara","Arabica",H181="Lib","Liberica")</f>
        <v>Arabica</v>
      </c>
      <c r="N181" t="str" cm="1">
        <f t="array" ref="N181">_xlfn.IFS(I181="M","Medium",I181="L","Light",I181="D","Dark")</f>
        <v>Dark</v>
      </c>
      <c r="O181" t="str">
        <f>_xlfn.XLOOKUP(Orders[[#This Row],[Customer ID]],customers!$A$2:$A$1001,customers!$I$2:$I$1001,,0)</f>
        <v>No</v>
      </c>
    </row>
    <row r="182" spans="1:15" x14ac:dyDescent="0.3">
      <c r="A182" s="2" t="s">
        <v>1503</v>
      </c>
      <c r="B182" s="3">
        <v>43910</v>
      </c>
      <c r="C182" s="2" t="s">
        <v>1504</v>
      </c>
      <c r="D182" t="s">
        <v>6184</v>
      </c>
      <c r="E182" s="2">
        <v>5</v>
      </c>
      <c r="F182" s="2" t="str">
        <f>_xlfn.XLOOKUP(C182,customers!$A$2:$A$1001,customers!$B$2:$B$1001,,0)</f>
        <v>Abrahan Mussen</v>
      </c>
      <c r="G182" s="2" t="str">
        <f>_xlfn.XLOOKUP(C182,customers!$A$2:$A$1001,customers!$G$2:$G$1001,,0)</f>
        <v>United States</v>
      </c>
      <c r="H182" t="str">
        <f>INDEX(products!$A$1:$G$49,MATCH(orders!$D182,products!$A$1:$A$49,0),MATCH(orders!H$1,products!$A$1:$G$1,0))</f>
        <v>Exc</v>
      </c>
      <c r="I182" t="str">
        <f>INDEX(products!$A$1:$G$49,MATCH(orders!$D182,products!$A$1:$A$49,0),MATCH(orders!I$1,products!$A$1:$G$1,0))</f>
        <v>L</v>
      </c>
      <c r="J182" s="5">
        <f>INDEX(products!$A$1:$G$49,MATCH(orders!$D182,products!$A$1:$A$49,0),MATCH(orders!J$1,products!$A$1:$G$1,0))</f>
        <v>0.2</v>
      </c>
      <c r="K182" s="6">
        <f>INDEX(products!$A$1:$G$49,MATCH(orders!$D182,products!$A$1:$A$49,0),MATCH(orders!K$1,products!$A$1:$G$1,0))</f>
        <v>4.4550000000000001</v>
      </c>
      <c r="L182" s="6">
        <f>K182*E182</f>
        <v>22.274999999999999</v>
      </c>
      <c r="M182" t="str" cm="1">
        <f t="array" ref="M182">_xlfn.IFS(H182="Rob","Robusta",H182="Exc","Excelsa",H182="Ara","Arabica",H182="Lib","Liberica")</f>
        <v>Excelsa</v>
      </c>
      <c r="N182" t="str" cm="1">
        <f t="array" ref="N182">_xlfn.IFS(I182="M","Medium",I182="L","Light",I182="D","Dark")</f>
        <v>Light</v>
      </c>
      <c r="O182" t="str">
        <f>_xlfn.XLOOKUP(Orders[[#This Row],[Customer ID]],customers!$A$2:$A$1001,customers!$I$2:$I$1001,,0)</f>
        <v>No</v>
      </c>
    </row>
    <row r="183" spans="1:15" x14ac:dyDescent="0.3">
      <c r="A183" s="2" t="s">
        <v>1503</v>
      </c>
      <c r="B183" s="3">
        <v>43910</v>
      </c>
      <c r="C183" s="2" t="s">
        <v>1504</v>
      </c>
      <c r="D183" t="s">
        <v>6158</v>
      </c>
      <c r="E183" s="2">
        <v>5</v>
      </c>
      <c r="F183" s="2" t="str">
        <f>_xlfn.XLOOKUP(C183,customers!$A$2:$A$1001,customers!$B$2:$B$1001,,0)</f>
        <v>Abrahan Mussen</v>
      </c>
      <c r="G183" s="2" t="str">
        <f>_xlfn.XLOOKUP(C183,customers!$A$2:$A$1001,customers!$G$2:$G$1001,,0)</f>
        <v>United States</v>
      </c>
      <c r="H183" t="str">
        <f>INDEX(products!$A$1:$G$49,MATCH(orders!$D183,products!$A$1:$A$49,0),MATCH(orders!H$1,products!$A$1:$G$1,0))</f>
        <v>Ara</v>
      </c>
      <c r="I183" t="str">
        <f>INDEX(products!$A$1:$G$49,MATCH(orders!$D183,products!$A$1:$A$49,0),MATCH(orders!I$1,products!$A$1:$G$1,0))</f>
        <v>D</v>
      </c>
      <c r="J183" s="5">
        <f>INDEX(products!$A$1:$G$49,MATCH(orders!$D183,products!$A$1:$A$49,0),MATCH(orders!J$1,products!$A$1:$G$1,0))</f>
        <v>0.5</v>
      </c>
      <c r="K183" s="6">
        <f>INDEX(products!$A$1:$G$49,MATCH(orders!$D183,products!$A$1:$A$49,0),MATCH(orders!K$1,products!$A$1:$G$1,0))</f>
        <v>5.97</v>
      </c>
      <c r="L183" s="6">
        <f>K183*E183</f>
        <v>29.849999999999998</v>
      </c>
      <c r="M183" t="str" cm="1">
        <f t="array" ref="M183">_xlfn.IFS(H183="Rob","Robusta",H183="Exc","Excelsa",H183="Ara","Arabica",H183="Lib","Liberica")</f>
        <v>Arabica</v>
      </c>
      <c r="N183" t="str" cm="1">
        <f t="array" ref="N183">_xlfn.IFS(I183="M","Medium",I183="L","Light",I183="D","Dark")</f>
        <v>Dark</v>
      </c>
      <c r="O183" t="str">
        <f>_xlfn.XLOOKUP(Orders[[#This Row],[Customer ID]],customers!$A$2:$A$1001,customers!$I$2:$I$1001,,0)</f>
        <v>No</v>
      </c>
    </row>
    <row r="184" spans="1:15" x14ac:dyDescent="0.3">
      <c r="A184" s="2" t="s">
        <v>1514</v>
      </c>
      <c r="B184" s="3">
        <v>44284</v>
      </c>
      <c r="C184" s="2" t="s">
        <v>1515</v>
      </c>
      <c r="D184" t="s">
        <v>6172</v>
      </c>
      <c r="E184" s="2">
        <v>6</v>
      </c>
      <c r="F184" s="2" t="str">
        <f>_xlfn.XLOOKUP(C184,customers!$A$2:$A$1001,customers!$B$2:$B$1001,,0)</f>
        <v>Anny Mundford</v>
      </c>
      <c r="G184" s="2" t="str">
        <f>_xlfn.XLOOKUP(C184,customers!$A$2:$A$1001,customers!$G$2:$G$1001,,0)</f>
        <v>United States</v>
      </c>
      <c r="H184" t="str">
        <f>INDEX(products!$A$1:$G$49,MATCH(orders!$D184,products!$A$1:$A$49,0),MATCH(orders!H$1,products!$A$1:$G$1,0))</f>
        <v>Rob</v>
      </c>
      <c r="I184" t="str">
        <f>INDEX(products!$A$1:$G$49,MATCH(orders!$D184,products!$A$1:$A$49,0),MATCH(orders!I$1,products!$A$1:$G$1,0))</f>
        <v>D</v>
      </c>
      <c r="J184" s="5">
        <f>INDEX(products!$A$1:$G$49,MATCH(orders!$D184,products!$A$1:$A$49,0),MATCH(orders!J$1,products!$A$1:$G$1,0))</f>
        <v>0.5</v>
      </c>
      <c r="K184" s="6">
        <f>INDEX(products!$A$1:$G$49,MATCH(orders!$D184,products!$A$1:$A$49,0),MATCH(orders!K$1,products!$A$1:$G$1,0))</f>
        <v>5.3699999999999992</v>
      </c>
      <c r="L184" s="6">
        <f>K184*E184</f>
        <v>32.22</v>
      </c>
      <c r="M184" t="str" cm="1">
        <f t="array" ref="M184">_xlfn.IFS(H184="Rob","Robusta",H184="Exc","Excelsa",H184="Ara","Arabica",H184="Lib","Liberica")</f>
        <v>Robusta</v>
      </c>
      <c r="N184" t="str" cm="1">
        <f t="array" ref="N184">_xlfn.IFS(I184="M","Medium",I184="L","Light",I184="D","Dark")</f>
        <v>Dark</v>
      </c>
      <c r="O184" t="str">
        <f>_xlfn.XLOOKUP(Orders[[#This Row],[Customer ID]],customers!$A$2:$A$1001,customers!$I$2:$I$1001,,0)</f>
        <v>No</v>
      </c>
    </row>
    <row r="185" spans="1:15" x14ac:dyDescent="0.3">
      <c r="A185" s="2" t="s">
        <v>1520</v>
      </c>
      <c r="B185" s="3">
        <v>44512</v>
      </c>
      <c r="C185" s="2" t="s">
        <v>1521</v>
      </c>
      <c r="D185" t="s">
        <v>6156</v>
      </c>
      <c r="E185" s="2">
        <v>2</v>
      </c>
      <c r="F185" s="2" t="str">
        <f>_xlfn.XLOOKUP(C185,customers!$A$2:$A$1001,customers!$B$2:$B$1001,,0)</f>
        <v>Tory Walas</v>
      </c>
      <c r="G185" s="2" t="str">
        <f>_xlfn.XLOOKUP(C185,customers!$A$2:$A$1001,customers!$G$2:$G$1001,,0)</f>
        <v>United States</v>
      </c>
      <c r="H185" t="str">
        <f>INDEX(products!$A$1:$G$49,MATCH(orders!$D185,products!$A$1:$A$49,0),MATCH(orders!H$1,products!$A$1:$G$1,0))</f>
        <v>Exc</v>
      </c>
      <c r="I185" t="str">
        <f>INDEX(products!$A$1:$G$49,MATCH(orders!$D185,products!$A$1:$A$49,0),MATCH(orders!I$1,products!$A$1:$G$1,0))</f>
        <v>M</v>
      </c>
      <c r="J185" s="5">
        <f>INDEX(products!$A$1:$G$49,MATCH(orders!$D185,products!$A$1:$A$49,0),MATCH(orders!J$1,products!$A$1:$G$1,0))</f>
        <v>0.2</v>
      </c>
      <c r="K185" s="6">
        <f>INDEX(products!$A$1:$G$49,MATCH(orders!$D185,products!$A$1:$A$49,0),MATCH(orders!K$1,products!$A$1:$G$1,0))</f>
        <v>4.125</v>
      </c>
      <c r="L185" s="6">
        <f>K185*E185</f>
        <v>8.25</v>
      </c>
      <c r="M185" t="str" cm="1">
        <f t="array" ref="M185">_xlfn.IFS(H185="Rob","Robusta",H185="Exc","Excelsa",H185="Ara","Arabica",H185="Lib","Liberica")</f>
        <v>Excelsa</v>
      </c>
      <c r="N185" t="str" cm="1">
        <f t="array" ref="N185">_xlfn.IFS(I185="M","Medium",I185="L","Light",I185="D","Dark")</f>
        <v>Medium</v>
      </c>
      <c r="O185" t="str">
        <f>_xlfn.XLOOKUP(Orders[[#This Row],[Customer ID]],customers!$A$2:$A$1001,customers!$I$2:$I$1001,,0)</f>
        <v>No</v>
      </c>
    </row>
    <row r="186" spans="1:15" x14ac:dyDescent="0.3">
      <c r="A186" s="2" t="s">
        <v>1526</v>
      </c>
      <c r="B186" s="3">
        <v>44397</v>
      </c>
      <c r="C186" s="2" t="s">
        <v>1527</v>
      </c>
      <c r="D186" t="s">
        <v>6180</v>
      </c>
      <c r="E186" s="2">
        <v>4</v>
      </c>
      <c r="F186" s="2" t="str">
        <f>_xlfn.XLOOKUP(C186,customers!$A$2:$A$1001,customers!$B$2:$B$1001,,0)</f>
        <v>Isa Blazewicz</v>
      </c>
      <c r="G186" s="2" t="str">
        <f>_xlfn.XLOOKUP(C186,customers!$A$2:$A$1001,customers!$G$2:$G$1001,,0)</f>
        <v>United States</v>
      </c>
      <c r="H186" t="str">
        <f>INDEX(products!$A$1:$G$49,MATCH(orders!$D186,products!$A$1:$A$49,0),MATCH(orders!H$1,products!$A$1:$G$1,0))</f>
        <v>Ara</v>
      </c>
      <c r="I186" t="str">
        <f>INDEX(products!$A$1:$G$49,MATCH(orders!$D186,products!$A$1:$A$49,0),MATCH(orders!I$1,products!$A$1:$G$1,0))</f>
        <v>L</v>
      </c>
      <c r="J186" s="5">
        <f>INDEX(products!$A$1:$G$49,MATCH(orders!$D186,products!$A$1:$A$49,0),MATCH(orders!J$1,products!$A$1:$G$1,0))</f>
        <v>0.5</v>
      </c>
      <c r="K186" s="6">
        <f>INDEX(products!$A$1:$G$49,MATCH(orders!$D186,products!$A$1:$A$49,0),MATCH(orders!K$1,products!$A$1:$G$1,0))</f>
        <v>7.77</v>
      </c>
      <c r="L186" s="6">
        <f>K186*E186</f>
        <v>31.08</v>
      </c>
      <c r="M186" t="str" cm="1">
        <f t="array" ref="M186">_xlfn.IFS(H186="Rob","Robusta",H186="Exc","Excelsa",H186="Ara","Arabica",H186="Lib","Liberica")</f>
        <v>Arabica</v>
      </c>
      <c r="N186" t="str" cm="1">
        <f t="array" ref="N186">_xlfn.IFS(I186="M","Medium",I186="L","Light",I186="D","Dark")</f>
        <v>Light</v>
      </c>
      <c r="O186" t="str">
        <f>_xlfn.XLOOKUP(Orders[[#This Row],[Customer ID]],customers!$A$2:$A$1001,customers!$I$2:$I$1001,,0)</f>
        <v>No</v>
      </c>
    </row>
    <row r="187" spans="1:15" x14ac:dyDescent="0.3">
      <c r="A187" s="2" t="s">
        <v>1532</v>
      </c>
      <c r="B187" s="3">
        <v>43483</v>
      </c>
      <c r="C187" s="2" t="s">
        <v>1533</v>
      </c>
      <c r="D187" t="s">
        <v>6144</v>
      </c>
      <c r="E187" s="2">
        <v>5</v>
      </c>
      <c r="F187" s="2" t="str">
        <f>_xlfn.XLOOKUP(C187,customers!$A$2:$A$1001,customers!$B$2:$B$1001,,0)</f>
        <v>Angie Rizzetti</v>
      </c>
      <c r="G187" s="2" t="str">
        <f>_xlfn.XLOOKUP(C187,customers!$A$2:$A$1001,customers!$G$2:$G$1001,,0)</f>
        <v>United States</v>
      </c>
      <c r="H187" t="str">
        <f>INDEX(products!$A$1:$G$49,MATCH(orders!$D187,products!$A$1:$A$49,0),MATCH(orders!H$1,products!$A$1:$G$1,0))</f>
        <v>Exc</v>
      </c>
      <c r="I187" t="str">
        <f>INDEX(products!$A$1:$G$49,MATCH(orders!$D187,products!$A$1:$A$49,0),MATCH(orders!I$1,products!$A$1:$G$1,0))</f>
        <v>D</v>
      </c>
      <c r="J187" s="5">
        <f>INDEX(products!$A$1:$G$49,MATCH(orders!$D187,products!$A$1:$A$49,0),MATCH(orders!J$1,products!$A$1:$G$1,0))</f>
        <v>0.5</v>
      </c>
      <c r="K187" s="6">
        <f>INDEX(products!$A$1:$G$49,MATCH(orders!$D187,products!$A$1:$A$49,0),MATCH(orders!K$1,products!$A$1:$G$1,0))</f>
        <v>7.29</v>
      </c>
      <c r="L187" s="6">
        <f>K187*E187</f>
        <v>36.450000000000003</v>
      </c>
      <c r="M187" t="str" cm="1">
        <f t="array" ref="M187">_xlfn.IFS(H187="Rob","Robusta",H187="Exc","Excelsa",H187="Ara","Arabica",H187="Lib","Liberica")</f>
        <v>Excelsa</v>
      </c>
      <c r="N187" t="str" cm="1">
        <f t="array" ref="N187">_xlfn.IFS(I187="M","Medium",I187="L","Light",I187="D","Dark")</f>
        <v>Dark</v>
      </c>
      <c r="O187" t="str">
        <f>_xlfn.XLOOKUP(Orders[[#This Row],[Customer ID]],customers!$A$2:$A$1001,customers!$I$2:$I$1001,,0)</f>
        <v>Yes</v>
      </c>
    </row>
    <row r="188" spans="1:15" x14ac:dyDescent="0.3">
      <c r="A188" s="2" t="s">
        <v>1538</v>
      </c>
      <c r="B188" s="3">
        <v>43684</v>
      </c>
      <c r="C188" s="2" t="s">
        <v>1539</v>
      </c>
      <c r="D188" t="s">
        <v>6151</v>
      </c>
      <c r="E188" s="2">
        <v>3</v>
      </c>
      <c r="F188" s="2" t="str">
        <f>_xlfn.XLOOKUP(C188,customers!$A$2:$A$1001,customers!$B$2:$B$1001,,0)</f>
        <v>Mord Meriet</v>
      </c>
      <c r="G188" s="2" t="str">
        <f>_xlfn.XLOOKUP(C188,customers!$A$2:$A$1001,customers!$G$2:$G$1001,,0)</f>
        <v>United States</v>
      </c>
      <c r="H188" t="str">
        <f>INDEX(products!$A$1:$G$49,MATCH(orders!$D188,products!$A$1:$A$49,0),MATCH(orders!H$1,products!$A$1:$G$1,0))</f>
        <v>Rob</v>
      </c>
      <c r="I188" t="str">
        <f>INDEX(products!$A$1:$G$49,MATCH(orders!$D188,products!$A$1:$A$49,0),MATCH(orders!I$1,products!$A$1:$G$1,0))</f>
        <v>M</v>
      </c>
      <c r="J188" s="5">
        <f>INDEX(products!$A$1:$G$49,MATCH(orders!$D188,products!$A$1:$A$49,0),MATCH(orders!J$1,products!$A$1:$G$1,0))</f>
        <v>2.5</v>
      </c>
      <c r="K188" s="6">
        <f>INDEX(products!$A$1:$G$49,MATCH(orders!$D188,products!$A$1:$A$49,0),MATCH(orders!K$1,products!$A$1:$G$1,0))</f>
        <v>22.884999999999998</v>
      </c>
      <c r="L188" s="6">
        <f>K188*E188</f>
        <v>68.655000000000001</v>
      </c>
      <c r="M188" t="str" cm="1">
        <f t="array" ref="M188">_xlfn.IFS(H188="Rob","Robusta",H188="Exc","Excelsa",H188="Ara","Arabica",H188="Lib","Liberica")</f>
        <v>Robusta</v>
      </c>
      <c r="N188" t="str" cm="1">
        <f t="array" ref="N188">_xlfn.IFS(I188="M","Medium",I188="L","Light",I188="D","Dark")</f>
        <v>Medium</v>
      </c>
      <c r="O188" t="str">
        <f>_xlfn.XLOOKUP(Orders[[#This Row],[Customer ID]],customers!$A$2:$A$1001,customers!$I$2:$I$1001,,0)</f>
        <v>No</v>
      </c>
    </row>
    <row r="189" spans="1:15" x14ac:dyDescent="0.3">
      <c r="A189" s="2" t="s">
        <v>1544</v>
      </c>
      <c r="B189" s="3">
        <v>44633</v>
      </c>
      <c r="C189" s="2" t="s">
        <v>1545</v>
      </c>
      <c r="D189" t="s">
        <v>6160</v>
      </c>
      <c r="E189" s="2">
        <v>5</v>
      </c>
      <c r="F189" s="2" t="str">
        <f>_xlfn.XLOOKUP(C189,customers!$A$2:$A$1001,customers!$B$2:$B$1001,,0)</f>
        <v>Lawrence Pratt</v>
      </c>
      <c r="G189" s="2" t="str">
        <f>_xlfn.XLOOKUP(C189,customers!$A$2:$A$1001,customers!$G$2:$G$1001,,0)</f>
        <v>United States</v>
      </c>
      <c r="H189" t="str">
        <f>INDEX(products!$A$1:$G$49,MATCH(orders!$D189,products!$A$1:$A$49,0),MATCH(orders!H$1,products!$A$1:$G$1,0))</f>
        <v>Lib</v>
      </c>
      <c r="I189" t="str">
        <f>INDEX(products!$A$1:$G$49,MATCH(orders!$D189,products!$A$1:$A$49,0),MATCH(orders!I$1,products!$A$1:$G$1,0))</f>
        <v>M</v>
      </c>
      <c r="J189" s="5">
        <f>INDEX(products!$A$1:$G$49,MATCH(orders!$D189,products!$A$1:$A$49,0),MATCH(orders!J$1,products!$A$1:$G$1,0))</f>
        <v>0.5</v>
      </c>
      <c r="K189" s="6">
        <f>INDEX(products!$A$1:$G$49,MATCH(orders!$D189,products!$A$1:$A$49,0),MATCH(orders!K$1,products!$A$1:$G$1,0))</f>
        <v>8.73</v>
      </c>
      <c r="L189" s="6">
        <f>K189*E189</f>
        <v>43.650000000000006</v>
      </c>
      <c r="M189" t="str" cm="1">
        <f t="array" ref="M189">_xlfn.IFS(H189="Rob","Robusta",H189="Exc","Excelsa",H189="Ara","Arabica",H189="Lib","Liberica")</f>
        <v>Liberica</v>
      </c>
      <c r="N189" t="str" cm="1">
        <f t="array" ref="N189">_xlfn.IFS(I189="M","Medium",I189="L","Light",I189="D","Dark")</f>
        <v>Medium</v>
      </c>
      <c r="O189" t="str">
        <f>_xlfn.XLOOKUP(Orders[[#This Row],[Customer ID]],customers!$A$2:$A$1001,customers!$I$2:$I$1001,,0)</f>
        <v>Yes</v>
      </c>
    </row>
    <row r="190" spans="1:15" x14ac:dyDescent="0.3">
      <c r="A190" s="2" t="s">
        <v>1549</v>
      </c>
      <c r="B190" s="3">
        <v>44698</v>
      </c>
      <c r="C190" s="2" t="s">
        <v>1550</v>
      </c>
      <c r="D190" t="s">
        <v>6184</v>
      </c>
      <c r="E190" s="2">
        <v>1</v>
      </c>
      <c r="F190" s="2" t="str">
        <f>_xlfn.XLOOKUP(C190,customers!$A$2:$A$1001,customers!$B$2:$B$1001,,0)</f>
        <v>Astrix Kitchingham</v>
      </c>
      <c r="G190" s="2" t="str">
        <f>_xlfn.XLOOKUP(C190,customers!$A$2:$A$1001,customers!$G$2:$G$1001,,0)</f>
        <v>United States</v>
      </c>
      <c r="H190" t="str">
        <f>INDEX(products!$A$1:$G$49,MATCH(orders!$D190,products!$A$1:$A$49,0),MATCH(orders!H$1,products!$A$1:$G$1,0))</f>
        <v>Exc</v>
      </c>
      <c r="I190" t="str">
        <f>INDEX(products!$A$1:$G$49,MATCH(orders!$D190,products!$A$1:$A$49,0),MATCH(orders!I$1,products!$A$1:$G$1,0))</f>
        <v>L</v>
      </c>
      <c r="J190" s="5">
        <f>INDEX(products!$A$1:$G$49,MATCH(orders!$D190,products!$A$1:$A$49,0),MATCH(orders!J$1,products!$A$1:$G$1,0))</f>
        <v>0.2</v>
      </c>
      <c r="K190" s="6">
        <f>INDEX(products!$A$1:$G$49,MATCH(orders!$D190,products!$A$1:$A$49,0),MATCH(orders!K$1,products!$A$1:$G$1,0))</f>
        <v>4.4550000000000001</v>
      </c>
      <c r="L190" s="6">
        <f>K190*E190</f>
        <v>4.4550000000000001</v>
      </c>
      <c r="M190" t="str" cm="1">
        <f t="array" ref="M190">_xlfn.IFS(H190="Rob","Robusta",H190="Exc","Excelsa",H190="Ara","Arabica",H190="Lib","Liberica")</f>
        <v>Excelsa</v>
      </c>
      <c r="N190" t="str" cm="1">
        <f t="array" ref="N190">_xlfn.IFS(I190="M","Medium",I190="L","Light",I190="D","Dark")</f>
        <v>Light</v>
      </c>
      <c r="O190" t="str">
        <f>_xlfn.XLOOKUP(Orders[[#This Row],[Customer ID]],customers!$A$2:$A$1001,customers!$I$2:$I$1001,,0)</f>
        <v>Yes</v>
      </c>
    </row>
    <row r="191" spans="1:15" x14ac:dyDescent="0.3">
      <c r="A191" s="2" t="s">
        <v>1555</v>
      </c>
      <c r="B191" s="3">
        <v>43813</v>
      </c>
      <c r="C191" s="2" t="s">
        <v>1556</v>
      </c>
      <c r="D191" t="s">
        <v>6162</v>
      </c>
      <c r="E191" s="2">
        <v>3</v>
      </c>
      <c r="F191" s="2" t="str">
        <f>_xlfn.XLOOKUP(C191,customers!$A$2:$A$1001,customers!$B$2:$B$1001,,0)</f>
        <v>Burnard Bartholin</v>
      </c>
      <c r="G191" s="2" t="str">
        <f>_xlfn.XLOOKUP(C191,customers!$A$2:$A$1001,customers!$G$2:$G$1001,,0)</f>
        <v>United States</v>
      </c>
      <c r="H191" t="str">
        <f>INDEX(products!$A$1:$G$49,MATCH(orders!$D191,products!$A$1:$A$49,0),MATCH(orders!H$1,products!$A$1:$G$1,0))</f>
        <v>Lib</v>
      </c>
      <c r="I191" t="str">
        <f>INDEX(products!$A$1:$G$49,MATCH(orders!$D191,products!$A$1:$A$49,0),MATCH(orders!I$1,products!$A$1:$G$1,0))</f>
        <v>M</v>
      </c>
      <c r="J191" s="5">
        <f>INDEX(products!$A$1:$G$49,MATCH(orders!$D191,products!$A$1:$A$49,0),MATCH(orders!J$1,products!$A$1:$G$1,0))</f>
        <v>1</v>
      </c>
      <c r="K191" s="6">
        <f>INDEX(products!$A$1:$G$49,MATCH(orders!$D191,products!$A$1:$A$49,0),MATCH(orders!K$1,products!$A$1:$G$1,0))</f>
        <v>14.55</v>
      </c>
      <c r="L191" s="6">
        <f>K191*E191</f>
        <v>43.650000000000006</v>
      </c>
      <c r="M191" t="str" cm="1">
        <f t="array" ref="M191">_xlfn.IFS(H191="Rob","Robusta",H191="Exc","Excelsa",H191="Ara","Arabica",H191="Lib","Liberica")</f>
        <v>Liberica</v>
      </c>
      <c r="N191" t="str" cm="1">
        <f t="array" ref="N191">_xlfn.IFS(I191="M","Medium",I191="L","Light",I191="D","Dark")</f>
        <v>Medium</v>
      </c>
      <c r="O191" t="str">
        <f>_xlfn.XLOOKUP(Orders[[#This Row],[Customer ID]],customers!$A$2:$A$1001,customers!$I$2:$I$1001,,0)</f>
        <v>Yes</v>
      </c>
    </row>
    <row r="192" spans="1:15" x14ac:dyDescent="0.3">
      <c r="A192" s="2" t="s">
        <v>1561</v>
      </c>
      <c r="B192" s="3">
        <v>43845</v>
      </c>
      <c r="C192" s="2" t="s">
        <v>1562</v>
      </c>
      <c r="D192" t="s">
        <v>6181</v>
      </c>
      <c r="E192" s="2">
        <v>1</v>
      </c>
      <c r="F192" s="2" t="str">
        <f>_xlfn.XLOOKUP(C192,customers!$A$2:$A$1001,customers!$B$2:$B$1001,,0)</f>
        <v>Madelene Prinn</v>
      </c>
      <c r="G192" s="2" t="str">
        <f>_xlfn.XLOOKUP(C192,customers!$A$2:$A$1001,customers!$G$2:$G$1001,,0)</f>
        <v>United States</v>
      </c>
      <c r="H192" t="str">
        <f>INDEX(products!$A$1:$G$49,MATCH(orders!$D192,products!$A$1:$A$49,0),MATCH(orders!H$1,products!$A$1:$G$1,0))</f>
        <v>Lib</v>
      </c>
      <c r="I192" t="str">
        <f>INDEX(products!$A$1:$G$49,MATCH(orders!$D192,products!$A$1:$A$49,0),MATCH(orders!I$1,products!$A$1:$G$1,0))</f>
        <v>M</v>
      </c>
      <c r="J192" s="5">
        <f>INDEX(products!$A$1:$G$49,MATCH(orders!$D192,products!$A$1:$A$49,0),MATCH(orders!J$1,products!$A$1:$G$1,0))</f>
        <v>2.5</v>
      </c>
      <c r="K192" s="6">
        <f>INDEX(products!$A$1:$G$49,MATCH(orders!$D192,products!$A$1:$A$49,0),MATCH(orders!K$1,products!$A$1:$G$1,0))</f>
        <v>33.464999999999996</v>
      </c>
      <c r="L192" s="6">
        <f>K192*E192</f>
        <v>33.464999999999996</v>
      </c>
      <c r="M192" t="str" cm="1">
        <f t="array" ref="M192">_xlfn.IFS(H192="Rob","Robusta",H192="Exc","Excelsa",H192="Ara","Arabica",H192="Lib","Liberica")</f>
        <v>Liberica</v>
      </c>
      <c r="N192" t="str" cm="1">
        <f t="array" ref="N192">_xlfn.IFS(I192="M","Medium",I192="L","Light",I192="D","Dark")</f>
        <v>Medium</v>
      </c>
      <c r="O192" t="str">
        <f>_xlfn.XLOOKUP(Orders[[#This Row],[Customer ID]],customers!$A$2:$A$1001,customers!$I$2:$I$1001,,0)</f>
        <v>Yes</v>
      </c>
    </row>
    <row r="193" spans="1:15" x14ac:dyDescent="0.3">
      <c r="A193" s="2" t="s">
        <v>1567</v>
      </c>
      <c r="B193" s="3">
        <v>43567</v>
      </c>
      <c r="C193" s="2" t="s">
        <v>1568</v>
      </c>
      <c r="D193" t="s">
        <v>6150</v>
      </c>
      <c r="E193" s="2">
        <v>5</v>
      </c>
      <c r="F193" s="2" t="str">
        <f>_xlfn.XLOOKUP(C193,customers!$A$2:$A$1001,customers!$B$2:$B$1001,,0)</f>
        <v>Alisun Baudino</v>
      </c>
      <c r="G193" s="2" t="str">
        <f>_xlfn.XLOOKUP(C193,customers!$A$2:$A$1001,customers!$G$2:$G$1001,,0)</f>
        <v>United States</v>
      </c>
      <c r="H193" t="str">
        <f>INDEX(products!$A$1:$G$49,MATCH(orders!$D193,products!$A$1:$A$49,0),MATCH(orders!H$1,products!$A$1:$G$1,0))</f>
        <v>Lib</v>
      </c>
      <c r="I193" t="str">
        <f>INDEX(products!$A$1:$G$49,MATCH(orders!$D193,products!$A$1:$A$49,0),MATCH(orders!I$1,products!$A$1:$G$1,0))</f>
        <v>D</v>
      </c>
      <c r="J193" s="5">
        <f>INDEX(products!$A$1:$G$49,MATCH(orders!$D193,products!$A$1:$A$49,0),MATCH(orders!J$1,products!$A$1:$G$1,0))</f>
        <v>0.2</v>
      </c>
      <c r="K193" s="6">
        <f>INDEX(products!$A$1:$G$49,MATCH(orders!$D193,products!$A$1:$A$49,0),MATCH(orders!K$1,products!$A$1:$G$1,0))</f>
        <v>3.8849999999999998</v>
      </c>
      <c r="L193" s="6">
        <f>K193*E193</f>
        <v>19.424999999999997</v>
      </c>
      <c r="M193" t="str" cm="1">
        <f t="array" ref="M193">_xlfn.IFS(H193="Rob","Robusta",H193="Exc","Excelsa",H193="Ara","Arabica",H193="Lib","Liberica")</f>
        <v>Liberica</v>
      </c>
      <c r="N193" t="str" cm="1">
        <f t="array" ref="N193">_xlfn.IFS(I193="M","Medium",I193="L","Light",I193="D","Dark")</f>
        <v>Dark</v>
      </c>
      <c r="O193" t="str">
        <f>_xlfn.XLOOKUP(Orders[[#This Row],[Customer ID]],customers!$A$2:$A$1001,customers!$I$2:$I$1001,,0)</f>
        <v>Yes</v>
      </c>
    </row>
    <row r="194" spans="1:15" x14ac:dyDescent="0.3">
      <c r="A194" s="2" t="s">
        <v>1573</v>
      </c>
      <c r="B194" s="3">
        <v>43919</v>
      </c>
      <c r="C194" s="2" t="s">
        <v>1574</v>
      </c>
      <c r="D194" t="s">
        <v>6183</v>
      </c>
      <c r="E194" s="2">
        <v>6</v>
      </c>
      <c r="F194" s="2" t="str">
        <f>_xlfn.XLOOKUP(C194,customers!$A$2:$A$1001,customers!$B$2:$B$1001,,0)</f>
        <v>Philipa Petrushanko</v>
      </c>
      <c r="G194" s="2" t="str">
        <f>_xlfn.XLOOKUP(C194,customers!$A$2:$A$1001,customers!$G$2:$G$1001,,0)</f>
        <v>Ireland</v>
      </c>
      <c r="H194" t="str">
        <f>INDEX(products!$A$1:$G$49,MATCH(orders!$D194,products!$A$1:$A$49,0),MATCH(orders!H$1,products!$A$1:$G$1,0))</f>
        <v>Exc</v>
      </c>
      <c r="I194" t="str">
        <f>INDEX(products!$A$1:$G$49,MATCH(orders!$D194,products!$A$1:$A$49,0),MATCH(orders!I$1,products!$A$1:$G$1,0))</f>
        <v>D</v>
      </c>
      <c r="J194" s="5">
        <f>INDEX(products!$A$1:$G$49,MATCH(orders!$D194,products!$A$1:$A$49,0),MATCH(orders!J$1,products!$A$1:$G$1,0))</f>
        <v>1</v>
      </c>
      <c r="K194" s="6">
        <f>INDEX(products!$A$1:$G$49,MATCH(orders!$D194,products!$A$1:$A$49,0),MATCH(orders!K$1,products!$A$1:$G$1,0))</f>
        <v>12.15</v>
      </c>
      <c r="L194" s="6">
        <f>K194*E194</f>
        <v>72.900000000000006</v>
      </c>
      <c r="M194" t="str" cm="1">
        <f t="array" ref="M194">_xlfn.IFS(H194="Rob","Robusta",H194="Exc","Excelsa",H194="Ara","Arabica",H194="Lib","Liberica")</f>
        <v>Excelsa</v>
      </c>
      <c r="N194" t="str" cm="1">
        <f t="array" ref="N194">_xlfn.IFS(I194="M","Medium",I194="L","Light",I194="D","Dark")</f>
        <v>Dark</v>
      </c>
      <c r="O194" t="str">
        <f>_xlfn.XLOOKUP(Orders[[#This Row],[Customer ID]],customers!$A$2:$A$1001,customers!$I$2:$I$1001,,0)</f>
        <v>Yes</v>
      </c>
    </row>
    <row r="195" spans="1:15" x14ac:dyDescent="0.3">
      <c r="A195" s="2" t="s">
        <v>1579</v>
      </c>
      <c r="B195" s="3">
        <v>44644</v>
      </c>
      <c r="C195" s="2" t="s">
        <v>1580</v>
      </c>
      <c r="D195" t="s">
        <v>6171</v>
      </c>
      <c r="E195" s="2">
        <v>3</v>
      </c>
      <c r="F195" s="2" t="str">
        <f>_xlfn.XLOOKUP(C195,customers!$A$2:$A$1001,customers!$B$2:$B$1001,,0)</f>
        <v>Kimberli Mustchin</v>
      </c>
      <c r="G195" s="2" t="str">
        <f>_xlfn.XLOOKUP(C195,customers!$A$2:$A$1001,customers!$G$2:$G$1001,,0)</f>
        <v>United States</v>
      </c>
      <c r="H195" t="str">
        <f>INDEX(products!$A$1:$G$49,MATCH(orders!$D195,products!$A$1:$A$49,0),MATCH(orders!H$1,products!$A$1:$G$1,0))</f>
        <v>Exc</v>
      </c>
      <c r="I195" t="str">
        <f>INDEX(products!$A$1:$G$49,MATCH(orders!$D195,products!$A$1:$A$49,0),MATCH(orders!I$1,products!$A$1:$G$1,0))</f>
        <v>L</v>
      </c>
      <c r="J195" s="5">
        <f>INDEX(products!$A$1:$G$49,MATCH(orders!$D195,products!$A$1:$A$49,0),MATCH(orders!J$1,products!$A$1:$G$1,0))</f>
        <v>1</v>
      </c>
      <c r="K195" s="6">
        <f>INDEX(products!$A$1:$G$49,MATCH(orders!$D195,products!$A$1:$A$49,0),MATCH(orders!K$1,products!$A$1:$G$1,0))</f>
        <v>14.85</v>
      </c>
      <c r="L195" s="6">
        <f>K195*E195</f>
        <v>44.55</v>
      </c>
      <c r="M195" t="str" cm="1">
        <f t="array" ref="M195">_xlfn.IFS(H195="Rob","Robusta",H195="Exc","Excelsa",H195="Ara","Arabica",H195="Lib","Liberica")</f>
        <v>Excelsa</v>
      </c>
      <c r="N195" t="str" cm="1">
        <f t="array" ref="N195">_xlfn.IFS(I195="M","Medium",I195="L","Light",I195="D","Dark")</f>
        <v>Light</v>
      </c>
      <c r="O195" t="str">
        <f>_xlfn.XLOOKUP(Orders[[#This Row],[Customer ID]],customers!$A$2:$A$1001,customers!$I$2:$I$1001,,0)</f>
        <v>No</v>
      </c>
    </row>
    <row r="196" spans="1:15" x14ac:dyDescent="0.3">
      <c r="A196" s="2" t="s">
        <v>1584</v>
      </c>
      <c r="B196" s="3">
        <v>44398</v>
      </c>
      <c r="C196" s="2" t="s">
        <v>1585</v>
      </c>
      <c r="D196" t="s">
        <v>6144</v>
      </c>
      <c r="E196" s="2">
        <v>5</v>
      </c>
      <c r="F196" s="2" t="str">
        <f>_xlfn.XLOOKUP(C196,customers!$A$2:$A$1001,customers!$B$2:$B$1001,,0)</f>
        <v>Emlynne Laird</v>
      </c>
      <c r="G196" s="2" t="str">
        <f>_xlfn.XLOOKUP(C196,customers!$A$2:$A$1001,customers!$G$2:$G$1001,,0)</f>
        <v>United States</v>
      </c>
      <c r="H196" t="str">
        <f>INDEX(products!$A$1:$G$49,MATCH(orders!$D196,products!$A$1:$A$49,0),MATCH(orders!H$1,products!$A$1:$G$1,0))</f>
        <v>Exc</v>
      </c>
      <c r="I196" t="str">
        <f>INDEX(products!$A$1:$G$49,MATCH(orders!$D196,products!$A$1:$A$49,0),MATCH(orders!I$1,products!$A$1:$G$1,0))</f>
        <v>D</v>
      </c>
      <c r="J196" s="5">
        <f>INDEX(products!$A$1:$G$49,MATCH(orders!$D196,products!$A$1:$A$49,0),MATCH(orders!J$1,products!$A$1:$G$1,0))</f>
        <v>0.5</v>
      </c>
      <c r="K196" s="6">
        <f>INDEX(products!$A$1:$G$49,MATCH(orders!$D196,products!$A$1:$A$49,0),MATCH(orders!K$1,products!$A$1:$G$1,0))</f>
        <v>7.29</v>
      </c>
      <c r="L196" s="6">
        <f>K196*E196</f>
        <v>36.450000000000003</v>
      </c>
      <c r="M196" t="str" cm="1">
        <f t="array" ref="M196">_xlfn.IFS(H196="Rob","Robusta",H196="Exc","Excelsa",H196="Ara","Arabica",H196="Lib","Liberica")</f>
        <v>Excelsa</v>
      </c>
      <c r="N196" t="str" cm="1">
        <f t="array" ref="N196">_xlfn.IFS(I196="M","Medium",I196="L","Light",I196="D","Dark")</f>
        <v>Dark</v>
      </c>
      <c r="O196" t="str">
        <f>_xlfn.XLOOKUP(Orders[[#This Row],[Customer ID]],customers!$A$2:$A$1001,customers!$I$2:$I$1001,,0)</f>
        <v>No</v>
      </c>
    </row>
    <row r="197" spans="1:15" x14ac:dyDescent="0.3">
      <c r="A197" s="2" t="s">
        <v>1590</v>
      </c>
      <c r="B197" s="3">
        <v>43683</v>
      </c>
      <c r="C197" s="2" t="s">
        <v>1591</v>
      </c>
      <c r="D197" t="s">
        <v>6140</v>
      </c>
      <c r="E197" s="2">
        <v>3</v>
      </c>
      <c r="F197" s="2" t="str">
        <f>_xlfn.XLOOKUP(C197,customers!$A$2:$A$1001,customers!$B$2:$B$1001,,0)</f>
        <v>Marlena Howsden</v>
      </c>
      <c r="G197" s="2" t="str">
        <f>_xlfn.XLOOKUP(C197,customers!$A$2:$A$1001,customers!$G$2:$G$1001,,0)</f>
        <v>United States</v>
      </c>
      <c r="H197" t="str">
        <f>INDEX(products!$A$1:$G$49,MATCH(orders!$D197,products!$A$1:$A$49,0),MATCH(orders!H$1,products!$A$1:$G$1,0))</f>
        <v>Ara</v>
      </c>
      <c r="I197" t="str">
        <f>INDEX(products!$A$1:$G$49,MATCH(orders!$D197,products!$A$1:$A$49,0),MATCH(orders!I$1,products!$A$1:$G$1,0))</f>
        <v>L</v>
      </c>
      <c r="J197" s="5">
        <f>INDEX(products!$A$1:$G$49,MATCH(orders!$D197,products!$A$1:$A$49,0),MATCH(orders!J$1,products!$A$1:$G$1,0))</f>
        <v>1</v>
      </c>
      <c r="K197" s="6">
        <f>INDEX(products!$A$1:$G$49,MATCH(orders!$D197,products!$A$1:$A$49,0),MATCH(orders!K$1,products!$A$1:$G$1,0))</f>
        <v>12.95</v>
      </c>
      <c r="L197" s="6">
        <f>K197*E197</f>
        <v>38.849999999999994</v>
      </c>
      <c r="M197" t="str" cm="1">
        <f t="array" ref="M197">_xlfn.IFS(H197="Rob","Robusta",H197="Exc","Excelsa",H197="Ara","Arabica",H197="Lib","Liberica")</f>
        <v>Arabica</v>
      </c>
      <c r="N197" t="str" cm="1">
        <f t="array" ref="N197">_xlfn.IFS(I197="M","Medium",I197="L","Light",I197="D","Dark")</f>
        <v>Light</v>
      </c>
      <c r="O197" t="str">
        <f>_xlfn.XLOOKUP(Orders[[#This Row],[Customer ID]],customers!$A$2:$A$1001,customers!$I$2:$I$1001,,0)</f>
        <v>No</v>
      </c>
    </row>
    <row r="198" spans="1:15" x14ac:dyDescent="0.3">
      <c r="A198" s="2" t="s">
        <v>1596</v>
      </c>
      <c r="B198" s="3">
        <v>44339</v>
      </c>
      <c r="C198" s="2" t="s">
        <v>1597</v>
      </c>
      <c r="D198" t="s">
        <v>6176</v>
      </c>
      <c r="E198" s="2">
        <v>6</v>
      </c>
      <c r="F198" s="2" t="str">
        <f>_xlfn.XLOOKUP(C198,customers!$A$2:$A$1001,customers!$B$2:$B$1001,,0)</f>
        <v>Nealson Cuttler</v>
      </c>
      <c r="G198" s="2" t="str">
        <f>_xlfn.XLOOKUP(C198,customers!$A$2:$A$1001,customers!$G$2:$G$1001,,0)</f>
        <v>United States</v>
      </c>
      <c r="H198" t="str">
        <f>INDEX(products!$A$1:$G$49,MATCH(orders!$D198,products!$A$1:$A$49,0),MATCH(orders!H$1,products!$A$1:$G$1,0))</f>
        <v>Exc</v>
      </c>
      <c r="I198" t="str">
        <f>INDEX(products!$A$1:$G$49,MATCH(orders!$D198,products!$A$1:$A$49,0),MATCH(orders!I$1,products!$A$1:$G$1,0))</f>
        <v>L</v>
      </c>
      <c r="J198" s="5">
        <f>INDEX(products!$A$1:$G$49,MATCH(orders!$D198,products!$A$1:$A$49,0),MATCH(orders!J$1,products!$A$1:$G$1,0))</f>
        <v>0.5</v>
      </c>
      <c r="K198" s="6">
        <f>INDEX(products!$A$1:$G$49,MATCH(orders!$D198,products!$A$1:$A$49,0),MATCH(orders!K$1,products!$A$1:$G$1,0))</f>
        <v>8.91</v>
      </c>
      <c r="L198" s="6">
        <f>K198*E198</f>
        <v>53.46</v>
      </c>
      <c r="M198" t="str" cm="1">
        <f t="array" ref="M198">_xlfn.IFS(H198="Rob","Robusta",H198="Exc","Excelsa",H198="Ara","Arabica",H198="Lib","Liberica")</f>
        <v>Excelsa</v>
      </c>
      <c r="N198" t="str" cm="1">
        <f t="array" ref="N198">_xlfn.IFS(I198="M","Medium",I198="L","Light",I198="D","Dark")</f>
        <v>Light</v>
      </c>
      <c r="O198" t="str">
        <f>_xlfn.XLOOKUP(Orders[[#This Row],[Customer ID]],customers!$A$2:$A$1001,customers!$I$2:$I$1001,,0)</f>
        <v>No</v>
      </c>
    </row>
    <row r="199" spans="1:15" x14ac:dyDescent="0.3">
      <c r="A199" s="2" t="s">
        <v>1596</v>
      </c>
      <c r="B199" s="3">
        <v>44339</v>
      </c>
      <c r="C199" s="2" t="s">
        <v>1597</v>
      </c>
      <c r="D199" t="s">
        <v>6165</v>
      </c>
      <c r="E199" s="2">
        <v>2</v>
      </c>
      <c r="F199" s="2" t="str">
        <f>_xlfn.XLOOKUP(C199,customers!$A$2:$A$1001,customers!$B$2:$B$1001,,0)</f>
        <v>Nealson Cuttler</v>
      </c>
      <c r="G199" s="2" t="str">
        <f>_xlfn.XLOOKUP(C199,customers!$A$2:$A$1001,customers!$G$2:$G$1001,,0)</f>
        <v>United States</v>
      </c>
      <c r="H199" t="str">
        <f>INDEX(products!$A$1:$G$49,MATCH(orders!$D199,products!$A$1:$A$49,0),MATCH(orders!H$1,products!$A$1:$G$1,0))</f>
        <v>Lib</v>
      </c>
      <c r="I199" t="str">
        <f>INDEX(products!$A$1:$G$49,MATCH(orders!$D199,products!$A$1:$A$49,0),MATCH(orders!I$1,products!$A$1:$G$1,0))</f>
        <v>D</v>
      </c>
      <c r="J199" s="5">
        <f>INDEX(products!$A$1:$G$49,MATCH(orders!$D199,products!$A$1:$A$49,0),MATCH(orders!J$1,products!$A$1:$G$1,0))</f>
        <v>2.5</v>
      </c>
      <c r="K199" s="6">
        <f>INDEX(products!$A$1:$G$49,MATCH(orders!$D199,products!$A$1:$A$49,0),MATCH(orders!K$1,products!$A$1:$G$1,0))</f>
        <v>29.784999999999997</v>
      </c>
      <c r="L199" s="6">
        <f>K199*E199</f>
        <v>59.569999999999993</v>
      </c>
      <c r="M199" t="str" cm="1">
        <f t="array" ref="M199">_xlfn.IFS(H199="Rob","Robusta",H199="Exc","Excelsa",H199="Ara","Arabica",H199="Lib","Liberica")</f>
        <v>Liberica</v>
      </c>
      <c r="N199" t="str" cm="1">
        <f t="array" ref="N199">_xlfn.IFS(I199="M","Medium",I199="L","Light",I199="D","Dark")</f>
        <v>Dark</v>
      </c>
      <c r="O199" t="str">
        <f>_xlfn.XLOOKUP(Orders[[#This Row],[Customer ID]],customers!$A$2:$A$1001,customers!$I$2:$I$1001,,0)</f>
        <v>No</v>
      </c>
    </row>
    <row r="200" spans="1:15" x14ac:dyDescent="0.3">
      <c r="A200" s="2" t="s">
        <v>1596</v>
      </c>
      <c r="B200" s="3">
        <v>44339</v>
      </c>
      <c r="C200" s="2" t="s">
        <v>1597</v>
      </c>
      <c r="D200" t="s">
        <v>6165</v>
      </c>
      <c r="E200" s="2">
        <v>3</v>
      </c>
      <c r="F200" s="2" t="str">
        <f>_xlfn.XLOOKUP(C200,customers!$A$2:$A$1001,customers!$B$2:$B$1001,,0)</f>
        <v>Nealson Cuttler</v>
      </c>
      <c r="G200" s="2" t="str">
        <f>_xlfn.XLOOKUP(C200,customers!$A$2:$A$1001,customers!$G$2:$G$1001,,0)</f>
        <v>United States</v>
      </c>
      <c r="H200" t="str">
        <f>INDEX(products!$A$1:$G$49,MATCH(orders!$D200,products!$A$1:$A$49,0),MATCH(orders!H$1,products!$A$1:$G$1,0))</f>
        <v>Lib</v>
      </c>
      <c r="I200" t="str">
        <f>INDEX(products!$A$1:$G$49,MATCH(orders!$D200,products!$A$1:$A$49,0),MATCH(orders!I$1,products!$A$1:$G$1,0))</f>
        <v>D</v>
      </c>
      <c r="J200" s="5">
        <f>INDEX(products!$A$1:$G$49,MATCH(orders!$D200,products!$A$1:$A$49,0),MATCH(orders!J$1,products!$A$1:$G$1,0))</f>
        <v>2.5</v>
      </c>
      <c r="K200" s="6">
        <f>INDEX(products!$A$1:$G$49,MATCH(orders!$D200,products!$A$1:$A$49,0),MATCH(orders!K$1,products!$A$1:$G$1,0))</f>
        <v>29.784999999999997</v>
      </c>
      <c r="L200" s="6">
        <f>K200*E200</f>
        <v>89.35499999999999</v>
      </c>
      <c r="M200" t="str" cm="1">
        <f t="array" ref="M200">_xlfn.IFS(H200="Rob","Robusta",H200="Exc","Excelsa",H200="Ara","Arabica",H200="Lib","Liberica")</f>
        <v>Liberica</v>
      </c>
      <c r="N200" t="str" cm="1">
        <f t="array" ref="N200">_xlfn.IFS(I200="M","Medium",I200="L","Light",I200="D","Dark")</f>
        <v>Dark</v>
      </c>
      <c r="O200" t="str">
        <f>_xlfn.XLOOKUP(Orders[[#This Row],[Customer ID]],customers!$A$2:$A$1001,customers!$I$2:$I$1001,,0)</f>
        <v>No</v>
      </c>
    </row>
    <row r="201" spans="1:15" x14ac:dyDescent="0.3">
      <c r="A201" s="2" t="s">
        <v>1596</v>
      </c>
      <c r="B201" s="3">
        <v>44339</v>
      </c>
      <c r="C201" s="2" t="s">
        <v>1597</v>
      </c>
      <c r="D201" t="s">
        <v>6161</v>
      </c>
      <c r="E201" s="2">
        <v>4</v>
      </c>
      <c r="F201" s="2" t="str">
        <f>_xlfn.XLOOKUP(C201,customers!$A$2:$A$1001,customers!$B$2:$B$1001,,0)</f>
        <v>Nealson Cuttler</v>
      </c>
      <c r="G201" s="2" t="str">
        <f>_xlfn.XLOOKUP(C201,customers!$A$2:$A$1001,customers!$G$2:$G$1001,,0)</f>
        <v>United States</v>
      </c>
      <c r="H201" t="str">
        <f>INDEX(products!$A$1:$G$49,MATCH(orders!$D201,products!$A$1:$A$49,0),MATCH(orders!H$1,products!$A$1:$G$1,0))</f>
        <v>Lib</v>
      </c>
      <c r="I201" t="str">
        <f>INDEX(products!$A$1:$G$49,MATCH(orders!$D201,products!$A$1:$A$49,0),MATCH(orders!I$1,products!$A$1:$G$1,0))</f>
        <v>L</v>
      </c>
      <c r="J201" s="5">
        <f>INDEX(products!$A$1:$G$49,MATCH(orders!$D201,products!$A$1:$A$49,0),MATCH(orders!J$1,products!$A$1:$G$1,0))</f>
        <v>0.5</v>
      </c>
      <c r="K201" s="6">
        <f>INDEX(products!$A$1:$G$49,MATCH(orders!$D201,products!$A$1:$A$49,0),MATCH(orders!K$1,products!$A$1:$G$1,0))</f>
        <v>9.51</v>
      </c>
      <c r="L201" s="6">
        <f>K201*E201</f>
        <v>38.04</v>
      </c>
      <c r="M201" t="str" cm="1">
        <f t="array" ref="M201">_xlfn.IFS(H201="Rob","Robusta",H201="Exc","Excelsa",H201="Ara","Arabica",H201="Lib","Liberica")</f>
        <v>Liberica</v>
      </c>
      <c r="N201" t="str" cm="1">
        <f t="array" ref="N201">_xlfn.IFS(I201="M","Medium",I201="L","Light",I201="D","Dark")</f>
        <v>Light</v>
      </c>
      <c r="O201" t="str">
        <f>_xlfn.XLOOKUP(Orders[[#This Row],[Customer ID]],customers!$A$2:$A$1001,customers!$I$2:$I$1001,,0)</f>
        <v>No</v>
      </c>
    </row>
    <row r="202" spans="1:15" x14ac:dyDescent="0.3">
      <c r="A202" s="2" t="s">
        <v>1596</v>
      </c>
      <c r="B202" s="3">
        <v>44339</v>
      </c>
      <c r="C202" s="2" t="s">
        <v>1597</v>
      </c>
      <c r="D202" t="s">
        <v>6141</v>
      </c>
      <c r="E202" s="2">
        <v>3</v>
      </c>
      <c r="F202" s="2" t="str">
        <f>_xlfn.XLOOKUP(C202,customers!$A$2:$A$1001,customers!$B$2:$B$1001,,0)</f>
        <v>Nealson Cuttler</v>
      </c>
      <c r="G202" s="2" t="str">
        <f>_xlfn.XLOOKUP(C202,customers!$A$2:$A$1001,customers!$G$2:$G$1001,,0)</f>
        <v>United States</v>
      </c>
      <c r="H202" t="str">
        <f>INDEX(products!$A$1:$G$49,MATCH(orders!$D202,products!$A$1:$A$49,0),MATCH(orders!H$1,products!$A$1:$G$1,0))</f>
        <v>Exc</v>
      </c>
      <c r="I202" t="str">
        <f>INDEX(products!$A$1:$G$49,MATCH(orders!$D202,products!$A$1:$A$49,0),MATCH(orders!I$1,products!$A$1:$G$1,0))</f>
        <v>M</v>
      </c>
      <c r="J202" s="5">
        <f>INDEX(products!$A$1:$G$49,MATCH(orders!$D202,products!$A$1:$A$49,0),MATCH(orders!J$1,products!$A$1:$G$1,0))</f>
        <v>1</v>
      </c>
      <c r="K202" s="6">
        <f>INDEX(products!$A$1:$G$49,MATCH(orders!$D202,products!$A$1:$A$49,0),MATCH(orders!K$1,products!$A$1:$G$1,0))</f>
        <v>13.75</v>
      </c>
      <c r="L202" s="6">
        <f>K202*E202</f>
        <v>41.25</v>
      </c>
      <c r="M202" t="str" cm="1">
        <f t="array" ref="M202">_xlfn.IFS(H202="Rob","Robusta",H202="Exc","Excelsa",H202="Ara","Arabica",H202="Lib","Liberica")</f>
        <v>Excelsa</v>
      </c>
      <c r="N202" t="str" cm="1">
        <f t="array" ref="N202">_xlfn.IFS(I202="M","Medium",I202="L","Light",I202="D","Dark")</f>
        <v>Medium</v>
      </c>
      <c r="O202" t="str">
        <f>_xlfn.XLOOKUP(Orders[[#This Row],[Customer ID]],customers!$A$2:$A$1001,customers!$I$2:$I$1001,,0)</f>
        <v>No</v>
      </c>
    </row>
    <row r="203" spans="1:15" x14ac:dyDescent="0.3">
      <c r="A203" s="2" t="s">
        <v>1621</v>
      </c>
      <c r="B203" s="3">
        <v>44294</v>
      </c>
      <c r="C203" s="2" t="s">
        <v>1622</v>
      </c>
      <c r="D203" t="s">
        <v>6161</v>
      </c>
      <c r="E203" s="2">
        <v>6</v>
      </c>
      <c r="F203" s="2" t="str">
        <f>_xlfn.XLOOKUP(C203,customers!$A$2:$A$1001,customers!$B$2:$B$1001,,0)</f>
        <v>Adriana Lazarus</v>
      </c>
      <c r="G203" s="2" t="str">
        <f>_xlfn.XLOOKUP(C203,customers!$A$2:$A$1001,customers!$G$2:$G$1001,,0)</f>
        <v>United States</v>
      </c>
      <c r="H203" t="str">
        <f>INDEX(products!$A$1:$G$49,MATCH(orders!$D203,products!$A$1:$A$49,0),MATCH(orders!H$1,products!$A$1:$G$1,0))</f>
        <v>Lib</v>
      </c>
      <c r="I203" t="str">
        <f>INDEX(products!$A$1:$G$49,MATCH(orders!$D203,products!$A$1:$A$49,0),MATCH(orders!I$1,products!$A$1:$G$1,0))</f>
        <v>L</v>
      </c>
      <c r="J203" s="5">
        <f>INDEX(products!$A$1:$G$49,MATCH(orders!$D203,products!$A$1:$A$49,0),MATCH(orders!J$1,products!$A$1:$G$1,0))</f>
        <v>0.5</v>
      </c>
      <c r="K203" s="6">
        <f>INDEX(products!$A$1:$G$49,MATCH(orders!$D203,products!$A$1:$A$49,0),MATCH(orders!K$1,products!$A$1:$G$1,0))</f>
        <v>9.51</v>
      </c>
      <c r="L203" s="6">
        <f>K203*E203</f>
        <v>57.06</v>
      </c>
      <c r="M203" t="str" cm="1">
        <f t="array" ref="M203">_xlfn.IFS(H203="Rob","Robusta",H203="Exc","Excelsa",H203="Ara","Arabica",H203="Lib","Liberica")</f>
        <v>Liberica</v>
      </c>
      <c r="N203" t="str" cm="1">
        <f t="array" ref="N203">_xlfn.IFS(I203="M","Medium",I203="L","Light",I203="D","Dark")</f>
        <v>Light</v>
      </c>
      <c r="O203" t="str">
        <f>_xlfn.XLOOKUP(Orders[[#This Row],[Customer ID]],customers!$A$2:$A$1001,customers!$I$2:$I$1001,,0)</f>
        <v>No</v>
      </c>
    </row>
    <row r="204" spans="1:15" x14ac:dyDescent="0.3">
      <c r="A204" s="2" t="s">
        <v>1626</v>
      </c>
      <c r="B204" s="3">
        <v>44486</v>
      </c>
      <c r="C204" s="2" t="s">
        <v>1627</v>
      </c>
      <c r="D204" t="s">
        <v>6165</v>
      </c>
      <c r="E204" s="2">
        <v>6</v>
      </c>
      <c r="F204" s="2" t="str">
        <f>_xlfn.XLOOKUP(C204,customers!$A$2:$A$1001,customers!$B$2:$B$1001,,0)</f>
        <v>Tallie felip</v>
      </c>
      <c r="G204" s="2" t="str">
        <f>_xlfn.XLOOKUP(C204,customers!$A$2:$A$1001,customers!$G$2:$G$1001,,0)</f>
        <v>United States</v>
      </c>
      <c r="H204" t="str">
        <f>INDEX(products!$A$1:$G$49,MATCH(orders!$D204,products!$A$1:$A$49,0),MATCH(orders!H$1,products!$A$1:$G$1,0))</f>
        <v>Lib</v>
      </c>
      <c r="I204" t="str">
        <f>INDEX(products!$A$1:$G$49,MATCH(orders!$D204,products!$A$1:$A$49,0),MATCH(orders!I$1,products!$A$1:$G$1,0))</f>
        <v>D</v>
      </c>
      <c r="J204" s="5">
        <f>INDEX(products!$A$1:$G$49,MATCH(orders!$D204,products!$A$1:$A$49,0),MATCH(orders!J$1,products!$A$1:$G$1,0))</f>
        <v>2.5</v>
      </c>
      <c r="K204" s="6">
        <f>INDEX(products!$A$1:$G$49,MATCH(orders!$D204,products!$A$1:$A$49,0),MATCH(orders!K$1,products!$A$1:$G$1,0))</f>
        <v>29.784999999999997</v>
      </c>
      <c r="L204" s="6">
        <f>K204*E204</f>
        <v>178.70999999999998</v>
      </c>
      <c r="M204" t="str" cm="1">
        <f t="array" ref="M204">_xlfn.IFS(H204="Rob","Robusta",H204="Exc","Excelsa",H204="Ara","Arabica",H204="Lib","Liberica")</f>
        <v>Liberica</v>
      </c>
      <c r="N204" t="str" cm="1">
        <f t="array" ref="N204">_xlfn.IFS(I204="M","Medium",I204="L","Light",I204="D","Dark")</f>
        <v>Dark</v>
      </c>
      <c r="O204" t="str">
        <f>_xlfn.XLOOKUP(Orders[[#This Row],[Customer ID]],customers!$A$2:$A$1001,customers!$I$2:$I$1001,,0)</f>
        <v>Yes</v>
      </c>
    </row>
    <row r="205" spans="1:15" x14ac:dyDescent="0.3">
      <c r="A205" s="2" t="s">
        <v>1632</v>
      </c>
      <c r="B205" s="3">
        <v>44608</v>
      </c>
      <c r="C205" s="2" t="s">
        <v>1633</v>
      </c>
      <c r="D205" t="s">
        <v>6145</v>
      </c>
      <c r="E205" s="2">
        <v>1</v>
      </c>
      <c r="F205" s="2" t="str">
        <f>_xlfn.XLOOKUP(C205,customers!$A$2:$A$1001,customers!$B$2:$B$1001,,0)</f>
        <v>Vanna Le - Count</v>
      </c>
      <c r="G205" s="2" t="str">
        <f>_xlfn.XLOOKUP(C205,customers!$A$2:$A$1001,customers!$G$2:$G$1001,,0)</f>
        <v>United States</v>
      </c>
      <c r="H205" t="str">
        <f>INDEX(products!$A$1:$G$49,MATCH(orders!$D205,products!$A$1:$A$49,0),MATCH(orders!H$1,products!$A$1:$G$1,0))</f>
        <v>Lib</v>
      </c>
      <c r="I205" t="str">
        <f>INDEX(products!$A$1:$G$49,MATCH(orders!$D205,products!$A$1:$A$49,0),MATCH(orders!I$1,products!$A$1:$G$1,0))</f>
        <v>L</v>
      </c>
      <c r="J205" s="5">
        <f>INDEX(products!$A$1:$G$49,MATCH(orders!$D205,products!$A$1:$A$49,0),MATCH(orders!J$1,products!$A$1:$G$1,0))</f>
        <v>0.2</v>
      </c>
      <c r="K205" s="6">
        <f>INDEX(products!$A$1:$G$49,MATCH(orders!$D205,products!$A$1:$A$49,0),MATCH(orders!K$1,products!$A$1:$G$1,0))</f>
        <v>4.7549999999999999</v>
      </c>
      <c r="L205" s="6">
        <f>K205*E205</f>
        <v>4.7549999999999999</v>
      </c>
      <c r="M205" t="str" cm="1">
        <f t="array" ref="M205">_xlfn.IFS(H205="Rob","Robusta",H205="Exc","Excelsa",H205="Ara","Arabica",H205="Lib","Liberica")</f>
        <v>Liberica</v>
      </c>
      <c r="N205" t="str" cm="1">
        <f t="array" ref="N205">_xlfn.IFS(I205="M","Medium",I205="L","Light",I205="D","Dark")</f>
        <v>Light</v>
      </c>
      <c r="O205" t="str">
        <f>_xlfn.XLOOKUP(Orders[[#This Row],[Customer ID]],customers!$A$2:$A$1001,customers!$I$2:$I$1001,,0)</f>
        <v>No</v>
      </c>
    </row>
    <row r="206" spans="1:15" x14ac:dyDescent="0.3">
      <c r="A206" s="2" t="s">
        <v>1638</v>
      </c>
      <c r="B206" s="3">
        <v>44027</v>
      </c>
      <c r="C206" s="2" t="s">
        <v>1639</v>
      </c>
      <c r="D206" t="s">
        <v>6141</v>
      </c>
      <c r="E206" s="2">
        <v>6</v>
      </c>
      <c r="F206" s="2" t="str">
        <f>_xlfn.XLOOKUP(C206,customers!$A$2:$A$1001,customers!$B$2:$B$1001,,0)</f>
        <v>Sarette Ducarel</v>
      </c>
      <c r="G206" s="2" t="str">
        <f>_xlfn.XLOOKUP(C206,customers!$A$2:$A$1001,customers!$G$2:$G$1001,,0)</f>
        <v>United States</v>
      </c>
      <c r="H206" t="str">
        <f>INDEX(products!$A$1:$G$49,MATCH(orders!$D206,products!$A$1:$A$49,0),MATCH(orders!H$1,products!$A$1:$G$1,0))</f>
        <v>Exc</v>
      </c>
      <c r="I206" t="str">
        <f>INDEX(products!$A$1:$G$49,MATCH(orders!$D206,products!$A$1:$A$49,0),MATCH(orders!I$1,products!$A$1:$G$1,0))</f>
        <v>M</v>
      </c>
      <c r="J206" s="5">
        <f>INDEX(products!$A$1:$G$49,MATCH(orders!$D206,products!$A$1:$A$49,0),MATCH(orders!J$1,products!$A$1:$G$1,0))</f>
        <v>1</v>
      </c>
      <c r="K206" s="6">
        <f>INDEX(products!$A$1:$G$49,MATCH(orders!$D206,products!$A$1:$A$49,0),MATCH(orders!K$1,products!$A$1:$G$1,0))</f>
        <v>13.75</v>
      </c>
      <c r="L206" s="6">
        <f>K206*E206</f>
        <v>82.5</v>
      </c>
      <c r="M206" t="str" cm="1">
        <f t="array" ref="M206">_xlfn.IFS(H206="Rob","Robusta",H206="Exc","Excelsa",H206="Ara","Arabica",H206="Lib","Liberica")</f>
        <v>Excelsa</v>
      </c>
      <c r="N206" t="str" cm="1">
        <f t="array" ref="N206">_xlfn.IFS(I206="M","Medium",I206="L","Light",I206="D","Dark")</f>
        <v>Medium</v>
      </c>
      <c r="O206" t="str">
        <f>_xlfn.XLOOKUP(Orders[[#This Row],[Customer ID]],customers!$A$2:$A$1001,customers!$I$2:$I$1001,,0)</f>
        <v>No</v>
      </c>
    </row>
    <row r="207" spans="1:15" x14ac:dyDescent="0.3">
      <c r="A207" s="2" t="s">
        <v>1643</v>
      </c>
      <c r="B207" s="3">
        <v>43883</v>
      </c>
      <c r="C207" s="2" t="s">
        <v>1644</v>
      </c>
      <c r="D207" t="s">
        <v>6163</v>
      </c>
      <c r="E207" s="2">
        <v>3</v>
      </c>
      <c r="F207" s="2" t="str">
        <f>_xlfn.XLOOKUP(C207,customers!$A$2:$A$1001,customers!$B$2:$B$1001,,0)</f>
        <v>Kendra Glison</v>
      </c>
      <c r="G207" s="2" t="str">
        <f>_xlfn.XLOOKUP(C207,customers!$A$2:$A$1001,customers!$G$2:$G$1001,,0)</f>
        <v>United States</v>
      </c>
      <c r="H207" t="str">
        <f>INDEX(products!$A$1:$G$49,MATCH(orders!$D207,products!$A$1:$A$49,0),MATCH(orders!H$1,products!$A$1:$G$1,0))</f>
        <v>Rob</v>
      </c>
      <c r="I207" t="str">
        <f>INDEX(products!$A$1:$G$49,MATCH(orders!$D207,products!$A$1:$A$49,0),MATCH(orders!I$1,products!$A$1:$G$1,0))</f>
        <v>D</v>
      </c>
      <c r="J207" s="5">
        <f>INDEX(products!$A$1:$G$49,MATCH(orders!$D207,products!$A$1:$A$49,0),MATCH(orders!J$1,products!$A$1:$G$1,0))</f>
        <v>0.2</v>
      </c>
      <c r="K207" s="6">
        <f>INDEX(products!$A$1:$G$49,MATCH(orders!$D207,products!$A$1:$A$49,0),MATCH(orders!K$1,products!$A$1:$G$1,0))</f>
        <v>2.6849999999999996</v>
      </c>
      <c r="L207" s="6">
        <f>K207*E207</f>
        <v>8.0549999999999997</v>
      </c>
      <c r="M207" t="str" cm="1">
        <f t="array" ref="M207">_xlfn.IFS(H207="Rob","Robusta",H207="Exc","Excelsa",H207="Ara","Arabica",H207="Lib","Liberica")</f>
        <v>Robusta</v>
      </c>
      <c r="N207" t="str" cm="1">
        <f t="array" ref="N207">_xlfn.IFS(I207="M","Medium",I207="L","Light",I207="D","Dark")</f>
        <v>Dark</v>
      </c>
      <c r="O207" t="str">
        <f>_xlfn.XLOOKUP(Orders[[#This Row],[Customer ID]],customers!$A$2:$A$1001,customers!$I$2:$I$1001,,0)</f>
        <v>Yes</v>
      </c>
    </row>
    <row r="208" spans="1:15" x14ac:dyDescent="0.3">
      <c r="A208" s="2" t="s">
        <v>1648</v>
      </c>
      <c r="B208" s="3">
        <v>44211</v>
      </c>
      <c r="C208" s="2" t="s">
        <v>1649</v>
      </c>
      <c r="D208" t="s">
        <v>6155</v>
      </c>
      <c r="E208" s="2">
        <v>2</v>
      </c>
      <c r="F208" s="2" t="str">
        <f>_xlfn.XLOOKUP(C208,customers!$A$2:$A$1001,customers!$B$2:$B$1001,,0)</f>
        <v>Nertie Poolman</v>
      </c>
      <c r="G208" s="2" t="str">
        <f>_xlfn.XLOOKUP(C208,customers!$A$2:$A$1001,customers!$G$2:$G$1001,,0)</f>
        <v>United States</v>
      </c>
      <c r="H208" t="str">
        <f>INDEX(products!$A$1:$G$49,MATCH(orders!$D208,products!$A$1:$A$49,0),MATCH(orders!H$1,products!$A$1:$G$1,0))</f>
        <v>Ara</v>
      </c>
      <c r="I208" t="str">
        <f>INDEX(products!$A$1:$G$49,MATCH(orders!$D208,products!$A$1:$A$49,0),MATCH(orders!I$1,products!$A$1:$G$1,0))</f>
        <v>M</v>
      </c>
      <c r="J208" s="5">
        <f>INDEX(products!$A$1:$G$49,MATCH(orders!$D208,products!$A$1:$A$49,0),MATCH(orders!J$1,products!$A$1:$G$1,0))</f>
        <v>1</v>
      </c>
      <c r="K208" s="6">
        <f>INDEX(products!$A$1:$G$49,MATCH(orders!$D208,products!$A$1:$A$49,0),MATCH(orders!K$1,products!$A$1:$G$1,0))</f>
        <v>11.25</v>
      </c>
      <c r="L208" s="6">
        <f>K208*E208</f>
        <v>22.5</v>
      </c>
      <c r="M208" t="str" cm="1">
        <f t="array" ref="M208">_xlfn.IFS(H208="Rob","Robusta",H208="Exc","Excelsa",H208="Ara","Arabica",H208="Lib","Liberica")</f>
        <v>Arabica</v>
      </c>
      <c r="N208" t="str" cm="1">
        <f t="array" ref="N208">_xlfn.IFS(I208="M","Medium",I208="L","Light",I208="D","Dark")</f>
        <v>Medium</v>
      </c>
      <c r="O208" t="str">
        <f>_xlfn.XLOOKUP(Orders[[#This Row],[Customer ID]],customers!$A$2:$A$1001,customers!$I$2:$I$1001,,0)</f>
        <v>No</v>
      </c>
    </row>
    <row r="209" spans="1:15" x14ac:dyDescent="0.3">
      <c r="A209" s="2" t="s">
        <v>1653</v>
      </c>
      <c r="B209" s="3">
        <v>44207</v>
      </c>
      <c r="C209" s="2" t="s">
        <v>1654</v>
      </c>
      <c r="D209" t="s">
        <v>6157</v>
      </c>
      <c r="E209" s="2">
        <v>6</v>
      </c>
      <c r="F209" s="2" t="str">
        <f>_xlfn.XLOOKUP(C209,customers!$A$2:$A$1001,customers!$B$2:$B$1001,,0)</f>
        <v>Orbadiah Duny</v>
      </c>
      <c r="G209" s="2" t="str">
        <f>_xlfn.XLOOKUP(C209,customers!$A$2:$A$1001,customers!$G$2:$G$1001,,0)</f>
        <v>United States</v>
      </c>
      <c r="H209" t="str">
        <f>INDEX(products!$A$1:$G$49,MATCH(orders!$D209,products!$A$1:$A$49,0),MATCH(orders!H$1,products!$A$1:$G$1,0))</f>
        <v>Ara</v>
      </c>
      <c r="I209" t="str">
        <f>INDEX(products!$A$1:$G$49,MATCH(orders!$D209,products!$A$1:$A$49,0),MATCH(orders!I$1,products!$A$1:$G$1,0))</f>
        <v>M</v>
      </c>
      <c r="J209" s="5">
        <f>INDEX(products!$A$1:$G$49,MATCH(orders!$D209,products!$A$1:$A$49,0),MATCH(orders!J$1,products!$A$1:$G$1,0))</f>
        <v>0.5</v>
      </c>
      <c r="K209" s="6">
        <f>INDEX(products!$A$1:$G$49,MATCH(orders!$D209,products!$A$1:$A$49,0),MATCH(orders!K$1,products!$A$1:$G$1,0))</f>
        <v>6.75</v>
      </c>
      <c r="L209" s="6">
        <f>K209*E209</f>
        <v>40.5</v>
      </c>
      <c r="M209" t="str" cm="1">
        <f t="array" ref="M209">_xlfn.IFS(H209="Rob","Robusta",H209="Exc","Excelsa",H209="Ara","Arabica",H209="Lib","Liberica")</f>
        <v>Arabica</v>
      </c>
      <c r="N209" t="str" cm="1">
        <f t="array" ref="N209">_xlfn.IFS(I209="M","Medium",I209="L","Light",I209="D","Dark")</f>
        <v>Medium</v>
      </c>
      <c r="O209" t="str">
        <f>_xlfn.XLOOKUP(Orders[[#This Row],[Customer ID]],customers!$A$2:$A$1001,customers!$I$2:$I$1001,,0)</f>
        <v>Yes</v>
      </c>
    </row>
    <row r="210" spans="1:15" x14ac:dyDescent="0.3">
      <c r="A210" s="2" t="s">
        <v>1659</v>
      </c>
      <c r="B210" s="3">
        <v>44659</v>
      </c>
      <c r="C210" s="2" t="s">
        <v>1660</v>
      </c>
      <c r="D210" t="s">
        <v>6144</v>
      </c>
      <c r="E210" s="2">
        <v>4</v>
      </c>
      <c r="F210" s="2" t="str">
        <f>_xlfn.XLOOKUP(C210,customers!$A$2:$A$1001,customers!$B$2:$B$1001,,0)</f>
        <v>Constance Halfhide</v>
      </c>
      <c r="G210" s="2" t="str">
        <f>_xlfn.XLOOKUP(C210,customers!$A$2:$A$1001,customers!$G$2:$G$1001,,0)</f>
        <v>Ireland</v>
      </c>
      <c r="H210" t="str">
        <f>INDEX(products!$A$1:$G$49,MATCH(orders!$D210,products!$A$1:$A$49,0),MATCH(orders!H$1,products!$A$1:$G$1,0))</f>
        <v>Exc</v>
      </c>
      <c r="I210" t="str">
        <f>INDEX(products!$A$1:$G$49,MATCH(orders!$D210,products!$A$1:$A$49,0),MATCH(orders!I$1,products!$A$1:$G$1,0))</f>
        <v>D</v>
      </c>
      <c r="J210" s="5">
        <f>INDEX(products!$A$1:$G$49,MATCH(orders!$D210,products!$A$1:$A$49,0),MATCH(orders!J$1,products!$A$1:$G$1,0))</f>
        <v>0.5</v>
      </c>
      <c r="K210" s="6">
        <f>INDEX(products!$A$1:$G$49,MATCH(orders!$D210,products!$A$1:$A$49,0),MATCH(orders!K$1,products!$A$1:$G$1,0))</f>
        <v>7.29</v>
      </c>
      <c r="L210" s="6">
        <f>K210*E210</f>
        <v>29.16</v>
      </c>
      <c r="M210" t="str" cm="1">
        <f t="array" ref="M210">_xlfn.IFS(H210="Rob","Robusta",H210="Exc","Excelsa",H210="Ara","Arabica",H210="Lib","Liberica")</f>
        <v>Excelsa</v>
      </c>
      <c r="N210" t="str" cm="1">
        <f t="array" ref="N210">_xlfn.IFS(I210="M","Medium",I210="L","Light",I210="D","Dark")</f>
        <v>Dark</v>
      </c>
      <c r="O210" t="str">
        <f>_xlfn.XLOOKUP(Orders[[#This Row],[Customer ID]],customers!$A$2:$A$1001,customers!$I$2:$I$1001,,0)</f>
        <v>Yes</v>
      </c>
    </row>
    <row r="211" spans="1:15" x14ac:dyDescent="0.3">
      <c r="A211" s="2" t="s">
        <v>1665</v>
      </c>
      <c r="B211" s="3">
        <v>44105</v>
      </c>
      <c r="C211" s="2" t="s">
        <v>1666</v>
      </c>
      <c r="D211" t="s">
        <v>6157</v>
      </c>
      <c r="E211" s="2">
        <v>1</v>
      </c>
      <c r="F211" s="2" t="str">
        <f>_xlfn.XLOOKUP(C211,customers!$A$2:$A$1001,customers!$B$2:$B$1001,,0)</f>
        <v>Fransisco Malecky</v>
      </c>
      <c r="G211" s="2" t="str">
        <f>_xlfn.XLOOKUP(C211,customers!$A$2:$A$1001,customers!$G$2:$G$1001,,0)</f>
        <v>United Kingdom</v>
      </c>
      <c r="H211" t="str">
        <f>INDEX(products!$A$1:$G$49,MATCH(orders!$D211,products!$A$1:$A$49,0),MATCH(orders!H$1,products!$A$1:$G$1,0))</f>
        <v>Ara</v>
      </c>
      <c r="I211" t="str">
        <f>INDEX(products!$A$1:$G$49,MATCH(orders!$D211,products!$A$1:$A$49,0),MATCH(orders!I$1,products!$A$1:$G$1,0))</f>
        <v>M</v>
      </c>
      <c r="J211" s="5">
        <f>INDEX(products!$A$1:$G$49,MATCH(orders!$D211,products!$A$1:$A$49,0),MATCH(orders!J$1,products!$A$1:$G$1,0))</f>
        <v>0.5</v>
      </c>
      <c r="K211" s="6">
        <f>INDEX(products!$A$1:$G$49,MATCH(orders!$D211,products!$A$1:$A$49,0),MATCH(orders!K$1,products!$A$1:$G$1,0))</f>
        <v>6.75</v>
      </c>
      <c r="L211" s="6">
        <f>K211*E211</f>
        <v>6.75</v>
      </c>
      <c r="M211" t="str" cm="1">
        <f t="array" ref="M211">_xlfn.IFS(H211="Rob","Robusta",H211="Exc","Excelsa",H211="Ara","Arabica",H211="Lib","Liberica")</f>
        <v>Arabica</v>
      </c>
      <c r="N211" t="str" cm="1">
        <f t="array" ref="N211">_xlfn.IFS(I211="M","Medium",I211="L","Light",I211="D","Dark")</f>
        <v>Medium</v>
      </c>
      <c r="O211" t="str">
        <f>_xlfn.XLOOKUP(Orders[[#This Row],[Customer ID]],customers!$A$2:$A$1001,customers!$I$2:$I$1001,,0)</f>
        <v>No</v>
      </c>
    </row>
    <row r="212" spans="1:15" x14ac:dyDescent="0.3">
      <c r="A212" s="2" t="s">
        <v>1671</v>
      </c>
      <c r="B212" s="3">
        <v>43766</v>
      </c>
      <c r="C212" s="2" t="s">
        <v>1672</v>
      </c>
      <c r="D212" t="s">
        <v>6143</v>
      </c>
      <c r="E212" s="2">
        <v>4</v>
      </c>
      <c r="F212" s="2" t="str">
        <f>_xlfn.XLOOKUP(C212,customers!$A$2:$A$1001,customers!$B$2:$B$1001,,0)</f>
        <v>Anselma Attwater</v>
      </c>
      <c r="G212" s="2" t="str">
        <f>_xlfn.XLOOKUP(C212,customers!$A$2:$A$1001,customers!$G$2:$G$1001,,0)</f>
        <v>United States</v>
      </c>
      <c r="H212" t="str">
        <f>INDEX(products!$A$1:$G$49,MATCH(orders!$D212,products!$A$1:$A$49,0),MATCH(orders!H$1,products!$A$1:$G$1,0))</f>
        <v>Lib</v>
      </c>
      <c r="I212" t="str">
        <f>INDEX(products!$A$1:$G$49,MATCH(orders!$D212,products!$A$1:$A$49,0),MATCH(orders!I$1,products!$A$1:$G$1,0))</f>
        <v>D</v>
      </c>
      <c r="J212" s="5">
        <f>INDEX(products!$A$1:$G$49,MATCH(orders!$D212,products!$A$1:$A$49,0),MATCH(orders!J$1,products!$A$1:$G$1,0))</f>
        <v>1</v>
      </c>
      <c r="K212" s="6">
        <f>INDEX(products!$A$1:$G$49,MATCH(orders!$D212,products!$A$1:$A$49,0),MATCH(orders!K$1,products!$A$1:$G$1,0))</f>
        <v>12.95</v>
      </c>
      <c r="L212" s="6">
        <f>K212*E212</f>
        <v>51.8</v>
      </c>
      <c r="M212" t="str" cm="1">
        <f t="array" ref="M212">_xlfn.IFS(H212="Rob","Robusta",H212="Exc","Excelsa",H212="Ara","Arabica",H212="Lib","Liberica")</f>
        <v>Liberica</v>
      </c>
      <c r="N212" t="str" cm="1">
        <f t="array" ref="N212">_xlfn.IFS(I212="M","Medium",I212="L","Light",I212="D","Dark")</f>
        <v>Dark</v>
      </c>
      <c r="O212" t="str">
        <f>_xlfn.XLOOKUP(Orders[[#This Row],[Customer ID]],customers!$A$2:$A$1001,customers!$I$2:$I$1001,,0)</f>
        <v>Yes</v>
      </c>
    </row>
    <row r="213" spans="1:15" x14ac:dyDescent="0.3">
      <c r="A213" s="2" t="s">
        <v>1677</v>
      </c>
      <c r="B213" s="3">
        <v>44283</v>
      </c>
      <c r="C213" s="2" t="s">
        <v>1678</v>
      </c>
      <c r="D213" t="s">
        <v>6176</v>
      </c>
      <c r="E213" s="2">
        <v>6</v>
      </c>
      <c r="F213" s="2" t="str">
        <f>_xlfn.XLOOKUP(C213,customers!$A$2:$A$1001,customers!$B$2:$B$1001,,0)</f>
        <v>Minette Whellans</v>
      </c>
      <c r="G213" s="2" t="str">
        <f>_xlfn.XLOOKUP(C213,customers!$A$2:$A$1001,customers!$G$2:$G$1001,,0)</f>
        <v>United States</v>
      </c>
      <c r="H213" t="str">
        <f>INDEX(products!$A$1:$G$49,MATCH(orders!$D213,products!$A$1:$A$49,0),MATCH(orders!H$1,products!$A$1:$G$1,0))</f>
        <v>Exc</v>
      </c>
      <c r="I213" t="str">
        <f>INDEX(products!$A$1:$G$49,MATCH(orders!$D213,products!$A$1:$A$49,0),MATCH(orders!I$1,products!$A$1:$G$1,0))</f>
        <v>L</v>
      </c>
      <c r="J213" s="5">
        <f>INDEX(products!$A$1:$G$49,MATCH(orders!$D213,products!$A$1:$A$49,0),MATCH(orders!J$1,products!$A$1:$G$1,0))</f>
        <v>0.5</v>
      </c>
      <c r="K213" s="6">
        <f>INDEX(products!$A$1:$G$49,MATCH(orders!$D213,products!$A$1:$A$49,0),MATCH(orders!K$1,products!$A$1:$G$1,0))</f>
        <v>8.91</v>
      </c>
      <c r="L213" s="6">
        <f>K213*E213</f>
        <v>53.46</v>
      </c>
      <c r="M213" t="str" cm="1">
        <f t="array" ref="M213">_xlfn.IFS(H213="Rob","Robusta",H213="Exc","Excelsa",H213="Ara","Arabica",H213="Lib","Liberica")</f>
        <v>Excelsa</v>
      </c>
      <c r="N213" t="str" cm="1">
        <f t="array" ref="N213">_xlfn.IFS(I213="M","Medium",I213="L","Light",I213="D","Dark")</f>
        <v>Light</v>
      </c>
      <c r="O213" t="str">
        <f>_xlfn.XLOOKUP(Orders[[#This Row],[Customer ID]],customers!$A$2:$A$1001,customers!$I$2:$I$1001,,0)</f>
        <v>No</v>
      </c>
    </row>
    <row r="214" spans="1:15" x14ac:dyDescent="0.3">
      <c r="A214" s="2" t="s">
        <v>1682</v>
      </c>
      <c r="B214" s="3">
        <v>43921</v>
      </c>
      <c r="C214" s="2" t="s">
        <v>1683</v>
      </c>
      <c r="D214" t="s">
        <v>6153</v>
      </c>
      <c r="E214" s="2">
        <v>4</v>
      </c>
      <c r="F214" s="2" t="str">
        <f>_xlfn.XLOOKUP(C214,customers!$A$2:$A$1001,customers!$B$2:$B$1001,,0)</f>
        <v>Dael Camilletti</v>
      </c>
      <c r="G214" s="2" t="str">
        <f>_xlfn.XLOOKUP(C214,customers!$A$2:$A$1001,customers!$G$2:$G$1001,,0)</f>
        <v>United States</v>
      </c>
      <c r="H214" t="str">
        <f>INDEX(products!$A$1:$G$49,MATCH(orders!$D214,products!$A$1:$A$49,0),MATCH(orders!H$1,products!$A$1:$G$1,0))</f>
        <v>Exc</v>
      </c>
      <c r="I214" t="str">
        <f>INDEX(products!$A$1:$G$49,MATCH(orders!$D214,products!$A$1:$A$49,0),MATCH(orders!I$1,products!$A$1:$G$1,0))</f>
        <v>D</v>
      </c>
      <c r="J214" s="5">
        <f>INDEX(products!$A$1:$G$49,MATCH(orders!$D214,products!$A$1:$A$49,0),MATCH(orders!J$1,products!$A$1:$G$1,0))</f>
        <v>0.2</v>
      </c>
      <c r="K214" s="6">
        <f>INDEX(products!$A$1:$G$49,MATCH(orders!$D214,products!$A$1:$A$49,0),MATCH(orders!K$1,products!$A$1:$G$1,0))</f>
        <v>3.645</v>
      </c>
      <c r="L214" s="6">
        <f>K214*E214</f>
        <v>14.58</v>
      </c>
      <c r="M214" t="str" cm="1">
        <f t="array" ref="M214">_xlfn.IFS(H214="Rob","Robusta",H214="Exc","Excelsa",H214="Ara","Arabica",H214="Lib","Liberica")</f>
        <v>Excelsa</v>
      </c>
      <c r="N214" t="str" cm="1">
        <f t="array" ref="N214">_xlfn.IFS(I214="M","Medium",I214="L","Light",I214="D","Dark")</f>
        <v>Dark</v>
      </c>
      <c r="O214" t="str">
        <f>_xlfn.XLOOKUP(Orders[[#This Row],[Customer ID]],customers!$A$2:$A$1001,customers!$I$2:$I$1001,,0)</f>
        <v>Yes</v>
      </c>
    </row>
    <row r="215" spans="1:15" x14ac:dyDescent="0.3">
      <c r="A215" s="2" t="s">
        <v>1688</v>
      </c>
      <c r="B215" s="3">
        <v>44646</v>
      </c>
      <c r="C215" s="2" t="s">
        <v>1689</v>
      </c>
      <c r="D215" t="s">
        <v>6149</v>
      </c>
      <c r="E215" s="2">
        <v>1</v>
      </c>
      <c r="F215" s="2" t="str">
        <f>_xlfn.XLOOKUP(C215,customers!$A$2:$A$1001,customers!$B$2:$B$1001,,0)</f>
        <v>Emiline Galgey</v>
      </c>
      <c r="G215" s="2" t="str">
        <f>_xlfn.XLOOKUP(C215,customers!$A$2:$A$1001,customers!$G$2:$G$1001,,0)</f>
        <v>United States</v>
      </c>
      <c r="H215" t="str">
        <f>INDEX(products!$A$1:$G$49,MATCH(orders!$D215,products!$A$1:$A$49,0),MATCH(orders!H$1,products!$A$1:$G$1,0))</f>
        <v>Rob</v>
      </c>
      <c r="I215" t="str">
        <f>INDEX(products!$A$1:$G$49,MATCH(orders!$D215,products!$A$1:$A$49,0),MATCH(orders!I$1,products!$A$1:$G$1,0))</f>
        <v>D</v>
      </c>
      <c r="J215" s="5">
        <f>INDEX(products!$A$1:$G$49,MATCH(orders!$D215,products!$A$1:$A$49,0),MATCH(orders!J$1,products!$A$1:$G$1,0))</f>
        <v>2.5</v>
      </c>
      <c r="K215" s="6">
        <f>INDEX(products!$A$1:$G$49,MATCH(orders!$D215,products!$A$1:$A$49,0),MATCH(orders!K$1,products!$A$1:$G$1,0))</f>
        <v>20.584999999999997</v>
      </c>
      <c r="L215" s="6">
        <f>K215*E215</f>
        <v>20.584999999999997</v>
      </c>
      <c r="M215" t="str" cm="1">
        <f t="array" ref="M215">_xlfn.IFS(H215="Rob","Robusta",H215="Exc","Excelsa",H215="Ara","Arabica",H215="Lib","Liberica")</f>
        <v>Robusta</v>
      </c>
      <c r="N215" t="str" cm="1">
        <f t="array" ref="N215">_xlfn.IFS(I215="M","Medium",I215="L","Light",I215="D","Dark")</f>
        <v>Dark</v>
      </c>
      <c r="O215" t="str">
        <f>_xlfn.XLOOKUP(Orders[[#This Row],[Customer ID]],customers!$A$2:$A$1001,customers!$I$2:$I$1001,,0)</f>
        <v>No</v>
      </c>
    </row>
    <row r="216" spans="1:15" x14ac:dyDescent="0.3">
      <c r="A216" s="2" t="s">
        <v>1694</v>
      </c>
      <c r="B216" s="3">
        <v>43775</v>
      </c>
      <c r="C216" s="2" t="s">
        <v>1695</v>
      </c>
      <c r="D216" t="s">
        <v>6170</v>
      </c>
      <c r="E216" s="2">
        <v>2</v>
      </c>
      <c r="F216" s="2" t="str">
        <f>_xlfn.XLOOKUP(C216,customers!$A$2:$A$1001,customers!$B$2:$B$1001,,0)</f>
        <v>Murdock Hame</v>
      </c>
      <c r="G216" s="2" t="str">
        <f>_xlfn.XLOOKUP(C216,customers!$A$2:$A$1001,customers!$G$2:$G$1001,,0)</f>
        <v>Ireland</v>
      </c>
      <c r="H216" t="str">
        <f>INDEX(products!$A$1:$G$49,MATCH(orders!$D216,products!$A$1:$A$49,0),MATCH(orders!H$1,products!$A$1:$G$1,0))</f>
        <v>Lib</v>
      </c>
      <c r="I216" t="str">
        <f>INDEX(products!$A$1:$G$49,MATCH(orders!$D216,products!$A$1:$A$49,0),MATCH(orders!I$1,products!$A$1:$G$1,0))</f>
        <v>L</v>
      </c>
      <c r="J216" s="5">
        <f>INDEX(products!$A$1:$G$49,MATCH(orders!$D216,products!$A$1:$A$49,0),MATCH(orders!J$1,products!$A$1:$G$1,0))</f>
        <v>1</v>
      </c>
      <c r="K216" s="6">
        <f>INDEX(products!$A$1:$G$49,MATCH(orders!$D216,products!$A$1:$A$49,0),MATCH(orders!K$1,products!$A$1:$G$1,0))</f>
        <v>15.85</v>
      </c>
      <c r="L216" s="6">
        <f>K216*E216</f>
        <v>31.7</v>
      </c>
      <c r="M216" t="str" cm="1">
        <f t="array" ref="M216">_xlfn.IFS(H216="Rob","Robusta",H216="Exc","Excelsa",H216="Ara","Arabica",H216="Lib","Liberica")</f>
        <v>Liberica</v>
      </c>
      <c r="N216" t="str" cm="1">
        <f t="array" ref="N216">_xlfn.IFS(I216="M","Medium",I216="L","Light",I216="D","Dark")</f>
        <v>Light</v>
      </c>
      <c r="O216" t="str">
        <f>_xlfn.XLOOKUP(Orders[[#This Row],[Customer ID]],customers!$A$2:$A$1001,customers!$I$2:$I$1001,,0)</f>
        <v>No</v>
      </c>
    </row>
    <row r="217" spans="1:15" x14ac:dyDescent="0.3">
      <c r="A217" s="2" t="s">
        <v>1701</v>
      </c>
      <c r="B217" s="3">
        <v>43829</v>
      </c>
      <c r="C217" s="2" t="s">
        <v>1702</v>
      </c>
      <c r="D217" t="s">
        <v>6150</v>
      </c>
      <c r="E217" s="2">
        <v>6</v>
      </c>
      <c r="F217" s="2" t="str">
        <f>_xlfn.XLOOKUP(C217,customers!$A$2:$A$1001,customers!$B$2:$B$1001,,0)</f>
        <v>Ilka Gurnee</v>
      </c>
      <c r="G217" s="2" t="str">
        <f>_xlfn.XLOOKUP(C217,customers!$A$2:$A$1001,customers!$G$2:$G$1001,,0)</f>
        <v>United States</v>
      </c>
      <c r="H217" t="str">
        <f>INDEX(products!$A$1:$G$49,MATCH(orders!$D217,products!$A$1:$A$49,0),MATCH(orders!H$1,products!$A$1:$G$1,0))</f>
        <v>Lib</v>
      </c>
      <c r="I217" t="str">
        <f>INDEX(products!$A$1:$G$49,MATCH(orders!$D217,products!$A$1:$A$49,0),MATCH(orders!I$1,products!$A$1:$G$1,0))</f>
        <v>D</v>
      </c>
      <c r="J217" s="5">
        <f>INDEX(products!$A$1:$G$49,MATCH(orders!$D217,products!$A$1:$A$49,0),MATCH(orders!J$1,products!$A$1:$G$1,0))</f>
        <v>0.2</v>
      </c>
      <c r="K217" s="6">
        <f>INDEX(products!$A$1:$G$49,MATCH(orders!$D217,products!$A$1:$A$49,0),MATCH(orders!K$1,products!$A$1:$G$1,0))</f>
        <v>3.8849999999999998</v>
      </c>
      <c r="L217" s="6">
        <f>K217*E217</f>
        <v>23.31</v>
      </c>
      <c r="M217" t="str" cm="1">
        <f t="array" ref="M217">_xlfn.IFS(H217="Rob","Robusta",H217="Exc","Excelsa",H217="Ara","Arabica",H217="Lib","Liberica")</f>
        <v>Liberica</v>
      </c>
      <c r="N217" t="str" cm="1">
        <f t="array" ref="N217">_xlfn.IFS(I217="M","Medium",I217="L","Light",I217="D","Dark")</f>
        <v>Dark</v>
      </c>
      <c r="O217" t="str">
        <f>_xlfn.XLOOKUP(Orders[[#This Row],[Customer ID]],customers!$A$2:$A$1001,customers!$I$2:$I$1001,,0)</f>
        <v>No</v>
      </c>
    </row>
    <row r="218" spans="1:15" x14ac:dyDescent="0.3">
      <c r="A218" s="2" t="s">
        <v>1707</v>
      </c>
      <c r="B218" s="3">
        <v>44470</v>
      </c>
      <c r="C218" s="2" t="s">
        <v>1708</v>
      </c>
      <c r="D218" t="s">
        <v>6162</v>
      </c>
      <c r="E218" s="2">
        <v>4</v>
      </c>
      <c r="F218" s="2" t="str">
        <f>_xlfn.XLOOKUP(C218,customers!$A$2:$A$1001,customers!$B$2:$B$1001,,0)</f>
        <v>Alfy Snowding</v>
      </c>
      <c r="G218" s="2" t="str">
        <f>_xlfn.XLOOKUP(C218,customers!$A$2:$A$1001,customers!$G$2:$G$1001,,0)</f>
        <v>United States</v>
      </c>
      <c r="H218" t="str">
        <f>INDEX(products!$A$1:$G$49,MATCH(orders!$D218,products!$A$1:$A$49,0),MATCH(orders!H$1,products!$A$1:$G$1,0))</f>
        <v>Lib</v>
      </c>
      <c r="I218" t="str">
        <f>INDEX(products!$A$1:$G$49,MATCH(orders!$D218,products!$A$1:$A$49,0),MATCH(orders!I$1,products!$A$1:$G$1,0))</f>
        <v>M</v>
      </c>
      <c r="J218" s="5">
        <f>INDEX(products!$A$1:$G$49,MATCH(orders!$D218,products!$A$1:$A$49,0),MATCH(orders!J$1,products!$A$1:$G$1,0))</f>
        <v>1</v>
      </c>
      <c r="K218" s="6">
        <f>INDEX(products!$A$1:$G$49,MATCH(orders!$D218,products!$A$1:$A$49,0),MATCH(orders!K$1,products!$A$1:$G$1,0))</f>
        <v>14.55</v>
      </c>
      <c r="L218" s="6">
        <f>K218*E218</f>
        <v>58.2</v>
      </c>
      <c r="M218" t="str" cm="1">
        <f t="array" ref="M218">_xlfn.IFS(H218="Rob","Robusta",H218="Exc","Excelsa",H218="Ara","Arabica",H218="Lib","Liberica")</f>
        <v>Liberica</v>
      </c>
      <c r="N218" t="str" cm="1">
        <f t="array" ref="N218">_xlfn.IFS(I218="M","Medium",I218="L","Light",I218="D","Dark")</f>
        <v>Medium</v>
      </c>
      <c r="O218" t="str">
        <f>_xlfn.XLOOKUP(Orders[[#This Row],[Customer ID]],customers!$A$2:$A$1001,customers!$I$2:$I$1001,,0)</f>
        <v>Yes</v>
      </c>
    </row>
    <row r="219" spans="1:15" x14ac:dyDescent="0.3">
      <c r="A219" s="2" t="s">
        <v>1713</v>
      </c>
      <c r="B219" s="3">
        <v>44174</v>
      </c>
      <c r="C219" s="2" t="s">
        <v>1714</v>
      </c>
      <c r="D219" t="s">
        <v>6176</v>
      </c>
      <c r="E219" s="2">
        <v>4</v>
      </c>
      <c r="F219" s="2" t="str">
        <f>_xlfn.XLOOKUP(C219,customers!$A$2:$A$1001,customers!$B$2:$B$1001,,0)</f>
        <v>Godfry Poinsett</v>
      </c>
      <c r="G219" s="2" t="str">
        <f>_xlfn.XLOOKUP(C219,customers!$A$2:$A$1001,customers!$G$2:$G$1001,,0)</f>
        <v>United States</v>
      </c>
      <c r="H219" t="str">
        <f>INDEX(products!$A$1:$G$49,MATCH(orders!$D219,products!$A$1:$A$49,0),MATCH(orders!H$1,products!$A$1:$G$1,0))</f>
        <v>Exc</v>
      </c>
      <c r="I219" t="str">
        <f>INDEX(products!$A$1:$G$49,MATCH(orders!$D219,products!$A$1:$A$49,0),MATCH(orders!I$1,products!$A$1:$G$1,0))</f>
        <v>L</v>
      </c>
      <c r="J219" s="5">
        <f>INDEX(products!$A$1:$G$49,MATCH(orders!$D219,products!$A$1:$A$49,0),MATCH(orders!J$1,products!$A$1:$G$1,0))</f>
        <v>0.5</v>
      </c>
      <c r="K219" s="6">
        <f>INDEX(products!$A$1:$G$49,MATCH(orders!$D219,products!$A$1:$A$49,0),MATCH(orders!K$1,products!$A$1:$G$1,0))</f>
        <v>8.91</v>
      </c>
      <c r="L219" s="6">
        <f>K219*E219</f>
        <v>35.64</v>
      </c>
      <c r="M219" t="str" cm="1">
        <f t="array" ref="M219">_xlfn.IFS(H219="Rob","Robusta",H219="Exc","Excelsa",H219="Ara","Arabica",H219="Lib","Liberica")</f>
        <v>Excelsa</v>
      </c>
      <c r="N219" t="str" cm="1">
        <f t="array" ref="N219">_xlfn.IFS(I219="M","Medium",I219="L","Light",I219="D","Dark")</f>
        <v>Light</v>
      </c>
      <c r="O219" t="str">
        <f>_xlfn.XLOOKUP(Orders[[#This Row],[Customer ID]],customers!$A$2:$A$1001,customers!$I$2:$I$1001,,0)</f>
        <v>No</v>
      </c>
    </row>
    <row r="220" spans="1:15" x14ac:dyDescent="0.3">
      <c r="A220" s="2" t="s">
        <v>1719</v>
      </c>
      <c r="B220" s="3">
        <v>44317</v>
      </c>
      <c r="C220" s="2" t="s">
        <v>1720</v>
      </c>
      <c r="D220" t="s">
        <v>6155</v>
      </c>
      <c r="E220" s="2">
        <v>5</v>
      </c>
      <c r="F220" s="2" t="str">
        <f>_xlfn.XLOOKUP(C220,customers!$A$2:$A$1001,customers!$B$2:$B$1001,,0)</f>
        <v>Rem Furman</v>
      </c>
      <c r="G220" s="2" t="str">
        <f>_xlfn.XLOOKUP(C220,customers!$A$2:$A$1001,customers!$G$2:$G$1001,,0)</f>
        <v>Ireland</v>
      </c>
      <c r="H220" t="str">
        <f>INDEX(products!$A$1:$G$49,MATCH(orders!$D220,products!$A$1:$A$49,0),MATCH(orders!H$1,products!$A$1:$G$1,0))</f>
        <v>Ara</v>
      </c>
      <c r="I220" t="str">
        <f>INDEX(products!$A$1:$G$49,MATCH(orders!$D220,products!$A$1:$A$49,0),MATCH(orders!I$1,products!$A$1:$G$1,0))</f>
        <v>M</v>
      </c>
      <c r="J220" s="5">
        <f>INDEX(products!$A$1:$G$49,MATCH(orders!$D220,products!$A$1:$A$49,0),MATCH(orders!J$1,products!$A$1:$G$1,0))</f>
        <v>1</v>
      </c>
      <c r="K220" s="6">
        <f>INDEX(products!$A$1:$G$49,MATCH(orders!$D220,products!$A$1:$A$49,0),MATCH(orders!K$1,products!$A$1:$G$1,0))</f>
        <v>11.25</v>
      </c>
      <c r="L220" s="6">
        <f>K220*E220</f>
        <v>56.25</v>
      </c>
      <c r="M220" t="str" cm="1">
        <f t="array" ref="M220">_xlfn.IFS(H220="Rob","Robusta",H220="Exc","Excelsa",H220="Ara","Arabica",H220="Lib","Liberica")</f>
        <v>Arabica</v>
      </c>
      <c r="N220" t="str" cm="1">
        <f t="array" ref="N220">_xlfn.IFS(I220="M","Medium",I220="L","Light",I220="D","Dark")</f>
        <v>Medium</v>
      </c>
      <c r="O220" t="str">
        <f>_xlfn.XLOOKUP(Orders[[#This Row],[Customer ID]],customers!$A$2:$A$1001,customers!$I$2:$I$1001,,0)</f>
        <v>Yes</v>
      </c>
    </row>
    <row r="221" spans="1:15" x14ac:dyDescent="0.3">
      <c r="A221" s="2" t="s">
        <v>1725</v>
      </c>
      <c r="B221" s="3">
        <v>44777</v>
      </c>
      <c r="C221" s="2" t="s">
        <v>1726</v>
      </c>
      <c r="D221" t="s">
        <v>6178</v>
      </c>
      <c r="E221" s="2">
        <v>3</v>
      </c>
      <c r="F221" s="2" t="str">
        <f>_xlfn.XLOOKUP(C221,customers!$A$2:$A$1001,customers!$B$2:$B$1001,,0)</f>
        <v>Charis Crosier</v>
      </c>
      <c r="G221" s="2" t="str">
        <f>_xlfn.XLOOKUP(C221,customers!$A$2:$A$1001,customers!$G$2:$G$1001,,0)</f>
        <v>United States</v>
      </c>
      <c r="H221" t="str">
        <f>INDEX(products!$A$1:$G$49,MATCH(orders!$D221,products!$A$1:$A$49,0),MATCH(orders!H$1,products!$A$1:$G$1,0))</f>
        <v>Rob</v>
      </c>
      <c r="I221" t="str">
        <f>INDEX(products!$A$1:$G$49,MATCH(orders!$D221,products!$A$1:$A$49,0),MATCH(orders!I$1,products!$A$1:$G$1,0))</f>
        <v>L</v>
      </c>
      <c r="J221" s="5">
        <f>INDEX(products!$A$1:$G$49,MATCH(orders!$D221,products!$A$1:$A$49,0),MATCH(orders!J$1,products!$A$1:$G$1,0))</f>
        <v>0.2</v>
      </c>
      <c r="K221" s="6">
        <f>INDEX(products!$A$1:$G$49,MATCH(orders!$D221,products!$A$1:$A$49,0),MATCH(orders!K$1,products!$A$1:$G$1,0))</f>
        <v>3.5849999999999995</v>
      </c>
      <c r="L221" s="6">
        <f>K221*E221</f>
        <v>10.754999999999999</v>
      </c>
      <c r="M221" t="str" cm="1">
        <f t="array" ref="M221">_xlfn.IFS(H221="Rob","Robusta",H221="Exc","Excelsa",H221="Ara","Arabica",H221="Lib","Liberica")</f>
        <v>Robusta</v>
      </c>
      <c r="N221" t="str" cm="1">
        <f t="array" ref="N221">_xlfn.IFS(I221="M","Medium",I221="L","Light",I221="D","Dark")</f>
        <v>Light</v>
      </c>
      <c r="O221" t="str">
        <f>_xlfn.XLOOKUP(Orders[[#This Row],[Customer ID]],customers!$A$2:$A$1001,customers!$I$2:$I$1001,,0)</f>
        <v>No</v>
      </c>
    </row>
    <row r="222" spans="1:15" x14ac:dyDescent="0.3">
      <c r="A222" s="2" t="s">
        <v>1725</v>
      </c>
      <c r="B222" s="3">
        <v>44777</v>
      </c>
      <c r="C222" s="2" t="s">
        <v>1726</v>
      </c>
      <c r="D222" t="s">
        <v>6174</v>
      </c>
      <c r="E222" s="2">
        <v>5</v>
      </c>
      <c r="F222" s="2" t="str">
        <f>_xlfn.XLOOKUP(C222,customers!$A$2:$A$1001,customers!$B$2:$B$1001,,0)</f>
        <v>Charis Crosier</v>
      </c>
      <c r="G222" s="2" t="str">
        <f>_xlfn.XLOOKUP(C222,customers!$A$2:$A$1001,customers!$G$2:$G$1001,,0)</f>
        <v>United States</v>
      </c>
      <c r="H222" t="str">
        <f>INDEX(products!$A$1:$G$49,MATCH(orders!$D222,products!$A$1:$A$49,0),MATCH(orders!H$1,products!$A$1:$G$1,0))</f>
        <v>Rob</v>
      </c>
      <c r="I222" t="str">
        <f>INDEX(products!$A$1:$G$49,MATCH(orders!$D222,products!$A$1:$A$49,0),MATCH(orders!I$1,products!$A$1:$G$1,0))</f>
        <v>M</v>
      </c>
      <c r="J222" s="5">
        <f>INDEX(products!$A$1:$G$49,MATCH(orders!$D222,products!$A$1:$A$49,0),MATCH(orders!J$1,products!$A$1:$G$1,0))</f>
        <v>0.2</v>
      </c>
      <c r="K222" s="6">
        <f>INDEX(products!$A$1:$G$49,MATCH(orders!$D222,products!$A$1:$A$49,0),MATCH(orders!K$1,products!$A$1:$G$1,0))</f>
        <v>2.9849999999999999</v>
      </c>
      <c r="L222" s="6">
        <f>K222*E222</f>
        <v>14.924999999999999</v>
      </c>
      <c r="M222" t="str" cm="1">
        <f t="array" ref="M222">_xlfn.IFS(H222="Rob","Robusta",H222="Exc","Excelsa",H222="Ara","Arabica",H222="Lib","Liberica")</f>
        <v>Robusta</v>
      </c>
      <c r="N222" t="str" cm="1">
        <f t="array" ref="N222">_xlfn.IFS(I222="M","Medium",I222="L","Light",I222="D","Dark")</f>
        <v>Medium</v>
      </c>
      <c r="O222" t="str">
        <f>_xlfn.XLOOKUP(Orders[[#This Row],[Customer ID]],customers!$A$2:$A$1001,customers!$I$2:$I$1001,,0)</f>
        <v>No</v>
      </c>
    </row>
    <row r="223" spans="1:15" x14ac:dyDescent="0.3">
      <c r="A223" s="2" t="s">
        <v>1736</v>
      </c>
      <c r="B223" s="3">
        <v>44513</v>
      </c>
      <c r="C223" s="2" t="s">
        <v>1737</v>
      </c>
      <c r="D223" t="s">
        <v>6140</v>
      </c>
      <c r="E223" s="2">
        <v>6</v>
      </c>
      <c r="F223" s="2" t="str">
        <f>_xlfn.XLOOKUP(C223,customers!$A$2:$A$1001,customers!$B$2:$B$1001,,0)</f>
        <v>Lenka Rushmer</v>
      </c>
      <c r="G223" s="2" t="str">
        <f>_xlfn.XLOOKUP(C223,customers!$A$2:$A$1001,customers!$G$2:$G$1001,,0)</f>
        <v>United States</v>
      </c>
      <c r="H223" t="str">
        <f>INDEX(products!$A$1:$G$49,MATCH(orders!$D223,products!$A$1:$A$49,0),MATCH(orders!H$1,products!$A$1:$G$1,0))</f>
        <v>Ara</v>
      </c>
      <c r="I223" t="str">
        <f>INDEX(products!$A$1:$G$49,MATCH(orders!$D223,products!$A$1:$A$49,0),MATCH(orders!I$1,products!$A$1:$G$1,0))</f>
        <v>L</v>
      </c>
      <c r="J223" s="5">
        <f>INDEX(products!$A$1:$G$49,MATCH(orders!$D223,products!$A$1:$A$49,0),MATCH(orders!J$1,products!$A$1:$G$1,0))</f>
        <v>1</v>
      </c>
      <c r="K223" s="6">
        <f>INDEX(products!$A$1:$G$49,MATCH(orders!$D223,products!$A$1:$A$49,0),MATCH(orders!K$1,products!$A$1:$G$1,0))</f>
        <v>12.95</v>
      </c>
      <c r="L223" s="6">
        <f>K223*E223</f>
        <v>77.699999999999989</v>
      </c>
      <c r="M223" t="str" cm="1">
        <f t="array" ref="M223">_xlfn.IFS(H223="Rob","Robusta",H223="Exc","Excelsa",H223="Ara","Arabica",H223="Lib","Liberica")</f>
        <v>Arabica</v>
      </c>
      <c r="N223" t="str" cm="1">
        <f t="array" ref="N223">_xlfn.IFS(I223="M","Medium",I223="L","Light",I223="D","Dark")</f>
        <v>Light</v>
      </c>
      <c r="O223" t="str">
        <f>_xlfn.XLOOKUP(Orders[[#This Row],[Customer ID]],customers!$A$2:$A$1001,customers!$I$2:$I$1001,,0)</f>
        <v>Yes</v>
      </c>
    </row>
    <row r="224" spans="1:15" x14ac:dyDescent="0.3">
      <c r="A224" s="2" t="s">
        <v>1742</v>
      </c>
      <c r="B224" s="3">
        <v>44090</v>
      </c>
      <c r="C224" s="2" t="s">
        <v>1743</v>
      </c>
      <c r="D224" t="s">
        <v>6169</v>
      </c>
      <c r="E224" s="2">
        <v>3</v>
      </c>
      <c r="F224" s="2" t="str">
        <f>_xlfn.XLOOKUP(C224,customers!$A$2:$A$1001,customers!$B$2:$B$1001,,0)</f>
        <v>Waneta Edinborough</v>
      </c>
      <c r="G224" s="2" t="str">
        <f>_xlfn.XLOOKUP(C224,customers!$A$2:$A$1001,customers!$G$2:$G$1001,,0)</f>
        <v>United States</v>
      </c>
      <c r="H224" t="str">
        <f>INDEX(products!$A$1:$G$49,MATCH(orders!$D224,products!$A$1:$A$49,0),MATCH(orders!H$1,products!$A$1:$G$1,0))</f>
        <v>Lib</v>
      </c>
      <c r="I224" t="str">
        <f>INDEX(products!$A$1:$G$49,MATCH(orders!$D224,products!$A$1:$A$49,0),MATCH(orders!I$1,products!$A$1:$G$1,0))</f>
        <v>D</v>
      </c>
      <c r="J224" s="5">
        <f>INDEX(products!$A$1:$G$49,MATCH(orders!$D224,products!$A$1:$A$49,0),MATCH(orders!J$1,products!$A$1:$G$1,0))</f>
        <v>0.5</v>
      </c>
      <c r="K224" s="6">
        <f>INDEX(products!$A$1:$G$49,MATCH(orders!$D224,products!$A$1:$A$49,0),MATCH(orders!K$1,products!$A$1:$G$1,0))</f>
        <v>7.77</v>
      </c>
      <c r="L224" s="6">
        <f>K224*E224</f>
        <v>23.31</v>
      </c>
      <c r="M224" t="str" cm="1">
        <f t="array" ref="M224">_xlfn.IFS(H224="Rob","Robusta",H224="Exc","Excelsa",H224="Ara","Arabica",H224="Lib","Liberica")</f>
        <v>Liberica</v>
      </c>
      <c r="N224" t="str" cm="1">
        <f t="array" ref="N224">_xlfn.IFS(I224="M","Medium",I224="L","Light",I224="D","Dark")</f>
        <v>Dark</v>
      </c>
      <c r="O224" t="str">
        <f>_xlfn.XLOOKUP(Orders[[#This Row],[Customer ID]],customers!$A$2:$A$1001,customers!$I$2:$I$1001,,0)</f>
        <v>No</v>
      </c>
    </row>
    <row r="225" spans="1:15" x14ac:dyDescent="0.3">
      <c r="A225" s="2" t="s">
        <v>1748</v>
      </c>
      <c r="B225" s="3">
        <v>44109</v>
      </c>
      <c r="C225" s="2" t="s">
        <v>1749</v>
      </c>
      <c r="D225" t="s">
        <v>6171</v>
      </c>
      <c r="E225" s="2">
        <v>4</v>
      </c>
      <c r="F225" s="2" t="str">
        <f>_xlfn.XLOOKUP(C225,customers!$A$2:$A$1001,customers!$B$2:$B$1001,,0)</f>
        <v>Bobbe Piggott</v>
      </c>
      <c r="G225" s="2" t="str">
        <f>_xlfn.XLOOKUP(C225,customers!$A$2:$A$1001,customers!$G$2:$G$1001,,0)</f>
        <v>United States</v>
      </c>
      <c r="H225" t="str">
        <f>INDEX(products!$A$1:$G$49,MATCH(orders!$D225,products!$A$1:$A$49,0),MATCH(orders!H$1,products!$A$1:$G$1,0))</f>
        <v>Exc</v>
      </c>
      <c r="I225" t="str">
        <f>INDEX(products!$A$1:$G$49,MATCH(orders!$D225,products!$A$1:$A$49,0),MATCH(orders!I$1,products!$A$1:$G$1,0))</f>
        <v>L</v>
      </c>
      <c r="J225" s="5">
        <f>INDEX(products!$A$1:$G$49,MATCH(orders!$D225,products!$A$1:$A$49,0),MATCH(orders!J$1,products!$A$1:$G$1,0))</f>
        <v>1</v>
      </c>
      <c r="K225" s="6">
        <f>INDEX(products!$A$1:$G$49,MATCH(orders!$D225,products!$A$1:$A$49,0),MATCH(orders!K$1,products!$A$1:$G$1,0))</f>
        <v>14.85</v>
      </c>
      <c r="L225" s="6">
        <f>K225*E225</f>
        <v>59.4</v>
      </c>
      <c r="M225" t="str" cm="1">
        <f t="array" ref="M225">_xlfn.IFS(H225="Rob","Robusta",H225="Exc","Excelsa",H225="Ara","Arabica",H225="Lib","Liberica")</f>
        <v>Excelsa</v>
      </c>
      <c r="N225" t="str" cm="1">
        <f t="array" ref="N225">_xlfn.IFS(I225="M","Medium",I225="L","Light",I225="D","Dark")</f>
        <v>Light</v>
      </c>
      <c r="O225" t="str">
        <f>_xlfn.XLOOKUP(Orders[[#This Row],[Customer ID]],customers!$A$2:$A$1001,customers!$I$2:$I$1001,,0)</f>
        <v>Yes</v>
      </c>
    </row>
    <row r="226" spans="1:15" x14ac:dyDescent="0.3">
      <c r="A226" s="2" t="s">
        <v>1753</v>
      </c>
      <c r="B226" s="3">
        <v>43836</v>
      </c>
      <c r="C226" s="2" t="s">
        <v>1754</v>
      </c>
      <c r="D226" t="s">
        <v>6165</v>
      </c>
      <c r="E226" s="2">
        <v>4</v>
      </c>
      <c r="F226" s="2" t="str">
        <f>_xlfn.XLOOKUP(C226,customers!$A$2:$A$1001,customers!$B$2:$B$1001,,0)</f>
        <v>Ketty Bromehead</v>
      </c>
      <c r="G226" s="2" t="str">
        <f>_xlfn.XLOOKUP(C226,customers!$A$2:$A$1001,customers!$G$2:$G$1001,,0)</f>
        <v>United States</v>
      </c>
      <c r="H226" t="str">
        <f>INDEX(products!$A$1:$G$49,MATCH(orders!$D226,products!$A$1:$A$49,0),MATCH(orders!H$1,products!$A$1:$G$1,0))</f>
        <v>Lib</v>
      </c>
      <c r="I226" t="str">
        <f>INDEX(products!$A$1:$G$49,MATCH(orders!$D226,products!$A$1:$A$49,0),MATCH(orders!I$1,products!$A$1:$G$1,0))</f>
        <v>D</v>
      </c>
      <c r="J226" s="5">
        <f>INDEX(products!$A$1:$G$49,MATCH(orders!$D226,products!$A$1:$A$49,0),MATCH(orders!J$1,products!$A$1:$G$1,0))</f>
        <v>2.5</v>
      </c>
      <c r="K226" s="6">
        <f>INDEX(products!$A$1:$G$49,MATCH(orders!$D226,products!$A$1:$A$49,0),MATCH(orders!K$1,products!$A$1:$G$1,0))</f>
        <v>29.784999999999997</v>
      </c>
      <c r="L226" s="6">
        <f>K226*E226</f>
        <v>119.13999999999999</v>
      </c>
      <c r="M226" t="str" cm="1">
        <f t="array" ref="M226">_xlfn.IFS(H226="Rob","Robusta",H226="Exc","Excelsa",H226="Ara","Arabica",H226="Lib","Liberica")</f>
        <v>Liberica</v>
      </c>
      <c r="N226" t="str" cm="1">
        <f t="array" ref="N226">_xlfn.IFS(I226="M","Medium",I226="L","Light",I226="D","Dark")</f>
        <v>Dark</v>
      </c>
      <c r="O226" t="str">
        <f>_xlfn.XLOOKUP(Orders[[#This Row],[Customer ID]],customers!$A$2:$A$1001,customers!$I$2:$I$1001,,0)</f>
        <v>Yes</v>
      </c>
    </row>
    <row r="227" spans="1:15" x14ac:dyDescent="0.3">
      <c r="A227" s="2" t="s">
        <v>1759</v>
      </c>
      <c r="B227" s="3">
        <v>44337</v>
      </c>
      <c r="C227" s="2" t="s">
        <v>1760</v>
      </c>
      <c r="D227" t="s">
        <v>6178</v>
      </c>
      <c r="E227" s="2">
        <v>4</v>
      </c>
      <c r="F227" s="2" t="str">
        <f>_xlfn.XLOOKUP(C227,customers!$A$2:$A$1001,customers!$B$2:$B$1001,,0)</f>
        <v>Elsbeth Westerman</v>
      </c>
      <c r="G227" s="2" t="str">
        <f>_xlfn.XLOOKUP(C227,customers!$A$2:$A$1001,customers!$G$2:$G$1001,,0)</f>
        <v>Ireland</v>
      </c>
      <c r="H227" t="str">
        <f>INDEX(products!$A$1:$G$49,MATCH(orders!$D227,products!$A$1:$A$49,0),MATCH(orders!H$1,products!$A$1:$G$1,0))</f>
        <v>Rob</v>
      </c>
      <c r="I227" t="str">
        <f>INDEX(products!$A$1:$G$49,MATCH(orders!$D227,products!$A$1:$A$49,0),MATCH(orders!I$1,products!$A$1:$G$1,0))</f>
        <v>L</v>
      </c>
      <c r="J227" s="5">
        <f>INDEX(products!$A$1:$G$49,MATCH(orders!$D227,products!$A$1:$A$49,0),MATCH(orders!J$1,products!$A$1:$G$1,0))</f>
        <v>0.2</v>
      </c>
      <c r="K227" s="6">
        <f>INDEX(products!$A$1:$G$49,MATCH(orders!$D227,products!$A$1:$A$49,0),MATCH(orders!K$1,products!$A$1:$G$1,0))</f>
        <v>3.5849999999999995</v>
      </c>
      <c r="L227" s="6">
        <f>K227*E227</f>
        <v>14.339999999999998</v>
      </c>
      <c r="M227" t="str" cm="1">
        <f t="array" ref="M227">_xlfn.IFS(H227="Rob","Robusta",H227="Exc","Excelsa",H227="Ara","Arabica",H227="Lib","Liberica")</f>
        <v>Robusta</v>
      </c>
      <c r="N227" t="str" cm="1">
        <f t="array" ref="N227">_xlfn.IFS(I227="M","Medium",I227="L","Light",I227="D","Dark")</f>
        <v>Light</v>
      </c>
      <c r="O227" t="str">
        <f>_xlfn.XLOOKUP(Orders[[#This Row],[Customer ID]],customers!$A$2:$A$1001,customers!$I$2:$I$1001,,0)</f>
        <v>No</v>
      </c>
    </row>
    <row r="228" spans="1:15" x14ac:dyDescent="0.3">
      <c r="A228" s="2" t="s">
        <v>1765</v>
      </c>
      <c r="B228" s="3">
        <v>43887</v>
      </c>
      <c r="C228" s="2" t="s">
        <v>1766</v>
      </c>
      <c r="D228" t="s">
        <v>6175</v>
      </c>
      <c r="E228" s="2">
        <v>5</v>
      </c>
      <c r="F228" s="2" t="str">
        <f>_xlfn.XLOOKUP(C228,customers!$A$2:$A$1001,customers!$B$2:$B$1001,,0)</f>
        <v>Anabelle Hutchens</v>
      </c>
      <c r="G228" s="2" t="str">
        <f>_xlfn.XLOOKUP(C228,customers!$A$2:$A$1001,customers!$G$2:$G$1001,,0)</f>
        <v>United States</v>
      </c>
      <c r="H228" t="str">
        <f>INDEX(products!$A$1:$G$49,MATCH(orders!$D228,products!$A$1:$A$49,0),MATCH(orders!H$1,products!$A$1:$G$1,0))</f>
        <v>Ara</v>
      </c>
      <c r="I228" t="str">
        <f>INDEX(products!$A$1:$G$49,MATCH(orders!$D228,products!$A$1:$A$49,0),MATCH(orders!I$1,products!$A$1:$G$1,0))</f>
        <v>M</v>
      </c>
      <c r="J228" s="5">
        <f>INDEX(products!$A$1:$G$49,MATCH(orders!$D228,products!$A$1:$A$49,0),MATCH(orders!J$1,products!$A$1:$G$1,0))</f>
        <v>2.5</v>
      </c>
      <c r="K228" s="6">
        <f>INDEX(products!$A$1:$G$49,MATCH(orders!$D228,products!$A$1:$A$49,0),MATCH(orders!K$1,products!$A$1:$G$1,0))</f>
        <v>25.874999999999996</v>
      </c>
      <c r="L228" s="6">
        <f>K228*E228</f>
        <v>129.37499999999997</v>
      </c>
      <c r="M228" t="str" cm="1">
        <f t="array" ref="M228">_xlfn.IFS(H228="Rob","Robusta",H228="Exc","Excelsa",H228="Ara","Arabica",H228="Lib","Liberica")</f>
        <v>Arabica</v>
      </c>
      <c r="N228" t="str" cm="1">
        <f t="array" ref="N228">_xlfn.IFS(I228="M","Medium",I228="L","Light",I228="D","Dark")</f>
        <v>Medium</v>
      </c>
      <c r="O228" t="str">
        <f>_xlfn.XLOOKUP(Orders[[#This Row],[Customer ID]],customers!$A$2:$A$1001,customers!$I$2:$I$1001,,0)</f>
        <v>No</v>
      </c>
    </row>
    <row r="229" spans="1:15" x14ac:dyDescent="0.3">
      <c r="A229" s="2" t="s">
        <v>1771</v>
      </c>
      <c r="B229" s="3">
        <v>43880</v>
      </c>
      <c r="C229" s="2" t="s">
        <v>1772</v>
      </c>
      <c r="D229" t="s">
        <v>6163</v>
      </c>
      <c r="E229" s="2">
        <v>6</v>
      </c>
      <c r="F229" s="2" t="str">
        <f>_xlfn.XLOOKUP(C229,customers!$A$2:$A$1001,customers!$B$2:$B$1001,,0)</f>
        <v>Noak Wyvill</v>
      </c>
      <c r="G229" s="2" t="str">
        <f>_xlfn.XLOOKUP(C229,customers!$A$2:$A$1001,customers!$G$2:$G$1001,,0)</f>
        <v>United Kingdom</v>
      </c>
      <c r="H229" t="str">
        <f>INDEX(products!$A$1:$G$49,MATCH(orders!$D229,products!$A$1:$A$49,0),MATCH(orders!H$1,products!$A$1:$G$1,0))</f>
        <v>Rob</v>
      </c>
      <c r="I229" t="str">
        <f>INDEX(products!$A$1:$G$49,MATCH(orders!$D229,products!$A$1:$A$49,0),MATCH(orders!I$1,products!$A$1:$G$1,0))</f>
        <v>D</v>
      </c>
      <c r="J229" s="5">
        <f>INDEX(products!$A$1:$G$49,MATCH(orders!$D229,products!$A$1:$A$49,0),MATCH(orders!J$1,products!$A$1:$G$1,0))</f>
        <v>0.2</v>
      </c>
      <c r="K229" s="6">
        <f>INDEX(products!$A$1:$G$49,MATCH(orders!$D229,products!$A$1:$A$49,0),MATCH(orders!K$1,products!$A$1:$G$1,0))</f>
        <v>2.6849999999999996</v>
      </c>
      <c r="L229" s="6">
        <f>K229*E229</f>
        <v>16.11</v>
      </c>
      <c r="M229" t="str" cm="1">
        <f t="array" ref="M229">_xlfn.IFS(H229="Rob","Robusta",H229="Exc","Excelsa",H229="Ara","Arabica",H229="Lib","Liberica")</f>
        <v>Robusta</v>
      </c>
      <c r="N229" t="str" cm="1">
        <f t="array" ref="N229">_xlfn.IFS(I229="M","Medium",I229="L","Light",I229="D","Dark")</f>
        <v>Dark</v>
      </c>
      <c r="O229" t="str">
        <f>_xlfn.XLOOKUP(Orders[[#This Row],[Customer ID]],customers!$A$2:$A$1001,customers!$I$2:$I$1001,,0)</f>
        <v>Yes</v>
      </c>
    </row>
    <row r="230" spans="1:15" x14ac:dyDescent="0.3">
      <c r="A230" s="2" t="s">
        <v>1777</v>
      </c>
      <c r="B230" s="3">
        <v>44376</v>
      </c>
      <c r="C230" s="2" t="s">
        <v>1778</v>
      </c>
      <c r="D230" t="s">
        <v>6178</v>
      </c>
      <c r="E230" s="2">
        <v>5</v>
      </c>
      <c r="F230" s="2" t="str">
        <f>_xlfn.XLOOKUP(C230,customers!$A$2:$A$1001,customers!$B$2:$B$1001,,0)</f>
        <v>Beltran Mathon</v>
      </c>
      <c r="G230" s="2" t="str">
        <f>_xlfn.XLOOKUP(C230,customers!$A$2:$A$1001,customers!$G$2:$G$1001,,0)</f>
        <v>United States</v>
      </c>
      <c r="H230" t="str">
        <f>INDEX(products!$A$1:$G$49,MATCH(orders!$D230,products!$A$1:$A$49,0),MATCH(orders!H$1,products!$A$1:$G$1,0))</f>
        <v>Rob</v>
      </c>
      <c r="I230" t="str">
        <f>INDEX(products!$A$1:$G$49,MATCH(orders!$D230,products!$A$1:$A$49,0),MATCH(orders!I$1,products!$A$1:$G$1,0))</f>
        <v>L</v>
      </c>
      <c r="J230" s="5">
        <f>INDEX(products!$A$1:$G$49,MATCH(orders!$D230,products!$A$1:$A$49,0),MATCH(orders!J$1,products!$A$1:$G$1,0))</f>
        <v>0.2</v>
      </c>
      <c r="K230" s="6">
        <f>INDEX(products!$A$1:$G$49,MATCH(orders!$D230,products!$A$1:$A$49,0),MATCH(orders!K$1,products!$A$1:$G$1,0))</f>
        <v>3.5849999999999995</v>
      </c>
      <c r="L230" s="6">
        <f>K230*E230</f>
        <v>17.924999999999997</v>
      </c>
      <c r="M230" t="str" cm="1">
        <f t="array" ref="M230">_xlfn.IFS(H230="Rob","Robusta",H230="Exc","Excelsa",H230="Ara","Arabica",H230="Lib","Liberica")</f>
        <v>Robusta</v>
      </c>
      <c r="N230" t="str" cm="1">
        <f t="array" ref="N230">_xlfn.IFS(I230="M","Medium",I230="L","Light",I230="D","Dark")</f>
        <v>Light</v>
      </c>
      <c r="O230" t="str">
        <f>_xlfn.XLOOKUP(Orders[[#This Row],[Customer ID]],customers!$A$2:$A$1001,customers!$I$2:$I$1001,,0)</f>
        <v>No</v>
      </c>
    </row>
    <row r="231" spans="1:15" x14ac:dyDescent="0.3">
      <c r="A231" s="2" t="s">
        <v>1783</v>
      </c>
      <c r="B231" s="3">
        <v>44282</v>
      </c>
      <c r="C231" s="2" t="s">
        <v>1784</v>
      </c>
      <c r="D231" t="s">
        <v>6159</v>
      </c>
      <c r="E231" s="2">
        <v>2</v>
      </c>
      <c r="F231" s="2" t="str">
        <f>_xlfn.XLOOKUP(C231,customers!$A$2:$A$1001,customers!$B$2:$B$1001,,0)</f>
        <v>Kristos Streight</v>
      </c>
      <c r="G231" s="2" t="str">
        <f>_xlfn.XLOOKUP(C231,customers!$A$2:$A$1001,customers!$G$2:$G$1001,,0)</f>
        <v>United States</v>
      </c>
      <c r="H231" t="str">
        <f>INDEX(products!$A$1:$G$49,MATCH(orders!$D231,products!$A$1:$A$49,0),MATCH(orders!H$1,products!$A$1:$G$1,0))</f>
        <v>Lib</v>
      </c>
      <c r="I231" t="str">
        <f>INDEX(products!$A$1:$G$49,MATCH(orders!$D231,products!$A$1:$A$49,0),MATCH(orders!I$1,products!$A$1:$G$1,0))</f>
        <v>M</v>
      </c>
      <c r="J231" s="5">
        <f>INDEX(products!$A$1:$G$49,MATCH(orders!$D231,products!$A$1:$A$49,0),MATCH(orders!J$1,products!$A$1:$G$1,0))</f>
        <v>0.2</v>
      </c>
      <c r="K231" s="6">
        <f>INDEX(products!$A$1:$G$49,MATCH(orders!$D231,products!$A$1:$A$49,0),MATCH(orders!K$1,products!$A$1:$G$1,0))</f>
        <v>4.3650000000000002</v>
      </c>
      <c r="L231" s="6">
        <f>K231*E231</f>
        <v>8.73</v>
      </c>
      <c r="M231" t="str" cm="1">
        <f t="array" ref="M231">_xlfn.IFS(H231="Rob","Robusta",H231="Exc","Excelsa",H231="Ara","Arabica",H231="Lib","Liberica")</f>
        <v>Liberica</v>
      </c>
      <c r="N231" t="str" cm="1">
        <f t="array" ref="N231">_xlfn.IFS(I231="M","Medium",I231="L","Light",I231="D","Dark")</f>
        <v>Medium</v>
      </c>
      <c r="O231" t="str">
        <f>_xlfn.XLOOKUP(Orders[[#This Row],[Customer ID]],customers!$A$2:$A$1001,customers!$I$2:$I$1001,,0)</f>
        <v>No</v>
      </c>
    </row>
    <row r="232" spans="1:15" x14ac:dyDescent="0.3">
      <c r="A232" s="2" t="s">
        <v>1789</v>
      </c>
      <c r="B232" s="3">
        <v>44496</v>
      </c>
      <c r="C232" s="2" t="s">
        <v>1790</v>
      </c>
      <c r="D232" t="s">
        <v>6175</v>
      </c>
      <c r="E232" s="2">
        <v>2</v>
      </c>
      <c r="F232" s="2" t="str">
        <f>_xlfn.XLOOKUP(C232,customers!$A$2:$A$1001,customers!$B$2:$B$1001,,0)</f>
        <v>Portie Cutchie</v>
      </c>
      <c r="G232" s="2" t="str">
        <f>_xlfn.XLOOKUP(C232,customers!$A$2:$A$1001,customers!$G$2:$G$1001,,0)</f>
        <v>United States</v>
      </c>
      <c r="H232" t="str">
        <f>INDEX(products!$A$1:$G$49,MATCH(orders!$D232,products!$A$1:$A$49,0),MATCH(orders!H$1,products!$A$1:$G$1,0))</f>
        <v>Ara</v>
      </c>
      <c r="I232" t="str">
        <f>INDEX(products!$A$1:$G$49,MATCH(orders!$D232,products!$A$1:$A$49,0),MATCH(orders!I$1,products!$A$1:$G$1,0))</f>
        <v>M</v>
      </c>
      <c r="J232" s="5">
        <f>INDEX(products!$A$1:$G$49,MATCH(orders!$D232,products!$A$1:$A$49,0),MATCH(orders!J$1,products!$A$1:$G$1,0))</f>
        <v>2.5</v>
      </c>
      <c r="K232" s="6">
        <f>INDEX(products!$A$1:$G$49,MATCH(orders!$D232,products!$A$1:$A$49,0),MATCH(orders!K$1,products!$A$1:$G$1,0))</f>
        <v>25.874999999999996</v>
      </c>
      <c r="L232" s="6">
        <f>K232*E232</f>
        <v>51.749999999999993</v>
      </c>
      <c r="M232" t="str" cm="1">
        <f t="array" ref="M232">_xlfn.IFS(H232="Rob","Robusta",H232="Exc","Excelsa",H232="Ara","Arabica",H232="Lib","Liberica")</f>
        <v>Arabica</v>
      </c>
      <c r="N232" t="str" cm="1">
        <f t="array" ref="N232">_xlfn.IFS(I232="M","Medium",I232="L","Light",I232="D","Dark")</f>
        <v>Medium</v>
      </c>
      <c r="O232" t="str">
        <f>_xlfn.XLOOKUP(Orders[[#This Row],[Customer ID]],customers!$A$2:$A$1001,customers!$I$2:$I$1001,,0)</f>
        <v>No</v>
      </c>
    </row>
    <row r="233" spans="1:15" x14ac:dyDescent="0.3">
      <c r="A233" s="2" t="s">
        <v>1795</v>
      </c>
      <c r="B233" s="3">
        <v>43628</v>
      </c>
      <c r="C233" s="2" t="s">
        <v>1796</v>
      </c>
      <c r="D233" t="s">
        <v>6159</v>
      </c>
      <c r="E233" s="2">
        <v>2</v>
      </c>
      <c r="F233" s="2" t="str">
        <f>_xlfn.XLOOKUP(C233,customers!$A$2:$A$1001,customers!$B$2:$B$1001,,0)</f>
        <v>Sinclare Edsell</v>
      </c>
      <c r="G233" s="2" t="str">
        <f>_xlfn.XLOOKUP(C233,customers!$A$2:$A$1001,customers!$G$2:$G$1001,,0)</f>
        <v>United States</v>
      </c>
      <c r="H233" t="str">
        <f>INDEX(products!$A$1:$G$49,MATCH(orders!$D233,products!$A$1:$A$49,0),MATCH(orders!H$1,products!$A$1:$G$1,0))</f>
        <v>Lib</v>
      </c>
      <c r="I233" t="str">
        <f>INDEX(products!$A$1:$G$49,MATCH(orders!$D233,products!$A$1:$A$49,0),MATCH(orders!I$1,products!$A$1:$G$1,0))</f>
        <v>M</v>
      </c>
      <c r="J233" s="5">
        <f>INDEX(products!$A$1:$G$49,MATCH(orders!$D233,products!$A$1:$A$49,0),MATCH(orders!J$1,products!$A$1:$G$1,0))</f>
        <v>0.2</v>
      </c>
      <c r="K233" s="6">
        <f>INDEX(products!$A$1:$G$49,MATCH(orders!$D233,products!$A$1:$A$49,0),MATCH(orders!K$1,products!$A$1:$G$1,0))</f>
        <v>4.3650000000000002</v>
      </c>
      <c r="L233" s="6">
        <f>K233*E233</f>
        <v>8.73</v>
      </c>
      <c r="M233" t="str" cm="1">
        <f t="array" ref="M233">_xlfn.IFS(H233="Rob","Robusta",H233="Exc","Excelsa",H233="Ara","Arabica",H233="Lib","Liberica")</f>
        <v>Liberica</v>
      </c>
      <c r="N233" t="str" cm="1">
        <f t="array" ref="N233">_xlfn.IFS(I233="M","Medium",I233="L","Light",I233="D","Dark")</f>
        <v>Medium</v>
      </c>
      <c r="O233" t="str">
        <f>_xlfn.XLOOKUP(Orders[[#This Row],[Customer ID]],customers!$A$2:$A$1001,customers!$I$2:$I$1001,,0)</f>
        <v>Yes</v>
      </c>
    </row>
    <row r="234" spans="1:15" x14ac:dyDescent="0.3">
      <c r="A234" s="2" t="s">
        <v>1800</v>
      </c>
      <c r="B234" s="3">
        <v>44010</v>
      </c>
      <c r="C234" s="2" t="s">
        <v>1801</v>
      </c>
      <c r="D234" t="s">
        <v>6145</v>
      </c>
      <c r="E234" s="2">
        <v>5</v>
      </c>
      <c r="F234" s="2" t="str">
        <f>_xlfn.XLOOKUP(C234,customers!$A$2:$A$1001,customers!$B$2:$B$1001,,0)</f>
        <v>Conny Gheraldi</v>
      </c>
      <c r="G234" s="2" t="str">
        <f>_xlfn.XLOOKUP(C234,customers!$A$2:$A$1001,customers!$G$2:$G$1001,,0)</f>
        <v>United Kingdom</v>
      </c>
      <c r="H234" t="str">
        <f>INDEX(products!$A$1:$G$49,MATCH(orders!$D234,products!$A$1:$A$49,0),MATCH(orders!H$1,products!$A$1:$G$1,0))</f>
        <v>Lib</v>
      </c>
      <c r="I234" t="str">
        <f>INDEX(products!$A$1:$G$49,MATCH(orders!$D234,products!$A$1:$A$49,0),MATCH(orders!I$1,products!$A$1:$G$1,0))</f>
        <v>L</v>
      </c>
      <c r="J234" s="5">
        <f>INDEX(products!$A$1:$G$49,MATCH(orders!$D234,products!$A$1:$A$49,0),MATCH(orders!J$1,products!$A$1:$G$1,0))</f>
        <v>0.2</v>
      </c>
      <c r="K234" s="6">
        <f>INDEX(products!$A$1:$G$49,MATCH(orders!$D234,products!$A$1:$A$49,0),MATCH(orders!K$1,products!$A$1:$G$1,0))</f>
        <v>4.7549999999999999</v>
      </c>
      <c r="L234" s="6">
        <f>K234*E234</f>
        <v>23.774999999999999</v>
      </c>
      <c r="M234" t="str" cm="1">
        <f t="array" ref="M234">_xlfn.IFS(H234="Rob","Robusta",H234="Exc","Excelsa",H234="Ara","Arabica",H234="Lib","Liberica")</f>
        <v>Liberica</v>
      </c>
      <c r="N234" t="str" cm="1">
        <f t="array" ref="N234">_xlfn.IFS(I234="M","Medium",I234="L","Light",I234="D","Dark")</f>
        <v>Light</v>
      </c>
      <c r="O234" t="str">
        <f>_xlfn.XLOOKUP(Orders[[#This Row],[Customer ID]],customers!$A$2:$A$1001,customers!$I$2:$I$1001,,0)</f>
        <v>No</v>
      </c>
    </row>
    <row r="235" spans="1:15" x14ac:dyDescent="0.3">
      <c r="A235" s="2" t="s">
        <v>1806</v>
      </c>
      <c r="B235" s="3">
        <v>44278</v>
      </c>
      <c r="C235" s="2" t="s">
        <v>1807</v>
      </c>
      <c r="D235" t="s">
        <v>6156</v>
      </c>
      <c r="E235" s="2">
        <v>5</v>
      </c>
      <c r="F235" s="2" t="str">
        <f>_xlfn.XLOOKUP(C235,customers!$A$2:$A$1001,customers!$B$2:$B$1001,,0)</f>
        <v>Beryle Kenwell</v>
      </c>
      <c r="G235" s="2" t="str">
        <f>_xlfn.XLOOKUP(C235,customers!$A$2:$A$1001,customers!$G$2:$G$1001,,0)</f>
        <v>United States</v>
      </c>
      <c r="H235" t="str">
        <f>INDEX(products!$A$1:$G$49,MATCH(orders!$D235,products!$A$1:$A$49,0),MATCH(orders!H$1,products!$A$1:$G$1,0))</f>
        <v>Exc</v>
      </c>
      <c r="I235" t="str">
        <f>INDEX(products!$A$1:$G$49,MATCH(orders!$D235,products!$A$1:$A$49,0),MATCH(orders!I$1,products!$A$1:$G$1,0))</f>
        <v>M</v>
      </c>
      <c r="J235" s="5">
        <f>INDEX(products!$A$1:$G$49,MATCH(orders!$D235,products!$A$1:$A$49,0),MATCH(orders!J$1,products!$A$1:$G$1,0))</f>
        <v>0.2</v>
      </c>
      <c r="K235" s="6">
        <f>INDEX(products!$A$1:$G$49,MATCH(orders!$D235,products!$A$1:$A$49,0),MATCH(orders!K$1,products!$A$1:$G$1,0))</f>
        <v>4.125</v>
      </c>
      <c r="L235" s="6">
        <f>K235*E235</f>
        <v>20.625</v>
      </c>
      <c r="M235" t="str" cm="1">
        <f t="array" ref="M235">_xlfn.IFS(H235="Rob","Robusta",H235="Exc","Excelsa",H235="Ara","Arabica",H235="Lib","Liberica")</f>
        <v>Excelsa</v>
      </c>
      <c r="N235" t="str" cm="1">
        <f t="array" ref="N235">_xlfn.IFS(I235="M","Medium",I235="L","Light",I235="D","Dark")</f>
        <v>Medium</v>
      </c>
      <c r="O235" t="str">
        <f>_xlfn.XLOOKUP(Orders[[#This Row],[Customer ID]],customers!$A$2:$A$1001,customers!$I$2:$I$1001,,0)</f>
        <v>No</v>
      </c>
    </row>
    <row r="236" spans="1:15" x14ac:dyDescent="0.3">
      <c r="A236" s="2" t="s">
        <v>1812</v>
      </c>
      <c r="B236" s="3">
        <v>44602</v>
      </c>
      <c r="C236" s="2" t="s">
        <v>1813</v>
      </c>
      <c r="D236" t="s">
        <v>6164</v>
      </c>
      <c r="E236" s="2">
        <v>1</v>
      </c>
      <c r="F236" s="2" t="str">
        <f>_xlfn.XLOOKUP(C236,customers!$A$2:$A$1001,customers!$B$2:$B$1001,,0)</f>
        <v>Tomas Sutty</v>
      </c>
      <c r="G236" s="2" t="str">
        <f>_xlfn.XLOOKUP(C236,customers!$A$2:$A$1001,customers!$G$2:$G$1001,,0)</f>
        <v>United States</v>
      </c>
      <c r="H236" t="str">
        <f>INDEX(products!$A$1:$G$49,MATCH(orders!$D236,products!$A$1:$A$49,0),MATCH(orders!H$1,products!$A$1:$G$1,0))</f>
        <v>Lib</v>
      </c>
      <c r="I236" t="str">
        <f>INDEX(products!$A$1:$G$49,MATCH(orders!$D236,products!$A$1:$A$49,0),MATCH(orders!I$1,products!$A$1:$G$1,0))</f>
        <v>L</v>
      </c>
      <c r="J236" s="5">
        <f>INDEX(products!$A$1:$G$49,MATCH(orders!$D236,products!$A$1:$A$49,0),MATCH(orders!J$1,products!$A$1:$G$1,0))</f>
        <v>2.5</v>
      </c>
      <c r="K236" s="6">
        <f>INDEX(products!$A$1:$G$49,MATCH(orders!$D236,products!$A$1:$A$49,0),MATCH(orders!K$1,products!$A$1:$G$1,0))</f>
        <v>36.454999999999998</v>
      </c>
      <c r="L236" s="6">
        <f>K236*E236</f>
        <v>36.454999999999998</v>
      </c>
      <c r="M236" t="str" cm="1">
        <f t="array" ref="M236">_xlfn.IFS(H236="Rob","Robusta",H236="Exc","Excelsa",H236="Ara","Arabica",H236="Lib","Liberica")</f>
        <v>Liberica</v>
      </c>
      <c r="N236" t="str" cm="1">
        <f t="array" ref="N236">_xlfn.IFS(I236="M","Medium",I236="L","Light",I236="D","Dark")</f>
        <v>Light</v>
      </c>
      <c r="O236" t="str">
        <f>_xlfn.XLOOKUP(Orders[[#This Row],[Customer ID]],customers!$A$2:$A$1001,customers!$I$2:$I$1001,,0)</f>
        <v>No</v>
      </c>
    </row>
    <row r="237" spans="1:15" x14ac:dyDescent="0.3">
      <c r="A237" s="2" t="s">
        <v>1818</v>
      </c>
      <c r="B237" s="3">
        <v>43571</v>
      </c>
      <c r="C237" s="2" t="s">
        <v>1819</v>
      </c>
      <c r="D237" t="s">
        <v>6164</v>
      </c>
      <c r="E237" s="2">
        <v>5</v>
      </c>
      <c r="F237" s="2" t="str">
        <f>_xlfn.XLOOKUP(C237,customers!$A$2:$A$1001,customers!$B$2:$B$1001,,0)</f>
        <v>Samuele Ales0</v>
      </c>
      <c r="G237" s="2" t="str">
        <f>_xlfn.XLOOKUP(C237,customers!$A$2:$A$1001,customers!$G$2:$G$1001,,0)</f>
        <v>Ireland</v>
      </c>
      <c r="H237" t="str">
        <f>INDEX(products!$A$1:$G$49,MATCH(orders!$D237,products!$A$1:$A$49,0),MATCH(orders!H$1,products!$A$1:$G$1,0))</f>
        <v>Lib</v>
      </c>
      <c r="I237" t="str">
        <f>INDEX(products!$A$1:$G$49,MATCH(orders!$D237,products!$A$1:$A$49,0),MATCH(orders!I$1,products!$A$1:$G$1,0))</f>
        <v>L</v>
      </c>
      <c r="J237" s="5">
        <f>INDEX(products!$A$1:$G$49,MATCH(orders!$D237,products!$A$1:$A$49,0),MATCH(orders!J$1,products!$A$1:$G$1,0))</f>
        <v>2.5</v>
      </c>
      <c r="K237" s="6">
        <f>INDEX(products!$A$1:$G$49,MATCH(orders!$D237,products!$A$1:$A$49,0),MATCH(orders!K$1,products!$A$1:$G$1,0))</f>
        <v>36.454999999999998</v>
      </c>
      <c r="L237" s="6">
        <f>K237*E237</f>
        <v>182.27499999999998</v>
      </c>
      <c r="M237" t="str" cm="1">
        <f t="array" ref="M237">_xlfn.IFS(H237="Rob","Robusta",H237="Exc","Excelsa",H237="Ara","Arabica",H237="Lib","Liberica")</f>
        <v>Liberica</v>
      </c>
      <c r="N237" t="str" cm="1">
        <f t="array" ref="N237">_xlfn.IFS(I237="M","Medium",I237="L","Light",I237="D","Dark")</f>
        <v>Light</v>
      </c>
      <c r="O237" t="str">
        <f>_xlfn.XLOOKUP(Orders[[#This Row],[Customer ID]],customers!$A$2:$A$1001,customers!$I$2:$I$1001,,0)</f>
        <v>No</v>
      </c>
    </row>
    <row r="238" spans="1:15" x14ac:dyDescent="0.3">
      <c r="A238" s="2" t="s">
        <v>1822</v>
      </c>
      <c r="B238" s="3">
        <v>43873</v>
      </c>
      <c r="C238" s="2" t="s">
        <v>1823</v>
      </c>
      <c r="D238" t="s">
        <v>6165</v>
      </c>
      <c r="E238" s="2">
        <v>3</v>
      </c>
      <c r="F238" s="2" t="str">
        <f>_xlfn.XLOOKUP(C238,customers!$A$2:$A$1001,customers!$B$2:$B$1001,,0)</f>
        <v>Carlie Harce</v>
      </c>
      <c r="G238" s="2" t="str">
        <f>_xlfn.XLOOKUP(C238,customers!$A$2:$A$1001,customers!$G$2:$G$1001,,0)</f>
        <v>Ireland</v>
      </c>
      <c r="H238" t="str">
        <f>INDEX(products!$A$1:$G$49,MATCH(orders!$D238,products!$A$1:$A$49,0),MATCH(orders!H$1,products!$A$1:$G$1,0))</f>
        <v>Lib</v>
      </c>
      <c r="I238" t="str">
        <f>INDEX(products!$A$1:$G$49,MATCH(orders!$D238,products!$A$1:$A$49,0),MATCH(orders!I$1,products!$A$1:$G$1,0))</f>
        <v>D</v>
      </c>
      <c r="J238" s="5">
        <f>INDEX(products!$A$1:$G$49,MATCH(orders!$D238,products!$A$1:$A$49,0),MATCH(orders!J$1,products!$A$1:$G$1,0))</f>
        <v>2.5</v>
      </c>
      <c r="K238" s="6">
        <f>INDEX(products!$A$1:$G$49,MATCH(orders!$D238,products!$A$1:$A$49,0),MATCH(orders!K$1,products!$A$1:$G$1,0))</f>
        <v>29.784999999999997</v>
      </c>
      <c r="L238" s="6">
        <f>K238*E238</f>
        <v>89.35499999999999</v>
      </c>
      <c r="M238" t="str" cm="1">
        <f t="array" ref="M238">_xlfn.IFS(H238="Rob","Robusta",H238="Exc","Excelsa",H238="Ara","Arabica",H238="Lib","Liberica")</f>
        <v>Liberica</v>
      </c>
      <c r="N238" t="str" cm="1">
        <f t="array" ref="N238">_xlfn.IFS(I238="M","Medium",I238="L","Light",I238="D","Dark")</f>
        <v>Dark</v>
      </c>
      <c r="O238" t="str">
        <f>_xlfn.XLOOKUP(Orders[[#This Row],[Customer ID]],customers!$A$2:$A$1001,customers!$I$2:$I$1001,,0)</f>
        <v>No</v>
      </c>
    </row>
    <row r="239" spans="1:15" x14ac:dyDescent="0.3">
      <c r="A239" s="2" t="s">
        <v>1828</v>
      </c>
      <c r="B239" s="3">
        <v>44563</v>
      </c>
      <c r="C239" s="2" t="s">
        <v>1829</v>
      </c>
      <c r="D239" t="s">
        <v>6178</v>
      </c>
      <c r="E239" s="2">
        <v>1</v>
      </c>
      <c r="F239" s="2" t="str">
        <f>_xlfn.XLOOKUP(C239,customers!$A$2:$A$1001,customers!$B$2:$B$1001,,0)</f>
        <v>Craggy Bril</v>
      </c>
      <c r="G239" s="2" t="str">
        <f>_xlfn.XLOOKUP(C239,customers!$A$2:$A$1001,customers!$G$2:$G$1001,,0)</f>
        <v>United States</v>
      </c>
      <c r="H239" t="str">
        <f>INDEX(products!$A$1:$G$49,MATCH(orders!$D239,products!$A$1:$A$49,0),MATCH(orders!H$1,products!$A$1:$G$1,0))</f>
        <v>Rob</v>
      </c>
      <c r="I239" t="str">
        <f>INDEX(products!$A$1:$G$49,MATCH(orders!$D239,products!$A$1:$A$49,0),MATCH(orders!I$1,products!$A$1:$G$1,0))</f>
        <v>L</v>
      </c>
      <c r="J239" s="5">
        <f>INDEX(products!$A$1:$G$49,MATCH(orders!$D239,products!$A$1:$A$49,0),MATCH(orders!J$1,products!$A$1:$G$1,0))</f>
        <v>0.2</v>
      </c>
      <c r="K239" s="6">
        <f>INDEX(products!$A$1:$G$49,MATCH(orders!$D239,products!$A$1:$A$49,0),MATCH(orders!K$1,products!$A$1:$G$1,0))</f>
        <v>3.5849999999999995</v>
      </c>
      <c r="L239" s="6">
        <f>K239*E239</f>
        <v>3.5849999999999995</v>
      </c>
      <c r="M239" t="str" cm="1">
        <f t="array" ref="M239">_xlfn.IFS(H239="Rob","Robusta",H239="Exc","Excelsa",H239="Ara","Arabica",H239="Lib","Liberica")</f>
        <v>Robusta</v>
      </c>
      <c r="N239" t="str" cm="1">
        <f t="array" ref="N239">_xlfn.IFS(I239="M","Medium",I239="L","Light",I239="D","Dark")</f>
        <v>Light</v>
      </c>
      <c r="O239" t="str">
        <f>_xlfn.XLOOKUP(Orders[[#This Row],[Customer ID]],customers!$A$2:$A$1001,customers!$I$2:$I$1001,,0)</f>
        <v>Yes</v>
      </c>
    </row>
    <row r="240" spans="1:15" x14ac:dyDescent="0.3">
      <c r="A240" s="2" t="s">
        <v>1833</v>
      </c>
      <c r="B240" s="3">
        <v>44172</v>
      </c>
      <c r="C240" s="2" t="s">
        <v>1834</v>
      </c>
      <c r="D240" t="s">
        <v>6151</v>
      </c>
      <c r="E240" s="2">
        <v>2</v>
      </c>
      <c r="F240" s="2" t="str">
        <f>_xlfn.XLOOKUP(C240,customers!$A$2:$A$1001,customers!$B$2:$B$1001,,0)</f>
        <v>Friederike Drysdale</v>
      </c>
      <c r="G240" s="2" t="str">
        <f>_xlfn.XLOOKUP(C240,customers!$A$2:$A$1001,customers!$G$2:$G$1001,,0)</f>
        <v>United States</v>
      </c>
      <c r="H240" t="str">
        <f>INDEX(products!$A$1:$G$49,MATCH(orders!$D240,products!$A$1:$A$49,0),MATCH(orders!H$1,products!$A$1:$G$1,0))</f>
        <v>Rob</v>
      </c>
      <c r="I240" t="str">
        <f>INDEX(products!$A$1:$G$49,MATCH(orders!$D240,products!$A$1:$A$49,0),MATCH(orders!I$1,products!$A$1:$G$1,0))</f>
        <v>M</v>
      </c>
      <c r="J240" s="5">
        <f>INDEX(products!$A$1:$G$49,MATCH(orders!$D240,products!$A$1:$A$49,0),MATCH(orders!J$1,products!$A$1:$G$1,0))</f>
        <v>2.5</v>
      </c>
      <c r="K240" s="6">
        <f>INDEX(products!$A$1:$G$49,MATCH(orders!$D240,products!$A$1:$A$49,0),MATCH(orders!K$1,products!$A$1:$G$1,0))</f>
        <v>22.884999999999998</v>
      </c>
      <c r="L240" s="6">
        <f>K240*E240</f>
        <v>45.769999999999996</v>
      </c>
      <c r="M240" t="str" cm="1">
        <f t="array" ref="M240">_xlfn.IFS(H240="Rob","Robusta",H240="Exc","Excelsa",H240="Ara","Arabica",H240="Lib","Liberica")</f>
        <v>Robusta</v>
      </c>
      <c r="N240" t="str" cm="1">
        <f t="array" ref="N240">_xlfn.IFS(I240="M","Medium",I240="L","Light",I240="D","Dark")</f>
        <v>Medium</v>
      </c>
      <c r="O240" t="str">
        <f>_xlfn.XLOOKUP(Orders[[#This Row],[Customer ID]],customers!$A$2:$A$1001,customers!$I$2:$I$1001,,0)</f>
        <v>Yes</v>
      </c>
    </row>
    <row r="241" spans="1:15" x14ac:dyDescent="0.3">
      <c r="A241" s="2" t="s">
        <v>1839</v>
      </c>
      <c r="B241" s="3">
        <v>43881</v>
      </c>
      <c r="C241" s="2" t="s">
        <v>1840</v>
      </c>
      <c r="D241" t="s">
        <v>6171</v>
      </c>
      <c r="E241" s="2">
        <v>4</v>
      </c>
      <c r="F241" s="2" t="str">
        <f>_xlfn.XLOOKUP(C241,customers!$A$2:$A$1001,customers!$B$2:$B$1001,,0)</f>
        <v>Devon Magowan</v>
      </c>
      <c r="G241" s="2" t="str">
        <f>_xlfn.XLOOKUP(C241,customers!$A$2:$A$1001,customers!$G$2:$G$1001,,0)</f>
        <v>United States</v>
      </c>
      <c r="H241" t="str">
        <f>INDEX(products!$A$1:$G$49,MATCH(orders!$D241,products!$A$1:$A$49,0),MATCH(orders!H$1,products!$A$1:$G$1,0))</f>
        <v>Exc</v>
      </c>
      <c r="I241" t="str">
        <f>INDEX(products!$A$1:$G$49,MATCH(orders!$D241,products!$A$1:$A$49,0),MATCH(orders!I$1,products!$A$1:$G$1,0))</f>
        <v>L</v>
      </c>
      <c r="J241" s="5">
        <f>INDEX(products!$A$1:$G$49,MATCH(orders!$D241,products!$A$1:$A$49,0),MATCH(orders!J$1,products!$A$1:$G$1,0))</f>
        <v>1</v>
      </c>
      <c r="K241" s="6">
        <f>INDEX(products!$A$1:$G$49,MATCH(orders!$D241,products!$A$1:$A$49,0),MATCH(orders!K$1,products!$A$1:$G$1,0))</f>
        <v>14.85</v>
      </c>
      <c r="L241" s="6">
        <f>K241*E241</f>
        <v>59.4</v>
      </c>
      <c r="M241" t="str" cm="1">
        <f t="array" ref="M241">_xlfn.IFS(H241="Rob","Robusta",H241="Exc","Excelsa",H241="Ara","Arabica",H241="Lib","Liberica")</f>
        <v>Excelsa</v>
      </c>
      <c r="N241" t="str" cm="1">
        <f t="array" ref="N241">_xlfn.IFS(I241="M","Medium",I241="L","Light",I241="D","Dark")</f>
        <v>Light</v>
      </c>
      <c r="O241" t="str">
        <f>_xlfn.XLOOKUP(Orders[[#This Row],[Customer ID]],customers!$A$2:$A$1001,customers!$I$2:$I$1001,,0)</f>
        <v>No</v>
      </c>
    </row>
    <row r="242" spans="1:15" x14ac:dyDescent="0.3">
      <c r="A242" s="2" t="s">
        <v>1845</v>
      </c>
      <c r="B242" s="3">
        <v>43993</v>
      </c>
      <c r="C242" s="2" t="s">
        <v>1846</v>
      </c>
      <c r="D242" t="s">
        <v>6175</v>
      </c>
      <c r="E242" s="2">
        <v>6</v>
      </c>
      <c r="F242" s="2" t="str">
        <f>_xlfn.XLOOKUP(C242,customers!$A$2:$A$1001,customers!$B$2:$B$1001,,0)</f>
        <v>Codi Littrell</v>
      </c>
      <c r="G242" s="2" t="str">
        <f>_xlfn.XLOOKUP(C242,customers!$A$2:$A$1001,customers!$G$2:$G$1001,,0)</f>
        <v>United States</v>
      </c>
      <c r="H242" t="str">
        <f>INDEX(products!$A$1:$G$49,MATCH(orders!$D242,products!$A$1:$A$49,0),MATCH(orders!H$1,products!$A$1:$G$1,0))</f>
        <v>Ara</v>
      </c>
      <c r="I242" t="str">
        <f>INDEX(products!$A$1:$G$49,MATCH(orders!$D242,products!$A$1:$A$49,0),MATCH(orders!I$1,products!$A$1:$G$1,0))</f>
        <v>M</v>
      </c>
      <c r="J242" s="5">
        <f>INDEX(products!$A$1:$G$49,MATCH(orders!$D242,products!$A$1:$A$49,0),MATCH(orders!J$1,products!$A$1:$G$1,0))</f>
        <v>2.5</v>
      </c>
      <c r="K242" s="6">
        <f>INDEX(products!$A$1:$G$49,MATCH(orders!$D242,products!$A$1:$A$49,0),MATCH(orders!K$1,products!$A$1:$G$1,0))</f>
        <v>25.874999999999996</v>
      </c>
      <c r="L242" s="6">
        <f>K242*E242</f>
        <v>155.24999999999997</v>
      </c>
      <c r="M242" t="str" cm="1">
        <f t="array" ref="M242">_xlfn.IFS(H242="Rob","Robusta",H242="Exc","Excelsa",H242="Ara","Arabica",H242="Lib","Liberica")</f>
        <v>Arabica</v>
      </c>
      <c r="N242" t="str" cm="1">
        <f t="array" ref="N242">_xlfn.IFS(I242="M","Medium",I242="L","Light",I242="D","Dark")</f>
        <v>Medium</v>
      </c>
      <c r="O242" t="str">
        <f>_xlfn.XLOOKUP(Orders[[#This Row],[Customer ID]],customers!$A$2:$A$1001,customers!$I$2:$I$1001,,0)</f>
        <v>Yes</v>
      </c>
    </row>
    <row r="243" spans="1:15" x14ac:dyDescent="0.3">
      <c r="A243" s="2" t="s">
        <v>1849</v>
      </c>
      <c r="B243" s="3">
        <v>44082</v>
      </c>
      <c r="C243" s="2" t="s">
        <v>1850</v>
      </c>
      <c r="D243" t="s">
        <v>6151</v>
      </c>
      <c r="E243" s="2">
        <v>2</v>
      </c>
      <c r="F243" s="2" t="str">
        <f>_xlfn.XLOOKUP(C243,customers!$A$2:$A$1001,customers!$B$2:$B$1001,,0)</f>
        <v>Christel Speak</v>
      </c>
      <c r="G243" s="2" t="str">
        <f>_xlfn.XLOOKUP(C243,customers!$A$2:$A$1001,customers!$G$2:$G$1001,,0)</f>
        <v>United States</v>
      </c>
      <c r="H243" t="str">
        <f>INDEX(products!$A$1:$G$49,MATCH(orders!$D243,products!$A$1:$A$49,0),MATCH(orders!H$1,products!$A$1:$G$1,0))</f>
        <v>Rob</v>
      </c>
      <c r="I243" t="str">
        <f>INDEX(products!$A$1:$G$49,MATCH(orders!$D243,products!$A$1:$A$49,0),MATCH(orders!I$1,products!$A$1:$G$1,0))</f>
        <v>M</v>
      </c>
      <c r="J243" s="5">
        <f>INDEX(products!$A$1:$G$49,MATCH(orders!$D243,products!$A$1:$A$49,0),MATCH(orders!J$1,products!$A$1:$G$1,0))</f>
        <v>2.5</v>
      </c>
      <c r="K243" s="6">
        <f>INDEX(products!$A$1:$G$49,MATCH(orders!$D243,products!$A$1:$A$49,0),MATCH(orders!K$1,products!$A$1:$G$1,0))</f>
        <v>22.884999999999998</v>
      </c>
      <c r="L243" s="6">
        <f>K243*E243</f>
        <v>45.769999999999996</v>
      </c>
      <c r="M243" t="str" cm="1">
        <f t="array" ref="M243">_xlfn.IFS(H243="Rob","Robusta",H243="Exc","Excelsa",H243="Ara","Arabica",H243="Lib","Liberica")</f>
        <v>Robusta</v>
      </c>
      <c r="N243" t="str" cm="1">
        <f t="array" ref="N243">_xlfn.IFS(I243="M","Medium",I243="L","Light",I243="D","Dark")</f>
        <v>Medium</v>
      </c>
      <c r="O243" t="str">
        <f>_xlfn.XLOOKUP(Orders[[#This Row],[Customer ID]],customers!$A$2:$A$1001,customers!$I$2:$I$1001,,0)</f>
        <v>No</v>
      </c>
    </row>
    <row r="244" spans="1:15" x14ac:dyDescent="0.3">
      <c r="A244" s="2" t="s">
        <v>1854</v>
      </c>
      <c r="B244" s="3">
        <v>43918</v>
      </c>
      <c r="C244" s="2" t="s">
        <v>1855</v>
      </c>
      <c r="D244" t="s">
        <v>6183</v>
      </c>
      <c r="E244" s="2">
        <v>3</v>
      </c>
      <c r="F244" s="2" t="str">
        <f>_xlfn.XLOOKUP(C244,customers!$A$2:$A$1001,customers!$B$2:$B$1001,,0)</f>
        <v>Sibella Rushbrooke</v>
      </c>
      <c r="G244" s="2" t="str">
        <f>_xlfn.XLOOKUP(C244,customers!$A$2:$A$1001,customers!$G$2:$G$1001,,0)</f>
        <v>United States</v>
      </c>
      <c r="H244" t="str">
        <f>INDEX(products!$A$1:$G$49,MATCH(orders!$D244,products!$A$1:$A$49,0),MATCH(orders!H$1,products!$A$1:$G$1,0))</f>
        <v>Exc</v>
      </c>
      <c r="I244" t="str">
        <f>INDEX(products!$A$1:$G$49,MATCH(orders!$D244,products!$A$1:$A$49,0),MATCH(orders!I$1,products!$A$1:$G$1,0))</f>
        <v>D</v>
      </c>
      <c r="J244" s="5">
        <f>INDEX(products!$A$1:$G$49,MATCH(orders!$D244,products!$A$1:$A$49,0),MATCH(orders!J$1,products!$A$1:$G$1,0))</f>
        <v>1</v>
      </c>
      <c r="K244" s="6">
        <f>INDEX(products!$A$1:$G$49,MATCH(orders!$D244,products!$A$1:$A$49,0),MATCH(orders!K$1,products!$A$1:$G$1,0))</f>
        <v>12.15</v>
      </c>
      <c r="L244" s="6">
        <f>K244*E244</f>
        <v>36.450000000000003</v>
      </c>
      <c r="M244" t="str" cm="1">
        <f t="array" ref="M244">_xlfn.IFS(H244="Rob","Robusta",H244="Exc","Excelsa",H244="Ara","Arabica",H244="Lib","Liberica")</f>
        <v>Excelsa</v>
      </c>
      <c r="N244" t="str" cm="1">
        <f t="array" ref="N244">_xlfn.IFS(I244="M","Medium",I244="L","Light",I244="D","Dark")</f>
        <v>Dark</v>
      </c>
      <c r="O244" t="str">
        <f>_xlfn.XLOOKUP(Orders[[#This Row],[Customer ID]],customers!$A$2:$A$1001,customers!$I$2:$I$1001,,0)</f>
        <v>Yes</v>
      </c>
    </row>
    <row r="245" spans="1:15" x14ac:dyDescent="0.3">
      <c r="A245" s="2" t="s">
        <v>1860</v>
      </c>
      <c r="B245" s="3">
        <v>44114</v>
      </c>
      <c r="C245" s="2" t="s">
        <v>1861</v>
      </c>
      <c r="D245" t="s">
        <v>6144</v>
      </c>
      <c r="E245" s="2">
        <v>4</v>
      </c>
      <c r="F245" s="2" t="str">
        <f>_xlfn.XLOOKUP(C245,customers!$A$2:$A$1001,customers!$B$2:$B$1001,,0)</f>
        <v>Tammie Drynan</v>
      </c>
      <c r="G245" s="2" t="str">
        <f>_xlfn.XLOOKUP(C245,customers!$A$2:$A$1001,customers!$G$2:$G$1001,,0)</f>
        <v>United States</v>
      </c>
      <c r="H245" t="str">
        <f>INDEX(products!$A$1:$G$49,MATCH(orders!$D245,products!$A$1:$A$49,0),MATCH(orders!H$1,products!$A$1:$G$1,0))</f>
        <v>Exc</v>
      </c>
      <c r="I245" t="str">
        <f>INDEX(products!$A$1:$G$49,MATCH(orders!$D245,products!$A$1:$A$49,0),MATCH(orders!I$1,products!$A$1:$G$1,0))</f>
        <v>D</v>
      </c>
      <c r="J245" s="5">
        <f>INDEX(products!$A$1:$G$49,MATCH(orders!$D245,products!$A$1:$A$49,0),MATCH(orders!J$1,products!$A$1:$G$1,0))</f>
        <v>0.5</v>
      </c>
      <c r="K245" s="6">
        <f>INDEX(products!$A$1:$G$49,MATCH(orders!$D245,products!$A$1:$A$49,0),MATCH(orders!K$1,products!$A$1:$G$1,0))</f>
        <v>7.29</v>
      </c>
      <c r="L245" s="6">
        <f>K245*E245</f>
        <v>29.16</v>
      </c>
      <c r="M245" t="str" cm="1">
        <f t="array" ref="M245">_xlfn.IFS(H245="Rob","Robusta",H245="Exc","Excelsa",H245="Ara","Arabica",H245="Lib","Liberica")</f>
        <v>Excelsa</v>
      </c>
      <c r="N245" t="str" cm="1">
        <f t="array" ref="N245">_xlfn.IFS(I245="M","Medium",I245="L","Light",I245="D","Dark")</f>
        <v>Dark</v>
      </c>
      <c r="O245" t="str">
        <f>_xlfn.XLOOKUP(Orders[[#This Row],[Customer ID]],customers!$A$2:$A$1001,customers!$I$2:$I$1001,,0)</f>
        <v>Yes</v>
      </c>
    </row>
    <row r="246" spans="1:15" x14ac:dyDescent="0.3">
      <c r="A246" s="2" t="s">
        <v>1866</v>
      </c>
      <c r="B246" s="3">
        <v>44702</v>
      </c>
      <c r="C246" s="2" t="s">
        <v>1867</v>
      </c>
      <c r="D246" t="s">
        <v>6181</v>
      </c>
      <c r="E246" s="2">
        <v>4</v>
      </c>
      <c r="F246" s="2" t="str">
        <f>_xlfn.XLOOKUP(C246,customers!$A$2:$A$1001,customers!$B$2:$B$1001,,0)</f>
        <v>Effie Yurkov</v>
      </c>
      <c r="G246" s="2" t="str">
        <f>_xlfn.XLOOKUP(C246,customers!$A$2:$A$1001,customers!$G$2:$G$1001,,0)</f>
        <v>United States</v>
      </c>
      <c r="H246" t="str">
        <f>INDEX(products!$A$1:$G$49,MATCH(orders!$D246,products!$A$1:$A$49,0),MATCH(orders!H$1,products!$A$1:$G$1,0))</f>
        <v>Lib</v>
      </c>
      <c r="I246" t="str">
        <f>INDEX(products!$A$1:$G$49,MATCH(orders!$D246,products!$A$1:$A$49,0),MATCH(orders!I$1,products!$A$1:$G$1,0))</f>
        <v>M</v>
      </c>
      <c r="J246" s="5">
        <f>INDEX(products!$A$1:$G$49,MATCH(orders!$D246,products!$A$1:$A$49,0),MATCH(orders!J$1,products!$A$1:$G$1,0))</f>
        <v>2.5</v>
      </c>
      <c r="K246" s="6">
        <f>INDEX(products!$A$1:$G$49,MATCH(orders!$D246,products!$A$1:$A$49,0),MATCH(orders!K$1,products!$A$1:$G$1,0))</f>
        <v>33.464999999999996</v>
      </c>
      <c r="L246" s="6">
        <f>K246*E246</f>
        <v>133.85999999999999</v>
      </c>
      <c r="M246" t="str" cm="1">
        <f t="array" ref="M246">_xlfn.IFS(H246="Rob","Robusta",H246="Exc","Excelsa",H246="Ara","Arabica",H246="Lib","Liberica")</f>
        <v>Liberica</v>
      </c>
      <c r="N246" t="str" cm="1">
        <f t="array" ref="N246">_xlfn.IFS(I246="M","Medium",I246="L","Light",I246="D","Dark")</f>
        <v>Medium</v>
      </c>
      <c r="O246" t="str">
        <f>_xlfn.XLOOKUP(Orders[[#This Row],[Customer ID]],customers!$A$2:$A$1001,customers!$I$2:$I$1001,,0)</f>
        <v>No</v>
      </c>
    </row>
    <row r="247" spans="1:15" x14ac:dyDescent="0.3">
      <c r="A247" s="2" t="s">
        <v>1872</v>
      </c>
      <c r="B247" s="3">
        <v>43951</v>
      </c>
      <c r="C247" s="2" t="s">
        <v>1873</v>
      </c>
      <c r="D247" t="s">
        <v>6145</v>
      </c>
      <c r="E247" s="2">
        <v>5</v>
      </c>
      <c r="F247" s="2" t="str">
        <f>_xlfn.XLOOKUP(C247,customers!$A$2:$A$1001,customers!$B$2:$B$1001,,0)</f>
        <v>Lexie Mallan</v>
      </c>
      <c r="G247" s="2" t="str">
        <f>_xlfn.XLOOKUP(C247,customers!$A$2:$A$1001,customers!$G$2:$G$1001,,0)</f>
        <v>United States</v>
      </c>
      <c r="H247" t="str">
        <f>INDEX(products!$A$1:$G$49,MATCH(orders!$D247,products!$A$1:$A$49,0),MATCH(orders!H$1,products!$A$1:$G$1,0))</f>
        <v>Lib</v>
      </c>
      <c r="I247" t="str">
        <f>INDEX(products!$A$1:$G$49,MATCH(orders!$D247,products!$A$1:$A$49,0),MATCH(orders!I$1,products!$A$1:$G$1,0))</f>
        <v>L</v>
      </c>
      <c r="J247" s="5">
        <f>INDEX(products!$A$1:$G$49,MATCH(orders!$D247,products!$A$1:$A$49,0),MATCH(orders!J$1,products!$A$1:$G$1,0))</f>
        <v>0.2</v>
      </c>
      <c r="K247" s="6">
        <f>INDEX(products!$A$1:$G$49,MATCH(orders!$D247,products!$A$1:$A$49,0),MATCH(orders!K$1,products!$A$1:$G$1,0))</f>
        <v>4.7549999999999999</v>
      </c>
      <c r="L247" s="6">
        <f>K247*E247</f>
        <v>23.774999999999999</v>
      </c>
      <c r="M247" t="str" cm="1">
        <f t="array" ref="M247">_xlfn.IFS(H247="Rob","Robusta",H247="Exc","Excelsa",H247="Ara","Arabica",H247="Lib","Liberica")</f>
        <v>Liberica</v>
      </c>
      <c r="N247" t="str" cm="1">
        <f t="array" ref="N247">_xlfn.IFS(I247="M","Medium",I247="L","Light",I247="D","Dark")</f>
        <v>Light</v>
      </c>
      <c r="O247" t="str">
        <f>_xlfn.XLOOKUP(Orders[[#This Row],[Customer ID]],customers!$A$2:$A$1001,customers!$I$2:$I$1001,,0)</f>
        <v>Yes</v>
      </c>
    </row>
    <row r="248" spans="1:15" x14ac:dyDescent="0.3">
      <c r="A248" s="2" t="s">
        <v>1878</v>
      </c>
      <c r="B248" s="3">
        <v>44542</v>
      </c>
      <c r="C248" s="2" t="s">
        <v>1879</v>
      </c>
      <c r="D248" t="s">
        <v>6143</v>
      </c>
      <c r="E248" s="2">
        <v>3</v>
      </c>
      <c r="F248" s="2" t="str">
        <f>_xlfn.XLOOKUP(C248,customers!$A$2:$A$1001,customers!$B$2:$B$1001,,0)</f>
        <v>Georgena Bentjens</v>
      </c>
      <c r="G248" s="2" t="str">
        <f>_xlfn.XLOOKUP(C248,customers!$A$2:$A$1001,customers!$G$2:$G$1001,,0)</f>
        <v>United Kingdom</v>
      </c>
      <c r="H248" t="str">
        <f>INDEX(products!$A$1:$G$49,MATCH(orders!$D248,products!$A$1:$A$49,0),MATCH(orders!H$1,products!$A$1:$G$1,0))</f>
        <v>Lib</v>
      </c>
      <c r="I248" t="str">
        <f>INDEX(products!$A$1:$G$49,MATCH(orders!$D248,products!$A$1:$A$49,0),MATCH(orders!I$1,products!$A$1:$G$1,0))</f>
        <v>D</v>
      </c>
      <c r="J248" s="5">
        <f>INDEX(products!$A$1:$G$49,MATCH(orders!$D248,products!$A$1:$A$49,0),MATCH(orders!J$1,products!$A$1:$G$1,0))</f>
        <v>1</v>
      </c>
      <c r="K248" s="6">
        <f>INDEX(products!$A$1:$G$49,MATCH(orders!$D248,products!$A$1:$A$49,0),MATCH(orders!K$1,products!$A$1:$G$1,0))</f>
        <v>12.95</v>
      </c>
      <c r="L248" s="6">
        <f>K248*E248</f>
        <v>38.849999999999994</v>
      </c>
      <c r="M248" t="str" cm="1">
        <f t="array" ref="M248">_xlfn.IFS(H248="Rob","Robusta",H248="Exc","Excelsa",H248="Ara","Arabica",H248="Lib","Liberica")</f>
        <v>Liberica</v>
      </c>
      <c r="N248" t="str" cm="1">
        <f t="array" ref="N248">_xlfn.IFS(I248="M","Medium",I248="L","Light",I248="D","Dark")</f>
        <v>Dark</v>
      </c>
      <c r="O248" t="str">
        <f>_xlfn.XLOOKUP(Orders[[#This Row],[Customer ID]],customers!$A$2:$A$1001,customers!$I$2:$I$1001,,0)</f>
        <v>No</v>
      </c>
    </row>
    <row r="249" spans="1:15" x14ac:dyDescent="0.3">
      <c r="A249" s="2" t="s">
        <v>1884</v>
      </c>
      <c r="B249" s="3">
        <v>44131</v>
      </c>
      <c r="C249" s="2" t="s">
        <v>1885</v>
      </c>
      <c r="D249" t="s">
        <v>6178</v>
      </c>
      <c r="E249" s="2">
        <v>6</v>
      </c>
      <c r="F249" s="2" t="str">
        <f>_xlfn.XLOOKUP(C249,customers!$A$2:$A$1001,customers!$B$2:$B$1001,,0)</f>
        <v>Delmar Beasant</v>
      </c>
      <c r="G249" s="2" t="str">
        <f>_xlfn.XLOOKUP(C249,customers!$A$2:$A$1001,customers!$G$2:$G$1001,,0)</f>
        <v>Ireland</v>
      </c>
      <c r="H249" t="str">
        <f>INDEX(products!$A$1:$G$49,MATCH(orders!$D249,products!$A$1:$A$49,0),MATCH(orders!H$1,products!$A$1:$G$1,0))</f>
        <v>Rob</v>
      </c>
      <c r="I249" t="str">
        <f>INDEX(products!$A$1:$G$49,MATCH(orders!$D249,products!$A$1:$A$49,0),MATCH(orders!I$1,products!$A$1:$G$1,0))</f>
        <v>L</v>
      </c>
      <c r="J249" s="5">
        <f>INDEX(products!$A$1:$G$49,MATCH(orders!$D249,products!$A$1:$A$49,0),MATCH(orders!J$1,products!$A$1:$G$1,0))</f>
        <v>0.2</v>
      </c>
      <c r="K249" s="6">
        <f>INDEX(products!$A$1:$G$49,MATCH(orders!$D249,products!$A$1:$A$49,0),MATCH(orders!K$1,products!$A$1:$G$1,0))</f>
        <v>3.5849999999999995</v>
      </c>
      <c r="L249" s="6">
        <f>K249*E249</f>
        <v>21.509999999999998</v>
      </c>
      <c r="M249" t="str" cm="1">
        <f t="array" ref="M249">_xlfn.IFS(H249="Rob","Robusta",H249="Exc","Excelsa",H249="Ara","Arabica",H249="Lib","Liberica")</f>
        <v>Robusta</v>
      </c>
      <c r="N249" t="str" cm="1">
        <f t="array" ref="N249">_xlfn.IFS(I249="M","Medium",I249="L","Light",I249="D","Dark")</f>
        <v>Light</v>
      </c>
      <c r="O249" t="str">
        <f>_xlfn.XLOOKUP(Orders[[#This Row],[Customer ID]],customers!$A$2:$A$1001,customers!$I$2:$I$1001,,0)</f>
        <v>Yes</v>
      </c>
    </row>
    <row r="250" spans="1:15" x14ac:dyDescent="0.3">
      <c r="A250" s="2" t="s">
        <v>1889</v>
      </c>
      <c r="B250" s="3">
        <v>44019</v>
      </c>
      <c r="C250" s="2" t="s">
        <v>1890</v>
      </c>
      <c r="D250" t="s">
        <v>6147</v>
      </c>
      <c r="E250" s="2">
        <v>1</v>
      </c>
      <c r="F250" s="2" t="str">
        <f>_xlfn.XLOOKUP(C250,customers!$A$2:$A$1001,customers!$B$2:$B$1001,,0)</f>
        <v>Lyn Entwistle</v>
      </c>
      <c r="G250" s="2" t="str">
        <f>_xlfn.XLOOKUP(C250,customers!$A$2:$A$1001,customers!$G$2:$G$1001,,0)</f>
        <v>United States</v>
      </c>
      <c r="H250" t="str">
        <f>INDEX(products!$A$1:$G$49,MATCH(orders!$D250,products!$A$1:$A$49,0),MATCH(orders!H$1,products!$A$1:$G$1,0))</f>
        <v>Ara</v>
      </c>
      <c r="I250" t="str">
        <f>INDEX(products!$A$1:$G$49,MATCH(orders!$D250,products!$A$1:$A$49,0),MATCH(orders!I$1,products!$A$1:$G$1,0))</f>
        <v>D</v>
      </c>
      <c r="J250" s="5">
        <f>INDEX(products!$A$1:$G$49,MATCH(orders!$D250,products!$A$1:$A$49,0),MATCH(orders!J$1,products!$A$1:$G$1,0))</f>
        <v>1</v>
      </c>
      <c r="K250" s="6">
        <f>INDEX(products!$A$1:$G$49,MATCH(orders!$D250,products!$A$1:$A$49,0),MATCH(orders!K$1,products!$A$1:$G$1,0))</f>
        <v>9.9499999999999993</v>
      </c>
      <c r="L250" s="6">
        <f>K250*E250</f>
        <v>9.9499999999999993</v>
      </c>
      <c r="M250" t="str" cm="1">
        <f t="array" ref="M250">_xlfn.IFS(H250="Rob","Robusta",H250="Exc","Excelsa",H250="Ara","Arabica",H250="Lib","Liberica")</f>
        <v>Arabica</v>
      </c>
      <c r="N250" t="str" cm="1">
        <f t="array" ref="N250">_xlfn.IFS(I250="M","Medium",I250="L","Light",I250="D","Dark")</f>
        <v>Dark</v>
      </c>
      <c r="O250" t="str">
        <f>_xlfn.XLOOKUP(Orders[[#This Row],[Customer ID]],customers!$A$2:$A$1001,customers!$I$2:$I$1001,,0)</f>
        <v>Yes</v>
      </c>
    </row>
    <row r="251" spans="1:15" x14ac:dyDescent="0.3">
      <c r="A251" s="2" t="s">
        <v>1895</v>
      </c>
      <c r="B251" s="3">
        <v>43861</v>
      </c>
      <c r="C251" s="2" t="s">
        <v>1935</v>
      </c>
      <c r="D251" t="s">
        <v>6170</v>
      </c>
      <c r="E251" s="2">
        <v>1</v>
      </c>
      <c r="F251" s="2" t="str">
        <f>_xlfn.XLOOKUP(C251,customers!$A$2:$A$1001,customers!$B$2:$B$1001,,0)</f>
        <v>Zacharias Kiffe</v>
      </c>
      <c r="G251" s="2" t="str">
        <f>_xlfn.XLOOKUP(C251,customers!$A$2:$A$1001,customers!$G$2:$G$1001,,0)</f>
        <v>United States</v>
      </c>
      <c r="H251" t="str">
        <f>INDEX(products!$A$1:$G$49,MATCH(orders!$D251,products!$A$1:$A$49,0),MATCH(orders!H$1,products!$A$1:$G$1,0))</f>
        <v>Lib</v>
      </c>
      <c r="I251" t="str">
        <f>INDEX(products!$A$1:$G$49,MATCH(orders!$D251,products!$A$1:$A$49,0),MATCH(orders!I$1,products!$A$1:$G$1,0))</f>
        <v>L</v>
      </c>
      <c r="J251" s="5">
        <f>INDEX(products!$A$1:$G$49,MATCH(orders!$D251,products!$A$1:$A$49,0),MATCH(orders!J$1,products!$A$1:$G$1,0))</f>
        <v>1</v>
      </c>
      <c r="K251" s="6">
        <f>INDEX(products!$A$1:$G$49,MATCH(orders!$D251,products!$A$1:$A$49,0),MATCH(orders!K$1,products!$A$1:$G$1,0))</f>
        <v>15.85</v>
      </c>
      <c r="L251" s="6">
        <f>K251*E251</f>
        <v>15.85</v>
      </c>
      <c r="M251" t="str" cm="1">
        <f t="array" ref="M251">_xlfn.IFS(H251="Rob","Robusta",H251="Exc","Excelsa",H251="Ara","Arabica",H251="Lib","Liberica")</f>
        <v>Liberica</v>
      </c>
      <c r="N251" t="str" cm="1">
        <f t="array" ref="N251">_xlfn.IFS(I251="M","Medium",I251="L","Light",I251="D","Dark")</f>
        <v>Light</v>
      </c>
      <c r="O251" t="str">
        <f>_xlfn.XLOOKUP(Orders[[#This Row],[Customer ID]],customers!$A$2:$A$1001,customers!$I$2:$I$1001,,0)</f>
        <v>Yes</v>
      </c>
    </row>
    <row r="252" spans="1:15" x14ac:dyDescent="0.3">
      <c r="A252" s="2" t="s">
        <v>1900</v>
      </c>
      <c r="B252" s="3">
        <v>43879</v>
      </c>
      <c r="C252" s="2" t="s">
        <v>1901</v>
      </c>
      <c r="D252" t="s">
        <v>6174</v>
      </c>
      <c r="E252" s="2">
        <v>1</v>
      </c>
      <c r="F252" s="2" t="str">
        <f>_xlfn.XLOOKUP(C252,customers!$A$2:$A$1001,customers!$B$2:$B$1001,,0)</f>
        <v>Mercedes Acott</v>
      </c>
      <c r="G252" s="2" t="str">
        <f>_xlfn.XLOOKUP(C252,customers!$A$2:$A$1001,customers!$G$2:$G$1001,,0)</f>
        <v>United States</v>
      </c>
      <c r="H252" t="str">
        <f>INDEX(products!$A$1:$G$49,MATCH(orders!$D252,products!$A$1:$A$49,0),MATCH(orders!H$1,products!$A$1:$G$1,0))</f>
        <v>Rob</v>
      </c>
      <c r="I252" t="str">
        <f>INDEX(products!$A$1:$G$49,MATCH(orders!$D252,products!$A$1:$A$49,0),MATCH(orders!I$1,products!$A$1:$G$1,0))</f>
        <v>M</v>
      </c>
      <c r="J252" s="5">
        <f>INDEX(products!$A$1:$G$49,MATCH(orders!$D252,products!$A$1:$A$49,0),MATCH(orders!J$1,products!$A$1:$G$1,0))</f>
        <v>0.2</v>
      </c>
      <c r="K252" s="6">
        <f>INDEX(products!$A$1:$G$49,MATCH(orders!$D252,products!$A$1:$A$49,0),MATCH(orders!K$1,products!$A$1:$G$1,0))</f>
        <v>2.9849999999999999</v>
      </c>
      <c r="L252" s="6">
        <f>K252*E252</f>
        <v>2.9849999999999999</v>
      </c>
      <c r="M252" t="str" cm="1">
        <f t="array" ref="M252">_xlfn.IFS(H252="Rob","Robusta",H252="Exc","Excelsa",H252="Ara","Arabica",H252="Lib","Liberica")</f>
        <v>Robusta</v>
      </c>
      <c r="N252" t="str" cm="1">
        <f t="array" ref="N252">_xlfn.IFS(I252="M","Medium",I252="L","Light",I252="D","Dark")</f>
        <v>Medium</v>
      </c>
      <c r="O252" t="str">
        <f>_xlfn.XLOOKUP(Orders[[#This Row],[Customer ID]],customers!$A$2:$A$1001,customers!$I$2:$I$1001,,0)</f>
        <v>Yes</v>
      </c>
    </row>
    <row r="253" spans="1:15" x14ac:dyDescent="0.3">
      <c r="A253" s="2" t="s">
        <v>1906</v>
      </c>
      <c r="B253" s="3">
        <v>44360</v>
      </c>
      <c r="C253" s="2" t="s">
        <v>1907</v>
      </c>
      <c r="D253" t="s">
        <v>6141</v>
      </c>
      <c r="E253" s="2">
        <v>5</v>
      </c>
      <c r="F253" s="2" t="str">
        <f>_xlfn.XLOOKUP(C253,customers!$A$2:$A$1001,customers!$B$2:$B$1001,,0)</f>
        <v>Connor Heaviside</v>
      </c>
      <c r="G253" s="2" t="str">
        <f>_xlfn.XLOOKUP(C253,customers!$A$2:$A$1001,customers!$G$2:$G$1001,,0)</f>
        <v>United States</v>
      </c>
      <c r="H253" t="str">
        <f>INDEX(products!$A$1:$G$49,MATCH(orders!$D253,products!$A$1:$A$49,0),MATCH(orders!H$1,products!$A$1:$G$1,0))</f>
        <v>Exc</v>
      </c>
      <c r="I253" t="str">
        <f>INDEX(products!$A$1:$G$49,MATCH(orders!$D253,products!$A$1:$A$49,0),MATCH(orders!I$1,products!$A$1:$G$1,0))</f>
        <v>M</v>
      </c>
      <c r="J253" s="5">
        <f>INDEX(products!$A$1:$G$49,MATCH(orders!$D253,products!$A$1:$A$49,0),MATCH(orders!J$1,products!$A$1:$G$1,0))</f>
        <v>1</v>
      </c>
      <c r="K253" s="6">
        <f>INDEX(products!$A$1:$G$49,MATCH(orders!$D253,products!$A$1:$A$49,0),MATCH(orders!K$1,products!$A$1:$G$1,0))</f>
        <v>13.75</v>
      </c>
      <c r="L253" s="6">
        <f>K253*E253</f>
        <v>68.75</v>
      </c>
      <c r="M253" t="str" cm="1">
        <f t="array" ref="M253">_xlfn.IFS(H253="Rob","Robusta",H253="Exc","Excelsa",H253="Ara","Arabica",H253="Lib","Liberica")</f>
        <v>Excelsa</v>
      </c>
      <c r="N253" t="str" cm="1">
        <f t="array" ref="N253">_xlfn.IFS(I253="M","Medium",I253="L","Light",I253="D","Dark")</f>
        <v>Medium</v>
      </c>
      <c r="O253" t="str">
        <f>_xlfn.XLOOKUP(Orders[[#This Row],[Customer ID]],customers!$A$2:$A$1001,customers!$I$2:$I$1001,,0)</f>
        <v>Yes</v>
      </c>
    </row>
    <row r="254" spans="1:15" x14ac:dyDescent="0.3">
      <c r="A254" s="2" t="s">
        <v>1912</v>
      </c>
      <c r="B254" s="3">
        <v>44779</v>
      </c>
      <c r="C254" s="2" t="s">
        <v>1913</v>
      </c>
      <c r="D254" t="s">
        <v>6147</v>
      </c>
      <c r="E254" s="2">
        <v>3</v>
      </c>
      <c r="F254" s="2" t="str">
        <f>_xlfn.XLOOKUP(C254,customers!$A$2:$A$1001,customers!$B$2:$B$1001,,0)</f>
        <v>Devy Bulbrook</v>
      </c>
      <c r="G254" s="2" t="str">
        <f>_xlfn.XLOOKUP(C254,customers!$A$2:$A$1001,customers!$G$2:$G$1001,,0)</f>
        <v>United States</v>
      </c>
      <c r="H254" t="str">
        <f>INDEX(products!$A$1:$G$49,MATCH(orders!$D254,products!$A$1:$A$49,0),MATCH(orders!H$1,products!$A$1:$G$1,0))</f>
        <v>Ara</v>
      </c>
      <c r="I254" t="str">
        <f>INDEX(products!$A$1:$G$49,MATCH(orders!$D254,products!$A$1:$A$49,0),MATCH(orders!I$1,products!$A$1:$G$1,0))</f>
        <v>D</v>
      </c>
      <c r="J254" s="5">
        <f>INDEX(products!$A$1:$G$49,MATCH(orders!$D254,products!$A$1:$A$49,0),MATCH(orders!J$1,products!$A$1:$G$1,0))</f>
        <v>1</v>
      </c>
      <c r="K254" s="6">
        <f>INDEX(products!$A$1:$G$49,MATCH(orders!$D254,products!$A$1:$A$49,0),MATCH(orders!K$1,products!$A$1:$G$1,0))</f>
        <v>9.9499999999999993</v>
      </c>
      <c r="L254" s="6">
        <f>K254*E254</f>
        <v>29.849999999999998</v>
      </c>
      <c r="M254" t="str" cm="1">
        <f t="array" ref="M254">_xlfn.IFS(H254="Rob","Robusta",H254="Exc","Excelsa",H254="Ara","Arabica",H254="Lib","Liberica")</f>
        <v>Arabica</v>
      </c>
      <c r="N254" t="str" cm="1">
        <f t="array" ref="N254">_xlfn.IFS(I254="M","Medium",I254="L","Light",I254="D","Dark")</f>
        <v>Dark</v>
      </c>
      <c r="O254" t="str">
        <f>_xlfn.XLOOKUP(Orders[[#This Row],[Customer ID]],customers!$A$2:$A$1001,customers!$I$2:$I$1001,,0)</f>
        <v>No</v>
      </c>
    </row>
    <row r="255" spans="1:15" x14ac:dyDescent="0.3">
      <c r="A255" s="2" t="s">
        <v>1917</v>
      </c>
      <c r="B255" s="3">
        <v>44523</v>
      </c>
      <c r="C255" s="2" t="s">
        <v>1918</v>
      </c>
      <c r="D255" t="s">
        <v>6162</v>
      </c>
      <c r="E255" s="2">
        <v>4</v>
      </c>
      <c r="F255" s="2" t="str">
        <f>_xlfn.XLOOKUP(C255,customers!$A$2:$A$1001,customers!$B$2:$B$1001,,0)</f>
        <v>Leia Kernan</v>
      </c>
      <c r="G255" s="2" t="str">
        <f>_xlfn.XLOOKUP(C255,customers!$A$2:$A$1001,customers!$G$2:$G$1001,,0)</f>
        <v>United States</v>
      </c>
      <c r="H255" t="str">
        <f>INDEX(products!$A$1:$G$49,MATCH(orders!$D255,products!$A$1:$A$49,0),MATCH(orders!H$1,products!$A$1:$G$1,0))</f>
        <v>Lib</v>
      </c>
      <c r="I255" t="str">
        <f>INDEX(products!$A$1:$G$49,MATCH(orders!$D255,products!$A$1:$A$49,0),MATCH(orders!I$1,products!$A$1:$G$1,0))</f>
        <v>M</v>
      </c>
      <c r="J255" s="5">
        <f>INDEX(products!$A$1:$G$49,MATCH(orders!$D255,products!$A$1:$A$49,0),MATCH(orders!J$1,products!$A$1:$G$1,0))</f>
        <v>1</v>
      </c>
      <c r="K255" s="6">
        <f>INDEX(products!$A$1:$G$49,MATCH(orders!$D255,products!$A$1:$A$49,0),MATCH(orders!K$1,products!$A$1:$G$1,0))</f>
        <v>14.55</v>
      </c>
      <c r="L255" s="6">
        <f>K255*E255</f>
        <v>58.2</v>
      </c>
      <c r="M255" t="str" cm="1">
        <f t="array" ref="M255">_xlfn.IFS(H255="Rob","Robusta",H255="Exc","Excelsa",H255="Ara","Arabica",H255="Lib","Liberica")</f>
        <v>Liberica</v>
      </c>
      <c r="N255" t="str" cm="1">
        <f t="array" ref="N255">_xlfn.IFS(I255="M","Medium",I255="L","Light",I255="D","Dark")</f>
        <v>Medium</v>
      </c>
      <c r="O255" t="str">
        <f>_xlfn.XLOOKUP(Orders[[#This Row],[Customer ID]],customers!$A$2:$A$1001,customers!$I$2:$I$1001,,0)</f>
        <v>No</v>
      </c>
    </row>
    <row r="256" spans="1:15" x14ac:dyDescent="0.3">
      <c r="A256" s="2" t="s">
        <v>1923</v>
      </c>
      <c r="B256" s="3">
        <v>44482</v>
      </c>
      <c r="C256" s="2" t="s">
        <v>1924</v>
      </c>
      <c r="D256" t="s">
        <v>6173</v>
      </c>
      <c r="E256" s="2">
        <v>4</v>
      </c>
      <c r="F256" s="2" t="str">
        <f>_xlfn.XLOOKUP(C256,customers!$A$2:$A$1001,customers!$B$2:$B$1001,,0)</f>
        <v>Rosaline McLae</v>
      </c>
      <c r="G256" s="2" t="str">
        <f>_xlfn.XLOOKUP(C256,customers!$A$2:$A$1001,customers!$G$2:$G$1001,,0)</f>
        <v>United Kingdom</v>
      </c>
      <c r="H256" t="str">
        <f>INDEX(products!$A$1:$G$49,MATCH(orders!$D256,products!$A$1:$A$49,0),MATCH(orders!H$1,products!$A$1:$G$1,0))</f>
        <v>Rob</v>
      </c>
      <c r="I256" t="str">
        <f>INDEX(products!$A$1:$G$49,MATCH(orders!$D256,products!$A$1:$A$49,0),MATCH(orders!I$1,products!$A$1:$G$1,0))</f>
        <v>L</v>
      </c>
      <c r="J256" s="5">
        <f>INDEX(products!$A$1:$G$49,MATCH(orders!$D256,products!$A$1:$A$49,0),MATCH(orders!J$1,products!$A$1:$G$1,0))</f>
        <v>0.5</v>
      </c>
      <c r="K256" s="6">
        <f>INDEX(products!$A$1:$G$49,MATCH(orders!$D256,products!$A$1:$A$49,0),MATCH(orders!K$1,products!$A$1:$G$1,0))</f>
        <v>7.169999999999999</v>
      </c>
      <c r="L256" s="6">
        <f>K256*E256</f>
        <v>28.679999999999996</v>
      </c>
      <c r="M256" t="str" cm="1">
        <f t="array" ref="M256">_xlfn.IFS(H256="Rob","Robusta",H256="Exc","Excelsa",H256="Ara","Arabica",H256="Lib","Liberica")</f>
        <v>Robusta</v>
      </c>
      <c r="N256" t="str" cm="1">
        <f t="array" ref="N256">_xlfn.IFS(I256="M","Medium",I256="L","Light",I256="D","Dark")</f>
        <v>Light</v>
      </c>
      <c r="O256" t="str">
        <f>_xlfn.XLOOKUP(Orders[[#This Row],[Customer ID]],customers!$A$2:$A$1001,customers!$I$2:$I$1001,,0)</f>
        <v>No</v>
      </c>
    </row>
    <row r="257" spans="1:15" x14ac:dyDescent="0.3">
      <c r="A257" s="2" t="s">
        <v>1928</v>
      </c>
      <c r="B257" s="3">
        <v>44439</v>
      </c>
      <c r="C257" s="2" t="s">
        <v>1929</v>
      </c>
      <c r="D257" t="s">
        <v>6173</v>
      </c>
      <c r="E257" s="2">
        <v>3</v>
      </c>
      <c r="F257" s="2" t="str">
        <f>_xlfn.XLOOKUP(C257,customers!$A$2:$A$1001,customers!$B$2:$B$1001,,0)</f>
        <v>Cleve Blowfelde</v>
      </c>
      <c r="G257" s="2" t="str">
        <f>_xlfn.XLOOKUP(C257,customers!$A$2:$A$1001,customers!$G$2:$G$1001,,0)</f>
        <v>United States</v>
      </c>
      <c r="H257" t="str">
        <f>INDEX(products!$A$1:$G$49,MATCH(orders!$D257,products!$A$1:$A$49,0),MATCH(orders!H$1,products!$A$1:$G$1,0))</f>
        <v>Rob</v>
      </c>
      <c r="I257" t="str">
        <f>INDEX(products!$A$1:$G$49,MATCH(orders!$D257,products!$A$1:$A$49,0),MATCH(orders!I$1,products!$A$1:$G$1,0))</f>
        <v>L</v>
      </c>
      <c r="J257" s="5">
        <f>INDEX(products!$A$1:$G$49,MATCH(orders!$D257,products!$A$1:$A$49,0),MATCH(orders!J$1,products!$A$1:$G$1,0))</f>
        <v>0.5</v>
      </c>
      <c r="K257" s="6">
        <f>INDEX(products!$A$1:$G$49,MATCH(orders!$D257,products!$A$1:$A$49,0),MATCH(orders!K$1,products!$A$1:$G$1,0))</f>
        <v>7.169999999999999</v>
      </c>
      <c r="L257" s="6">
        <f>K257*E257</f>
        <v>21.509999999999998</v>
      </c>
      <c r="M257" t="str" cm="1">
        <f t="array" ref="M257">_xlfn.IFS(H257="Rob","Robusta",H257="Exc","Excelsa",H257="Ara","Arabica",H257="Lib","Liberica")</f>
        <v>Robusta</v>
      </c>
      <c r="N257" t="str" cm="1">
        <f t="array" ref="N257">_xlfn.IFS(I257="M","Medium",I257="L","Light",I257="D","Dark")</f>
        <v>Light</v>
      </c>
      <c r="O257" t="str">
        <f>_xlfn.XLOOKUP(Orders[[#This Row],[Customer ID]],customers!$A$2:$A$1001,customers!$I$2:$I$1001,,0)</f>
        <v>No</v>
      </c>
    </row>
    <row r="258" spans="1:15" x14ac:dyDescent="0.3">
      <c r="A258" s="2" t="s">
        <v>1934</v>
      </c>
      <c r="B258" s="3">
        <v>43846</v>
      </c>
      <c r="C258" s="2" t="s">
        <v>1935</v>
      </c>
      <c r="D258" t="s">
        <v>6160</v>
      </c>
      <c r="E258" s="2">
        <v>2</v>
      </c>
      <c r="F258" s="2" t="str">
        <f>_xlfn.XLOOKUP(C258,customers!$A$2:$A$1001,customers!$B$2:$B$1001,,0)</f>
        <v>Zacharias Kiffe</v>
      </c>
      <c r="G258" s="2" t="str">
        <f>_xlfn.XLOOKUP(C258,customers!$A$2:$A$1001,customers!$G$2:$G$1001,,0)</f>
        <v>United States</v>
      </c>
      <c r="H258" t="str">
        <f>INDEX(products!$A$1:$G$49,MATCH(orders!$D258,products!$A$1:$A$49,0),MATCH(orders!H$1,products!$A$1:$G$1,0))</f>
        <v>Lib</v>
      </c>
      <c r="I258" t="str">
        <f>INDEX(products!$A$1:$G$49,MATCH(orders!$D258,products!$A$1:$A$49,0),MATCH(orders!I$1,products!$A$1:$G$1,0))</f>
        <v>M</v>
      </c>
      <c r="J258" s="5">
        <f>INDEX(products!$A$1:$G$49,MATCH(orders!$D258,products!$A$1:$A$49,0),MATCH(orders!J$1,products!$A$1:$G$1,0))</f>
        <v>0.5</v>
      </c>
      <c r="K258" s="6">
        <f>INDEX(products!$A$1:$G$49,MATCH(orders!$D258,products!$A$1:$A$49,0),MATCH(orders!K$1,products!$A$1:$G$1,0))</f>
        <v>8.73</v>
      </c>
      <c r="L258" s="6">
        <f>K258*E258</f>
        <v>17.46</v>
      </c>
      <c r="M258" t="str" cm="1">
        <f t="array" ref="M258">_xlfn.IFS(H258="Rob","Robusta",H258="Exc","Excelsa",H258="Ara","Arabica",H258="Lib","Liberica")</f>
        <v>Liberica</v>
      </c>
      <c r="N258" t="str" cm="1">
        <f t="array" ref="N258">_xlfn.IFS(I258="M","Medium",I258="L","Light",I258="D","Dark")</f>
        <v>Medium</v>
      </c>
      <c r="O258" t="str">
        <f>_xlfn.XLOOKUP(Orders[[#This Row],[Customer ID]],customers!$A$2:$A$1001,customers!$I$2:$I$1001,,0)</f>
        <v>Yes</v>
      </c>
    </row>
    <row r="259" spans="1:15" x14ac:dyDescent="0.3">
      <c r="A259" s="2" t="s">
        <v>1940</v>
      </c>
      <c r="B259" s="3">
        <v>44676</v>
      </c>
      <c r="C259" s="2" t="s">
        <v>1941</v>
      </c>
      <c r="D259" t="s">
        <v>6185</v>
      </c>
      <c r="E259" s="2">
        <v>1</v>
      </c>
      <c r="F259" s="2" t="str">
        <f>_xlfn.XLOOKUP(C259,customers!$A$2:$A$1001,customers!$B$2:$B$1001,,0)</f>
        <v>Denyse O'Calleran</v>
      </c>
      <c r="G259" s="2" t="str">
        <f>_xlfn.XLOOKUP(C259,customers!$A$2:$A$1001,customers!$G$2:$G$1001,,0)</f>
        <v>United States</v>
      </c>
      <c r="H259" t="str">
        <f>INDEX(products!$A$1:$G$49,MATCH(orders!$D259,products!$A$1:$A$49,0),MATCH(orders!H$1,products!$A$1:$G$1,0))</f>
        <v>Exc</v>
      </c>
      <c r="I259" t="str">
        <f>INDEX(products!$A$1:$G$49,MATCH(orders!$D259,products!$A$1:$A$49,0),MATCH(orders!I$1,products!$A$1:$G$1,0))</f>
        <v>D</v>
      </c>
      <c r="J259" s="5">
        <f>INDEX(products!$A$1:$G$49,MATCH(orders!$D259,products!$A$1:$A$49,0),MATCH(orders!J$1,products!$A$1:$G$1,0))</f>
        <v>2.5</v>
      </c>
      <c r="K259" s="6">
        <f>INDEX(products!$A$1:$G$49,MATCH(orders!$D259,products!$A$1:$A$49,0),MATCH(orders!K$1,products!$A$1:$G$1,0))</f>
        <v>27.945</v>
      </c>
      <c r="L259" s="6">
        <f>K259*E259</f>
        <v>27.945</v>
      </c>
      <c r="M259" t="str" cm="1">
        <f t="array" ref="M259">_xlfn.IFS(H259="Rob","Robusta",H259="Exc","Excelsa",H259="Ara","Arabica",H259="Lib","Liberica")</f>
        <v>Excelsa</v>
      </c>
      <c r="N259" t="str" cm="1">
        <f t="array" ref="N259">_xlfn.IFS(I259="M","Medium",I259="L","Light",I259="D","Dark")</f>
        <v>Dark</v>
      </c>
      <c r="O259" t="str">
        <f>_xlfn.XLOOKUP(Orders[[#This Row],[Customer ID]],customers!$A$2:$A$1001,customers!$I$2:$I$1001,,0)</f>
        <v>Yes</v>
      </c>
    </row>
    <row r="260" spans="1:15" x14ac:dyDescent="0.3">
      <c r="A260" s="2" t="s">
        <v>1946</v>
      </c>
      <c r="B260" s="3">
        <v>44513</v>
      </c>
      <c r="C260" s="2" t="s">
        <v>1947</v>
      </c>
      <c r="D260" t="s">
        <v>6185</v>
      </c>
      <c r="E260" s="2">
        <v>5</v>
      </c>
      <c r="F260" s="2" t="str">
        <f>_xlfn.XLOOKUP(C260,customers!$A$2:$A$1001,customers!$B$2:$B$1001,,0)</f>
        <v>Cobby Cromwell</v>
      </c>
      <c r="G260" s="2" t="str">
        <f>_xlfn.XLOOKUP(C260,customers!$A$2:$A$1001,customers!$G$2:$G$1001,,0)</f>
        <v>United States</v>
      </c>
      <c r="H260" t="str">
        <f>INDEX(products!$A$1:$G$49,MATCH(orders!$D260,products!$A$1:$A$49,0),MATCH(orders!H$1,products!$A$1:$G$1,0))</f>
        <v>Exc</v>
      </c>
      <c r="I260" t="str">
        <f>INDEX(products!$A$1:$G$49,MATCH(orders!$D260,products!$A$1:$A$49,0),MATCH(orders!I$1,products!$A$1:$G$1,0))</f>
        <v>D</v>
      </c>
      <c r="J260" s="5">
        <f>INDEX(products!$A$1:$G$49,MATCH(orders!$D260,products!$A$1:$A$49,0),MATCH(orders!J$1,products!$A$1:$G$1,0))</f>
        <v>2.5</v>
      </c>
      <c r="K260" s="6">
        <f>INDEX(products!$A$1:$G$49,MATCH(orders!$D260,products!$A$1:$A$49,0),MATCH(orders!K$1,products!$A$1:$G$1,0))</f>
        <v>27.945</v>
      </c>
      <c r="L260" s="6">
        <f>K260*E260</f>
        <v>139.72499999999999</v>
      </c>
      <c r="M260" t="str" cm="1">
        <f t="array" ref="M260">_xlfn.IFS(H260="Rob","Robusta",H260="Exc","Excelsa",H260="Ara","Arabica",H260="Lib","Liberica")</f>
        <v>Excelsa</v>
      </c>
      <c r="N260" t="str" cm="1">
        <f t="array" ref="N260">_xlfn.IFS(I260="M","Medium",I260="L","Light",I260="D","Dark")</f>
        <v>Dark</v>
      </c>
      <c r="O260" t="str">
        <f>_xlfn.XLOOKUP(Orders[[#This Row],[Customer ID]],customers!$A$2:$A$1001,customers!$I$2:$I$1001,,0)</f>
        <v>No</v>
      </c>
    </row>
    <row r="261" spans="1:15" x14ac:dyDescent="0.3">
      <c r="A261" s="2" t="s">
        <v>1952</v>
      </c>
      <c r="B261" s="3">
        <v>44355</v>
      </c>
      <c r="C261" s="2" t="s">
        <v>1953</v>
      </c>
      <c r="D261" t="s">
        <v>6174</v>
      </c>
      <c r="E261" s="2">
        <v>2</v>
      </c>
      <c r="F261" s="2" t="str">
        <f>_xlfn.XLOOKUP(C261,customers!$A$2:$A$1001,customers!$B$2:$B$1001,,0)</f>
        <v>Irv Hay</v>
      </c>
      <c r="G261" s="2" t="str">
        <f>_xlfn.XLOOKUP(C261,customers!$A$2:$A$1001,customers!$G$2:$G$1001,,0)</f>
        <v>United Kingdom</v>
      </c>
      <c r="H261" t="str">
        <f>INDEX(products!$A$1:$G$49,MATCH(orders!$D261,products!$A$1:$A$49,0),MATCH(orders!H$1,products!$A$1:$G$1,0))</f>
        <v>Rob</v>
      </c>
      <c r="I261" t="str">
        <f>INDEX(products!$A$1:$G$49,MATCH(orders!$D261,products!$A$1:$A$49,0),MATCH(orders!I$1,products!$A$1:$G$1,0))</f>
        <v>M</v>
      </c>
      <c r="J261" s="5">
        <f>INDEX(products!$A$1:$G$49,MATCH(orders!$D261,products!$A$1:$A$49,0),MATCH(orders!J$1,products!$A$1:$G$1,0))</f>
        <v>0.2</v>
      </c>
      <c r="K261" s="6">
        <f>INDEX(products!$A$1:$G$49,MATCH(orders!$D261,products!$A$1:$A$49,0),MATCH(orders!K$1,products!$A$1:$G$1,0))</f>
        <v>2.9849999999999999</v>
      </c>
      <c r="L261" s="6">
        <f>K261*E261</f>
        <v>5.97</v>
      </c>
      <c r="M261" t="str" cm="1">
        <f t="array" ref="M261">_xlfn.IFS(H261="Rob","Robusta",H261="Exc","Excelsa",H261="Ara","Arabica",H261="Lib","Liberica")</f>
        <v>Robusta</v>
      </c>
      <c r="N261" t="str" cm="1">
        <f t="array" ref="N261">_xlfn.IFS(I261="M","Medium",I261="L","Light",I261="D","Dark")</f>
        <v>Medium</v>
      </c>
      <c r="O261" t="str">
        <f>_xlfn.XLOOKUP(Orders[[#This Row],[Customer ID]],customers!$A$2:$A$1001,customers!$I$2:$I$1001,,0)</f>
        <v>No</v>
      </c>
    </row>
    <row r="262" spans="1:15" x14ac:dyDescent="0.3">
      <c r="A262" s="2" t="s">
        <v>1958</v>
      </c>
      <c r="B262" s="3">
        <v>44156</v>
      </c>
      <c r="C262" s="2" t="s">
        <v>1959</v>
      </c>
      <c r="D262" t="s">
        <v>6142</v>
      </c>
      <c r="E262" s="2">
        <v>1</v>
      </c>
      <c r="F262" s="2" t="str">
        <f>_xlfn.XLOOKUP(C262,customers!$A$2:$A$1001,customers!$B$2:$B$1001,,0)</f>
        <v>Tani Taffarello</v>
      </c>
      <c r="G262" s="2" t="str">
        <f>_xlfn.XLOOKUP(C262,customers!$A$2:$A$1001,customers!$G$2:$G$1001,,0)</f>
        <v>United States</v>
      </c>
      <c r="H262" t="str">
        <f>INDEX(products!$A$1:$G$49,MATCH(orders!$D262,products!$A$1:$A$49,0),MATCH(orders!H$1,products!$A$1:$G$1,0))</f>
        <v>Rob</v>
      </c>
      <c r="I262" t="str">
        <f>INDEX(products!$A$1:$G$49,MATCH(orders!$D262,products!$A$1:$A$49,0),MATCH(orders!I$1,products!$A$1:$G$1,0))</f>
        <v>L</v>
      </c>
      <c r="J262" s="5">
        <f>INDEX(products!$A$1:$G$49,MATCH(orders!$D262,products!$A$1:$A$49,0),MATCH(orders!J$1,products!$A$1:$G$1,0))</f>
        <v>2.5</v>
      </c>
      <c r="K262" s="6">
        <f>INDEX(products!$A$1:$G$49,MATCH(orders!$D262,products!$A$1:$A$49,0),MATCH(orders!K$1,products!$A$1:$G$1,0))</f>
        <v>27.484999999999996</v>
      </c>
      <c r="L262" s="6">
        <f>K262*E262</f>
        <v>27.484999999999996</v>
      </c>
      <c r="M262" t="str" cm="1">
        <f t="array" ref="M262">_xlfn.IFS(H262="Rob","Robusta",H262="Exc","Excelsa",H262="Ara","Arabica",H262="Lib","Liberica")</f>
        <v>Robusta</v>
      </c>
      <c r="N262" t="str" cm="1">
        <f t="array" ref="N262">_xlfn.IFS(I262="M","Medium",I262="L","Light",I262="D","Dark")</f>
        <v>Light</v>
      </c>
      <c r="O262" t="str">
        <f>_xlfn.XLOOKUP(Orders[[#This Row],[Customer ID]],customers!$A$2:$A$1001,customers!$I$2:$I$1001,,0)</f>
        <v>Yes</v>
      </c>
    </row>
    <row r="263" spans="1:15" x14ac:dyDescent="0.3">
      <c r="A263" s="2" t="s">
        <v>1963</v>
      </c>
      <c r="B263" s="3">
        <v>43538</v>
      </c>
      <c r="C263" s="2" t="s">
        <v>1964</v>
      </c>
      <c r="D263" t="s">
        <v>6179</v>
      </c>
      <c r="E263" s="2">
        <v>5</v>
      </c>
      <c r="F263" s="2" t="str">
        <f>_xlfn.XLOOKUP(C263,customers!$A$2:$A$1001,customers!$B$2:$B$1001,,0)</f>
        <v>Monique Canty</v>
      </c>
      <c r="G263" s="2" t="str">
        <f>_xlfn.XLOOKUP(C263,customers!$A$2:$A$1001,customers!$G$2:$G$1001,,0)</f>
        <v>United States</v>
      </c>
      <c r="H263" t="str">
        <f>INDEX(products!$A$1:$G$49,MATCH(orders!$D263,products!$A$1:$A$49,0),MATCH(orders!H$1,products!$A$1:$G$1,0))</f>
        <v>Rob</v>
      </c>
      <c r="I263" t="str">
        <f>INDEX(products!$A$1:$G$49,MATCH(orders!$D263,products!$A$1:$A$49,0),MATCH(orders!I$1,products!$A$1:$G$1,0))</f>
        <v>L</v>
      </c>
      <c r="J263" s="5">
        <f>INDEX(products!$A$1:$G$49,MATCH(orders!$D263,products!$A$1:$A$49,0),MATCH(orders!J$1,products!$A$1:$G$1,0))</f>
        <v>1</v>
      </c>
      <c r="K263" s="6">
        <f>INDEX(products!$A$1:$G$49,MATCH(orders!$D263,products!$A$1:$A$49,0),MATCH(orders!K$1,products!$A$1:$G$1,0))</f>
        <v>11.95</v>
      </c>
      <c r="L263" s="6">
        <f>K263*E263</f>
        <v>59.75</v>
      </c>
      <c r="M263" t="str" cm="1">
        <f t="array" ref="M263">_xlfn.IFS(H263="Rob","Robusta",H263="Exc","Excelsa",H263="Ara","Arabica",H263="Lib","Liberica")</f>
        <v>Robusta</v>
      </c>
      <c r="N263" t="str" cm="1">
        <f t="array" ref="N263">_xlfn.IFS(I263="M","Medium",I263="L","Light",I263="D","Dark")</f>
        <v>Light</v>
      </c>
      <c r="O263" t="str">
        <f>_xlfn.XLOOKUP(Orders[[#This Row],[Customer ID]],customers!$A$2:$A$1001,customers!$I$2:$I$1001,,0)</f>
        <v>Yes</v>
      </c>
    </row>
    <row r="264" spans="1:15" x14ac:dyDescent="0.3">
      <c r="A264" s="2" t="s">
        <v>1969</v>
      </c>
      <c r="B264" s="3">
        <v>43693</v>
      </c>
      <c r="C264" s="2" t="s">
        <v>1970</v>
      </c>
      <c r="D264" t="s">
        <v>6141</v>
      </c>
      <c r="E264" s="2">
        <v>3</v>
      </c>
      <c r="F264" s="2" t="str">
        <f>_xlfn.XLOOKUP(C264,customers!$A$2:$A$1001,customers!$B$2:$B$1001,,0)</f>
        <v>Javier Kopke</v>
      </c>
      <c r="G264" s="2" t="str">
        <f>_xlfn.XLOOKUP(C264,customers!$A$2:$A$1001,customers!$G$2:$G$1001,,0)</f>
        <v>United States</v>
      </c>
      <c r="H264" t="str">
        <f>INDEX(products!$A$1:$G$49,MATCH(orders!$D264,products!$A$1:$A$49,0),MATCH(orders!H$1,products!$A$1:$G$1,0))</f>
        <v>Exc</v>
      </c>
      <c r="I264" t="str">
        <f>INDEX(products!$A$1:$G$49,MATCH(orders!$D264,products!$A$1:$A$49,0),MATCH(orders!I$1,products!$A$1:$G$1,0))</f>
        <v>M</v>
      </c>
      <c r="J264" s="5">
        <f>INDEX(products!$A$1:$G$49,MATCH(orders!$D264,products!$A$1:$A$49,0),MATCH(orders!J$1,products!$A$1:$G$1,0))</f>
        <v>1</v>
      </c>
      <c r="K264" s="6">
        <f>INDEX(products!$A$1:$G$49,MATCH(orders!$D264,products!$A$1:$A$49,0),MATCH(orders!K$1,products!$A$1:$G$1,0))</f>
        <v>13.75</v>
      </c>
      <c r="L264" s="6">
        <f>K264*E264</f>
        <v>41.25</v>
      </c>
      <c r="M264" t="str" cm="1">
        <f t="array" ref="M264">_xlfn.IFS(H264="Rob","Robusta",H264="Exc","Excelsa",H264="Ara","Arabica",H264="Lib","Liberica")</f>
        <v>Excelsa</v>
      </c>
      <c r="N264" t="str" cm="1">
        <f t="array" ref="N264">_xlfn.IFS(I264="M","Medium",I264="L","Light",I264="D","Dark")</f>
        <v>Medium</v>
      </c>
      <c r="O264" t="str">
        <f>_xlfn.XLOOKUP(Orders[[#This Row],[Customer ID]],customers!$A$2:$A$1001,customers!$I$2:$I$1001,,0)</f>
        <v>No</v>
      </c>
    </row>
    <row r="265" spans="1:15" x14ac:dyDescent="0.3">
      <c r="A265" s="2" t="s">
        <v>1975</v>
      </c>
      <c r="B265" s="3">
        <v>43577</v>
      </c>
      <c r="C265" s="2" t="s">
        <v>1976</v>
      </c>
      <c r="D265" t="s">
        <v>6181</v>
      </c>
      <c r="E265" s="2">
        <v>4</v>
      </c>
      <c r="F265" s="2" t="str">
        <f>_xlfn.XLOOKUP(C265,customers!$A$2:$A$1001,customers!$B$2:$B$1001,,0)</f>
        <v>Mar McIver</v>
      </c>
      <c r="G265" s="2" t="str">
        <f>_xlfn.XLOOKUP(C265,customers!$A$2:$A$1001,customers!$G$2:$G$1001,,0)</f>
        <v>United States</v>
      </c>
      <c r="H265" t="str">
        <f>INDEX(products!$A$1:$G$49,MATCH(orders!$D265,products!$A$1:$A$49,0),MATCH(orders!H$1,products!$A$1:$G$1,0))</f>
        <v>Lib</v>
      </c>
      <c r="I265" t="str">
        <f>INDEX(products!$A$1:$G$49,MATCH(orders!$D265,products!$A$1:$A$49,0),MATCH(orders!I$1,products!$A$1:$G$1,0))</f>
        <v>M</v>
      </c>
      <c r="J265" s="5">
        <f>INDEX(products!$A$1:$G$49,MATCH(orders!$D265,products!$A$1:$A$49,0),MATCH(orders!J$1,products!$A$1:$G$1,0))</f>
        <v>2.5</v>
      </c>
      <c r="K265" s="6">
        <f>INDEX(products!$A$1:$G$49,MATCH(orders!$D265,products!$A$1:$A$49,0),MATCH(orders!K$1,products!$A$1:$G$1,0))</f>
        <v>33.464999999999996</v>
      </c>
      <c r="L265" s="6">
        <f>K265*E265</f>
        <v>133.85999999999999</v>
      </c>
      <c r="M265" t="str" cm="1">
        <f t="array" ref="M265">_xlfn.IFS(H265="Rob","Robusta",H265="Exc","Excelsa",H265="Ara","Arabica",H265="Lib","Liberica")</f>
        <v>Liberica</v>
      </c>
      <c r="N265" t="str" cm="1">
        <f t="array" ref="N265">_xlfn.IFS(I265="M","Medium",I265="L","Light",I265="D","Dark")</f>
        <v>Medium</v>
      </c>
      <c r="O265" t="str">
        <f>_xlfn.XLOOKUP(Orders[[#This Row],[Customer ID]],customers!$A$2:$A$1001,customers!$I$2:$I$1001,,0)</f>
        <v>No</v>
      </c>
    </row>
    <row r="266" spans="1:15" x14ac:dyDescent="0.3">
      <c r="A266" s="2" t="s">
        <v>1980</v>
      </c>
      <c r="B266" s="3">
        <v>44683</v>
      </c>
      <c r="C266" s="2" t="s">
        <v>1981</v>
      </c>
      <c r="D266" t="s">
        <v>6179</v>
      </c>
      <c r="E266" s="2">
        <v>5</v>
      </c>
      <c r="F266" s="2" t="str">
        <f>_xlfn.XLOOKUP(C266,customers!$A$2:$A$1001,customers!$B$2:$B$1001,,0)</f>
        <v>Arabella Fransewich</v>
      </c>
      <c r="G266" s="2" t="str">
        <f>_xlfn.XLOOKUP(C266,customers!$A$2:$A$1001,customers!$G$2:$G$1001,,0)</f>
        <v>Ireland</v>
      </c>
      <c r="H266" t="str">
        <f>INDEX(products!$A$1:$G$49,MATCH(orders!$D266,products!$A$1:$A$49,0),MATCH(orders!H$1,products!$A$1:$G$1,0))</f>
        <v>Rob</v>
      </c>
      <c r="I266" t="str">
        <f>INDEX(products!$A$1:$G$49,MATCH(orders!$D266,products!$A$1:$A$49,0),MATCH(orders!I$1,products!$A$1:$G$1,0))</f>
        <v>L</v>
      </c>
      <c r="J266" s="5">
        <f>INDEX(products!$A$1:$G$49,MATCH(orders!$D266,products!$A$1:$A$49,0),MATCH(orders!J$1,products!$A$1:$G$1,0))</f>
        <v>1</v>
      </c>
      <c r="K266" s="6">
        <f>INDEX(products!$A$1:$G$49,MATCH(orders!$D266,products!$A$1:$A$49,0),MATCH(orders!K$1,products!$A$1:$G$1,0))</f>
        <v>11.95</v>
      </c>
      <c r="L266" s="6">
        <f>K266*E266</f>
        <v>59.75</v>
      </c>
      <c r="M266" t="str" cm="1">
        <f t="array" ref="M266">_xlfn.IFS(H266="Rob","Robusta",H266="Exc","Excelsa",H266="Ara","Arabica",H266="Lib","Liberica")</f>
        <v>Robusta</v>
      </c>
      <c r="N266" t="str" cm="1">
        <f t="array" ref="N266">_xlfn.IFS(I266="M","Medium",I266="L","Light",I266="D","Dark")</f>
        <v>Light</v>
      </c>
      <c r="O266" t="str">
        <f>_xlfn.XLOOKUP(Orders[[#This Row],[Customer ID]],customers!$A$2:$A$1001,customers!$I$2:$I$1001,,0)</f>
        <v>Yes</v>
      </c>
    </row>
    <row r="267" spans="1:15" x14ac:dyDescent="0.3">
      <c r="A267" s="2" t="s">
        <v>1986</v>
      </c>
      <c r="B267" s="3">
        <v>43872</v>
      </c>
      <c r="C267" s="2" t="s">
        <v>1987</v>
      </c>
      <c r="D267" t="s">
        <v>6158</v>
      </c>
      <c r="E267" s="2">
        <v>1</v>
      </c>
      <c r="F267" s="2" t="str">
        <f>_xlfn.XLOOKUP(C267,customers!$A$2:$A$1001,customers!$B$2:$B$1001,,0)</f>
        <v>Violette Hellmore</v>
      </c>
      <c r="G267" s="2" t="str">
        <f>_xlfn.XLOOKUP(C267,customers!$A$2:$A$1001,customers!$G$2:$G$1001,,0)</f>
        <v>United States</v>
      </c>
      <c r="H267" t="str">
        <f>INDEX(products!$A$1:$G$49,MATCH(orders!$D267,products!$A$1:$A$49,0),MATCH(orders!H$1,products!$A$1:$G$1,0))</f>
        <v>Ara</v>
      </c>
      <c r="I267" t="str">
        <f>INDEX(products!$A$1:$G$49,MATCH(orders!$D267,products!$A$1:$A$49,0),MATCH(orders!I$1,products!$A$1:$G$1,0))</f>
        <v>D</v>
      </c>
      <c r="J267" s="5">
        <f>INDEX(products!$A$1:$G$49,MATCH(orders!$D267,products!$A$1:$A$49,0),MATCH(orders!J$1,products!$A$1:$G$1,0))</f>
        <v>0.5</v>
      </c>
      <c r="K267" s="6">
        <f>INDEX(products!$A$1:$G$49,MATCH(orders!$D267,products!$A$1:$A$49,0),MATCH(orders!K$1,products!$A$1:$G$1,0))</f>
        <v>5.97</v>
      </c>
      <c r="L267" s="6">
        <f>K267*E267</f>
        <v>5.97</v>
      </c>
      <c r="M267" t="str" cm="1">
        <f t="array" ref="M267">_xlfn.IFS(H267="Rob","Robusta",H267="Exc","Excelsa",H267="Ara","Arabica",H267="Lib","Liberica")</f>
        <v>Arabica</v>
      </c>
      <c r="N267" t="str" cm="1">
        <f t="array" ref="N267">_xlfn.IFS(I267="M","Medium",I267="L","Light",I267="D","Dark")</f>
        <v>Dark</v>
      </c>
      <c r="O267" t="str">
        <f>_xlfn.XLOOKUP(Orders[[#This Row],[Customer ID]],customers!$A$2:$A$1001,customers!$I$2:$I$1001,,0)</f>
        <v>Yes</v>
      </c>
    </row>
    <row r="268" spans="1:15" x14ac:dyDescent="0.3">
      <c r="A268" s="2" t="s">
        <v>1992</v>
      </c>
      <c r="B268" s="3">
        <v>44283</v>
      </c>
      <c r="C268" s="2" t="s">
        <v>1993</v>
      </c>
      <c r="D268" t="s">
        <v>6183</v>
      </c>
      <c r="E268" s="2">
        <v>2</v>
      </c>
      <c r="F268" s="2" t="str">
        <f>_xlfn.XLOOKUP(C268,customers!$A$2:$A$1001,customers!$B$2:$B$1001,,0)</f>
        <v>Myles Seawright</v>
      </c>
      <c r="G268" s="2" t="str">
        <f>_xlfn.XLOOKUP(C268,customers!$A$2:$A$1001,customers!$G$2:$G$1001,,0)</f>
        <v>United Kingdom</v>
      </c>
      <c r="H268" t="str">
        <f>INDEX(products!$A$1:$G$49,MATCH(orders!$D268,products!$A$1:$A$49,0),MATCH(orders!H$1,products!$A$1:$G$1,0))</f>
        <v>Exc</v>
      </c>
      <c r="I268" t="str">
        <f>INDEX(products!$A$1:$G$49,MATCH(orders!$D268,products!$A$1:$A$49,0),MATCH(orders!I$1,products!$A$1:$G$1,0))</f>
        <v>D</v>
      </c>
      <c r="J268" s="5">
        <f>INDEX(products!$A$1:$G$49,MATCH(orders!$D268,products!$A$1:$A$49,0),MATCH(orders!J$1,products!$A$1:$G$1,0))</f>
        <v>1</v>
      </c>
      <c r="K268" s="6">
        <f>INDEX(products!$A$1:$G$49,MATCH(orders!$D268,products!$A$1:$A$49,0),MATCH(orders!K$1,products!$A$1:$G$1,0))</f>
        <v>12.15</v>
      </c>
      <c r="L268" s="6">
        <f>K268*E268</f>
        <v>24.3</v>
      </c>
      <c r="M268" t="str" cm="1">
        <f t="array" ref="M268">_xlfn.IFS(H268="Rob","Robusta",H268="Exc","Excelsa",H268="Ara","Arabica",H268="Lib","Liberica")</f>
        <v>Excelsa</v>
      </c>
      <c r="N268" t="str" cm="1">
        <f t="array" ref="N268">_xlfn.IFS(I268="M","Medium",I268="L","Light",I268="D","Dark")</f>
        <v>Dark</v>
      </c>
      <c r="O268" t="str">
        <f>_xlfn.XLOOKUP(Orders[[#This Row],[Customer ID]],customers!$A$2:$A$1001,customers!$I$2:$I$1001,,0)</f>
        <v>No</v>
      </c>
    </row>
    <row r="269" spans="1:15" x14ac:dyDescent="0.3">
      <c r="A269" s="2" t="s">
        <v>1998</v>
      </c>
      <c r="B269" s="3">
        <v>44324</v>
      </c>
      <c r="C269" s="2" t="s">
        <v>1999</v>
      </c>
      <c r="D269" t="s">
        <v>6153</v>
      </c>
      <c r="E269" s="2">
        <v>6</v>
      </c>
      <c r="F269" s="2" t="str">
        <f>_xlfn.XLOOKUP(C269,customers!$A$2:$A$1001,customers!$B$2:$B$1001,,0)</f>
        <v>Silvana Northeast</v>
      </c>
      <c r="G269" s="2" t="str">
        <f>_xlfn.XLOOKUP(C269,customers!$A$2:$A$1001,customers!$G$2:$G$1001,,0)</f>
        <v>United States</v>
      </c>
      <c r="H269" t="str">
        <f>INDEX(products!$A$1:$G$49,MATCH(orders!$D269,products!$A$1:$A$49,0),MATCH(orders!H$1,products!$A$1:$G$1,0))</f>
        <v>Exc</v>
      </c>
      <c r="I269" t="str">
        <f>INDEX(products!$A$1:$G$49,MATCH(orders!$D269,products!$A$1:$A$49,0),MATCH(orders!I$1,products!$A$1:$G$1,0))</f>
        <v>D</v>
      </c>
      <c r="J269" s="5">
        <f>INDEX(products!$A$1:$G$49,MATCH(orders!$D269,products!$A$1:$A$49,0),MATCH(orders!J$1,products!$A$1:$G$1,0))</f>
        <v>0.2</v>
      </c>
      <c r="K269" s="6">
        <f>INDEX(products!$A$1:$G$49,MATCH(orders!$D269,products!$A$1:$A$49,0),MATCH(orders!K$1,products!$A$1:$G$1,0))</f>
        <v>3.645</v>
      </c>
      <c r="L269" s="6">
        <f>K269*E269</f>
        <v>21.87</v>
      </c>
      <c r="M269" t="str" cm="1">
        <f t="array" ref="M269">_xlfn.IFS(H269="Rob","Robusta",H269="Exc","Excelsa",H269="Ara","Arabica",H269="Lib","Liberica")</f>
        <v>Excelsa</v>
      </c>
      <c r="N269" t="str" cm="1">
        <f t="array" ref="N269">_xlfn.IFS(I269="M","Medium",I269="L","Light",I269="D","Dark")</f>
        <v>Dark</v>
      </c>
      <c r="O269" t="str">
        <f>_xlfn.XLOOKUP(Orders[[#This Row],[Customer ID]],customers!$A$2:$A$1001,customers!$I$2:$I$1001,,0)</f>
        <v>Yes</v>
      </c>
    </row>
    <row r="270" spans="1:15" x14ac:dyDescent="0.3">
      <c r="A270" s="2" t="s">
        <v>2004</v>
      </c>
      <c r="B270" s="3">
        <v>43790</v>
      </c>
      <c r="C270" s="2" t="s">
        <v>1672</v>
      </c>
      <c r="D270" t="s">
        <v>6147</v>
      </c>
      <c r="E270" s="2">
        <v>2</v>
      </c>
      <c r="F270" s="2" t="str">
        <f>_xlfn.XLOOKUP(C270,customers!$A$2:$A$1001,customers!$B$2:$B$1001,,0)</f>
        <v>Anselma Attwater</v>
      </c>
      <c r="G270" s="2" t="str">
        <f>_xlfn.XLOOKUP(C270,customers!$A$2:$A$1001,customers!$G$2:$G$1001,,0)</f>
        <v>United States</v>
      </c>
      <c r="H270" t="str">
        <f>INDEX(products!$A$1:$G$49,MATCH(orders!$D270,products!$A$1:$A$49,0),MATCH(orders!H$1,products!$A$1:$G$1,0))</f>
        <v>Ara</v>
      </c>
      <c r="I270" t="str">
        <f>INDEX(products!$A$1:$G$49,MATCH(orders!$D270,products!$A$1:$A$49,0),MATCH(orders!I$1,products!$A$1:$G$1,0))</f>
        <v>D</v>
      </c>
      <c r="J270" s="5">
        <f>INDEX(products!$A$1:$G$49,MATCH(orders!$D270,products!$A$1:$A$49,0),MATCH(orders!J$1,products!$A$1:$G$1,0))</f>
        <v>1</v>
      </c>
      <c r="K270" s="6">
        <f>INDEX(products!$A$1:$G$49,MATCH(orders!$D270,products!$A$1:$A$49,0),MATCH(orders!K$1,products!$A$1:$G$1,0))</f>
        <v>9.9499999999999993</v>
      </c>
      <c r="L270" s="6">
        <f>K270*E270</f>
        <v>19.899999999999999</v>
      </c>
      <c r="M270" t="str" cm="1">
        <f t="array" ref="M270">_xlfn.IFS(H270="Rob","Robusta",H270="Exc","Excelsa",H270="Ara","Arabica",H270="Lib","Liberica")</f>
        <v>Arabica</v>
      </c>
      <c r="N270" t="str" cm="1">
        <f t="array" ref="N270">_xlfn.IFS(I270="M","Medium",I270="L","Light",I270="D","Dark")</f>
        <v>Dark</v>
      </c>
      <c r="O270" t="str">
        <f>_xlfn.XLOOKUP(Orders[[#This Row],[Customer ID]],customers!$A$2:$A$1001,customers!$I$2:$I$1001,,0)</f>
        <v>Yes</v>
      </c>
    </row>
    <row r="271" spans="1:15" x14ac:dyDescent="0.3">
      <c r="A271" s="2" t="s">
        <v>2009</v>
      </c>
      <c r="B271" s="3">
        <v>44333</v>
      </c>
      <c r="C271" s="2" t="s">
        <v>2010</v>
      </c>
      <c r="D271" t="s">
        <v>6154</v>
      </c>
      <c r="E271" s="2">
        <v>2</v>
      </c>
      <c r="F271" s="2" t="str">
        <f>_xlfn.XLOOKUP(C271,customers!$A$2:$A$1001,customers!$B$2:$B$1001,,0)</f>
        <v>Monica Fearon</v>
      </c>
      <c r="G271" s="2" t="str">
        <f>_xlfn.XLOOKUP(C271,customers!$A$2:$A$1001,customers!$G$2:$G$1001,,0)</f>
        <v>United States</v>
      </c>
      <c r="H271" t="str">
        <f>INDEX(products!$A$1:$G$49,MATCH(orders!$D271,products!$A$1:$A$49,0),MATCH(orders!H$1,products!$A$1:$G$1,0))</f>
        <v>Ara</v>
      </c>
      <c r="I271" t="str">
        <f>INDEX(products!$A$1:$G$49,MATCH(orders!$D271,products!$A$1:$A$49,0),MATCH(orders!I$1,products!$A$1:$G$1,0))</f>
        <v>D</v>
      </c>
      <c r="J271" s="5">
        <f>INDEX(products!$A$1:$G$49,MATCH(orders!$D271,products!$A$1:$A$49,0),MATCH(orders!J$1,products!$A$1:$G$1,0))</f>
        <v>0.2</v>
      </c>
      <c r="K271" s="6">
        <f>INDEX(products!$A$1:$G$49,MATCH(orders!$D271,products!$A$1:$A$49,0),MATCH(orders!K$1,products!$A$1:$G$1,0))</f>
        <v>2.9849999999999999</v>
      </c>
      <c r="L271" s="6">
        <f>K271*E271</f>
        <v>5.97</v>
      </c>
      <c r="M271" t="str" cm="1">
        <f t="array" ref="M271">_xlfn.IFS(H271="Rob","Robusta",H271="Exc","Excelsa",H271="Ara","Arabica",H271="Lib","Liberica")</f>
        <v>Arabica</v>
      </c>
      <c r="N271" t="str" cm="1">
        <f t="array" ref="N271">_xlfn.IFS(I271="M","Medium",I271="L","Light",I271="D","Dark")</f>
        <v>Dark</v>
      </c>
      <c r="O271" t="str">
        <f>_xlfn.XLOOKUP(Orders[[#This Row],[Customer ID]],customers!$A$2:$A$1001,customers!$I$2:$I$1001,,0)</f>
        <v>No</v>
      </c>
    </row>
    <row r="272" spans="1:15" x14ac:dyDescent="0.3">
      <c r="A272" s="2" t="s">
        <v>2015</v>
      </c>
      <c r="B272" s="3">
        <v>43655</v>
      </c>
      <c r="C272" s="2" t="s">
        <v>2016</v>
      </c>
      <c r="D272" t="s">
        <v>6144</v>
      </c>
      <c r="E272" s="2">
        <v>1</v>
      </c>
      <c r="F272" s="2" t="str">
        <f>_xlfn.XLOOKUP(C272,customers!$A$2:$A$1001,customers!$B$2:$B$1001,,0)</f>
        <v>Barney Chisnell</v>
      </c>
      <c r="G272" s="2" t="str">
        <f>_xlfn.XLOOKUP(C272,customers!$A$2:$A$1001,customers!$G$2:$G$1001,,0)</f>
        <v>Ireland</v>
      </c>
      <c r="H272" t="str">
        <f>INDEX(products!$A$1:$G$49,MATCH(orders!$D272,products!$A$1:$A$49,0),MATCH(orders!H$1,products!$A$1:$G$1,0))</f>
        <v>Exc</v>
      </c>
      <c r="I272" t="str">
        <f>INDEX(products!$A$1:$G$49,MATCH(orders!$D272,products!$A$1:$A$49,0),MATCH(orders!I$1,products!$A$1:$G$1,0))</f>
        <v>D</v>
      </c>
      <c r="J272" s="5">
        <f>INDEX(products!$A$1:$G$49,MATCH(orders!$D272,products!$A$1:$A$49,0),MATCH(orders!J$1,products!$A$1:$G$1,0))</f>
        <v>0.5</v>
      </c>
      <c r="K272" s="6">
        <f>INDEX(products!$A$1:$G$49,MATCH(orders!$D272,products!$A$1:$A$49,0),MATCH(orders!K$1,products!$A$1:$G$1,0))</f>
        <v>7.29</v>
      </c>
      <c r="L272" s="6">
        <f>K272*E272</f>
        <v>7.29</v>
      </c>
      <c r="M272" t="str" cm="1">
        <f t="array" ref="M272">_xlfn.IFS(H272="Rob","Robusta",H272="Exc","Excelsa",H272="Ara","Arabica",H272="Lib","Liberica")</f>
        <v>Excelsa</v>
      </c>
      <c r="N272" t="str" cm="1">
        <f t="array" ref="N272">_xlfn.IFS(I272="M","Medium",I272="L","Light",I272="D","Dark")</f>
        <v>Dark</v>
      </c>
      <c r="O272" t="str">
        <f>_xlfn.XLOOKUP(Orders[[#This Row],[Customer ID]],customers!$A$2:$A$1001,customers!$I$2:$I$1001,,0)</f>
        <v>Yes</v>
      </c>
    </row>
    <row r="273" spans="1:15" x14ac:dyDescent="0.3">
      <c r="A273" s="2" t="s">
        <v>2019</v>
      </c>
      <c r="B273" s="3">
        <v>43971</v>
      </c>
      <c r="C273" s="2" t="s">
        <v>2020</v>
      </c>
      <c r="D273" t="s">
        <v>6154</v>
      </c>
      <c r="E273" s="2">
        <v>4</v>
      </c>
      <c r="F273" s="2" t="str">
        <f>_xlfn.XLOOKUP(C273,customers!$A$2:$A$1001,customers!$B$2:$B$1001,,0)</f>
        <v>Jasper Sisneros</v>
      </c>
      <c r="G273" s="2" t="str">
        <f>_xlfn.XLOOKUP(C273,customers!$A$2:$A$1001,customers!$G$2:$G$1001,,0)</f>
        <v>United States</v>
      </c>
      <c r="H273" t="str">
        <f>INDEX(products!$A$1:$G$49,MATCH(orders!$D273,products!$A$1:$A$49,0),MATCH(orders!H$1,products!$A$1:$G$1,0))</f>
        <v>Ara</v>
      </c>
      <c r="I273" t="str">
        <f>INDEX(products!$A$1:$G$49,MATCH(orders!$D273,products!$A$1:$A$49,0),MATCH(orders!I$1,products!$A$1:$G$1,0))</f>
        <v>D</v>
      </c>
      <c r="J273" s="5">
        <f>INDEX(products!$A$1:$G$49,MATCH(orders!$D273,products!$A$1:$A$49,0),MATCH(orders!J$1,products!$A$1:$G$1,0))</f>
        <v>0.2</v>
      </c>
      <c r="K273" s="6">
        <f>INDEX(products!$A$1:$G$49,MATCH(orders!$D273,products!$A$1:$A$49,0),MATCH(orders!K$1,products!$A$1:$G$1,0))</f>
        <v>2.9849999999999999</v>
      </c>
      <c r="L273" s="6">
        <f>K273*E273</f>
        <v>11.94</v>
      </c>
      <c r="M273" t="str" cm="1">
        <f t="array" ref="M273">_xlfn.IFS(H273="Rob","Robusta",H273="Exc","Excelsa",H273="Ara","Arabica",H273="Lib","Liberica")</f>
        <v>Arabica</v>
      </c>
      <c r="N273" t="str" cm="1">
        <f t="array" ref="N273">_xlfn.IFS(I273="M","Medium",I273="L","Light",I273="D","Dark")</f>
        <v>Dark</v>
      </c>
      <c r="O273" t="str">
        <f>_xlfn.XLOOKUP(Orders[[#This Row],[Customer ID]],customers!$A$2:$A$1001,customers!$I$2:$I$1001,,0)</f>
        <v>Yes</v>
      </c>
    </row>
    <row r="274" spans="1:15" x14ac:dyDescent="0.3">
      <c r="A274" s="2" t="s">
        <v>2025</v>
      </c>
      <c r="B274" s="3">
        <v>44435</v>
      </c>
      <c r="C274" s="2" t="s">
        <v>2026</v>
      </c>
      <c r="D274" t="s">
        <v>6179</v>
      </c>
      <c r="E274" s="2">
        <v>6</v>
      </c>
      <c r="F274" s="2" t="str">
        <f>_xlfn.XLOOKUP(C274,customers!$A$2:$A$1001,customers!$B$2:$B$1001,,0)</f>
        <v>Zachariah Carlson</v>
      </c>
      <c r="G274" s="2" t="str">
        <f>_xlfn.XLOOKUP(C274,customers!$A$2:$A$1001,customers!$G$2:$G$1001,,0)</f>
        <v>Ireland</v>
      </c>
      <c r="H274" t="str">
        <f>INDEX(products!$A$1:$G$49,MATCH(orders!$D274,products!$A$1:$A$49,0),MATCH(orders!H$1,products!$A$1:$G$1,0))</f>
        <v>Rob</v>
      </c>
      <c r="I274" t="str">
        <f>INDEX(products!$A$1:$G$49,MATCH(orders!$D274,products!$A$1:$A$49,0),MATCH(orders!I$1,products!$A$1:$G$1,0))</f>
        <v>L</v>
      </c>
      <c r="J274" s="5">
        <f>INDEX(products!$A$1:$G$49,MATCH(orders!$D274,products!$A$1:$A$49,0),MATCH(orders!J$1,products!$A$1:$G$1,0))</f>
        <v>1</v>
      </c>
      <c r="K274" s="6">
        <f>INDEX(products!$A$1:$G$49,MATCH(orders!$D274,products!$A$1:$A$49,0),MATCH(orders!K$1,products!$A$1:$G$1,0))</f>
        <v>11.95</v>
      </c>
      <c r="L274" s="6">
        <f>K274*E274</f>
        <v>71.699999999999989</v>
      </c>
      <c r="M274" t="str" cm="1">
        <f t="array" ref="M274">_xlfn.IFS(H274="Rob","Robusta",H274="Exc","Excelsa",H274="Ara","Arabica",H274="Lib","Liberica")</f>
        <v>Robusta</v>
      </c>
      <c r="N274" t="str" cm="1">
        <f t="array" ref="N274">_xlfn.IFS(I274="M","Medium",I274="L","Light",I274="D","Dark")</f>
        <v>Light</v>
      </c>
      <c r="O274" t="str">
        <f>_xlfn.XLOOKUP(Orders[[#This Row],[Customer ID]],customers!$A$2:$A$1001,customers!$I$2:$I$1001,,0)</f>
        <v>Yes</v>
      </c>
    </row>
    <row r="275" spans="1:15" x14ac:dyDescent="0.3">
      <c r="A275" s="2" t="s">
        <v>2032</v>
      </c>
      <c r="B275" s="3">
        <v>44681</v>
      </c>
      <c r="C275" s="2" t="s">
        <v>2033</v>
      </c>
      <c r="D275" t="s">
        <v>6167</v>
      </c>
      <c r="E275" s="2">
        <v>2</v>
      </c>
      <c r="F275" s="2" t="str">
        <f>_xlfn.XLOOKUP(C275,customers!$A$2:$A$1001,customers!$B$2:$B$1001,,0)</f>
        <v>Warner Maddox</v>
      </c>
      <c r="G275" s="2" t="str">
        <f>_xlfn.XLOOKUP(C275,customers!$A$2:$A$1001,customers!$G$2:$G$1001,,0)</f>
        <v>United States</v>
      </c>
      <c r="H275" t="str">
        <f>INDEX(products!$A$1:$G$49,MATCH(orders!$D275,products!$A$1:$A$49,0),MATCH(orders!H$1,products!$A$1:$G$1,0))</f>
        <v>Ara</v>
      </c>
      <c r="I275" t="str">
        <f>INDEX(products!$A$1:$G$49,MATCH(orders!$D275,products!$A$1:$A$49,0),MATCH(orders!I$1,products!$A$1:$G$1,0))</f>
        <v>L</v>
      </c>
      <c r="J275" s="5">
        <f>INDEX(products!$A$1:$G$49,MATCH(orders!$D275,products!$A$1:$A$49,0),MATCH(orders!J$1,products!$A$1:$G$1,0))</f>
        <v>0.2</v>
      </c>
      <c r="K275" s="6">
        <f>INDEX(products!$A$1:$G$49,MATCH(orders!$D275,products!$A$1:$A$49,0),MATCH(orders!K$1,products!$A$1:$G$1,0))</f>
        <v>3.8849999999999998</v>
      </c>
      <c r="L275" s="6">
        <f>K275*E275</f>
        <v>7.77</v>
      </c>
      <c r="M275" t="str" cm="1">
        <f t="array" ref="M275">_xlfn.IFS(H275="Rob","Robusta",H275="Exc","Excelsa",H275="Ara","Arabica",H275="Lib","Liberica")</f>
        <v>Arabica</v>
      </c>
      <c r="N275" t="str" cm="1">
        <f t="array" ref="N275">_xlfn.IFS(I275="M","Medium",I275="L","Light",I275="D","Dark")</f>
        <v>Light</v>
      </c>
      <c r="O275" t="str">
        <f>_xlfn.XLOOKUP(Orders[[#This Row],[Customer ID]],customers!$A$2:$A$1001,customers!$I$2:$I$1001,,0)</f>
        <v>No</v>
      </c>
    </row>
    <row r="276" spans="1:15" x14ac:dyDescent="0.3">
      <c r="A276" s="2" t="s">
        <v>2038</v>
      </c>
      <c r="B276" s="3">
        <v>43985</v>
      </c>
      <c r="C276" s="2" t="s">
        <v>2039</v>
      </c>
      <c r="D276" t="s">
        <v>6175</v>
      </c>
      <c r="E276" s="2">
        <v>1</v>
      </c>
      <c r="F276" s="2" t="str">
        <f>_xlfn.XLOOKUP(C276,customers!$A$2:$A$1001,customers!$B$2:$B$1001,,0)</f>
        <v>Donnie Hedlestone</v>
      </c>
      <c r="G276" s="2" t="str">
        <f>_xlfn.XLOOKUP(C276,customers!$A$2:$A$1001,customers!$G$2:$G$1001,,0)</f>
        <v>United States</v>
      </c>
      <c r="H276" t="str">
        <f>INDEX(products!$A$1:$G$49,MATCH(orders!$D276,products!$A$1:$A$49,0),MATCH(orders!H$1,products!$A$1:$G$1,0))</f>
        <v>Ara</v>
      </c>
      <c r="I276" t="str">
        <f>INDEX(products!$A$1:$G$49,MATCH(orders!$D276,products!$A$1:$A$49,0),MATCH(orders!I$1,products!$A$1:$G$1,0))</f>
        <v>M</v>
      </c>
      <c r="J276" s="5">
        <f>INDEX(products!$A$1:$G$49,MATCH(orders!$D276,products!$A$1:$A$49,0),MATCH(orders!J$1,products!$A$1:$G$1,0))</f>
        <v>2.5</v>
      </c>
      <c r="K276" s="6">
        <f>INDEX(products!$A$1:$G$49,MATCH(orders!$D276,products!$A$1:$A$49,0),MATCH(orders!K$1,products!$A$1:$G$1,0))</f>
        <v>25.874999999999996</v>
      </c>
      <c r="L276" s="6">
        <f>K276*E276</f>
        <v>25.874999999999996</v>
      </c>
      <c r="M276" t="str" cm="1">
        <f t="array" ref="M276">_xlfn.IFS(H276="Rob","Robusta",H276="Exc","Excelsa",H276="Ara","Arabica",H276="Lib","Liberica")</f>
        <v>Arabica</v>
      </c>
      <c r="N276" t="str" cm="1">
        <f t="array" ref="N276">_xlfn.IFS(I276="M","Medium",I276="L","Light",I276="D","Dark")</f>
        <v>Medium</v>
      </c>
      <c r="O276" t="str">
        <f>_xlfn.XLOOKUP(Orders[[#This Row],[Customer ID]],customers!$A$2:$A$1001,customers!$I$2:$I$1001,,0)</f>
        <v>No</v>
      </c>
    </row>
    <row r="277" spans="1:15" x14ac:dyDescent="0.3">
      <c r="A277" s="2" t="s">
        <v>2044</v>
      </c>
      <c r="B277" s="3">
        <v>44725</v>
      </c>
      <c r="C277" s="2" t="s">
        <v>2045</v>
      </c>
      <c r="D277" t="s">
        <v>6148</v>
      </c>
      <c r="E277" s="2">
        <v>6</v>
      </c>
      <c r="F277" s="2" t="str">
        <f>_xlfn.XLOOKUP(C277,customers!$A$2:$A$1001,customers!$B$2:$B$1001,,0)</f>
        <v>Teddi Crowthe</v>
      </c>
      <c r="G277" s="2" t="str">
        <f>_xlfn.XLOOKUP(C277,customers!$A$2:$A$1001,customers!$G$2:$G$1001,,0)</f>
        <v>United States</v>
      </c>
      <c r="H277" t="str">
        <f>INDEX(products!$A$1:$G$49,MATCH(orders!$D277,products!$A$1:$A$49,0),MATCH(orders!H$1,products!$A$1:$G$1,0))</f>
        <v>Exc</v>
      </c>
      <c r="I277" t="str">
        <f>INDEX(products!$A$1:$G$49,MATCH(orders!$D277,products!$A$1:$A$49,0),MATCH(orders!I$1,products!$A$1:$G$1,0))</f>
        <v>L</v>
      </c>
      <c r="J277" s="5">
        <f>INDEX(products!$A$1:$G$49,MATCH(orders!$D277,products!$A$1:$A$49,0),MATCH(orders!J$1,products!$A$1:$G$1,0))</f>
        <v>2.5</v>
      </c>
      <c r="K277" s="6">
        <f>INDEX(products!$A$1:$G$49,MATCH(orders!$D277,products!$A$1:$A$49,0),MATCH(orders!K$1,products!$A$1:$G$1,0))</f>
        <v>34.154999999999994</v>
      </c>
      <c r="L277" s="6">
        <f>K277*E277</f>
        <v>204.92999999999995</v>
      </c>
      <c r="M277" t="str" cm="1">
        <f t="array" ref="M277">_xlfn.IFS(H277="Rob","Robusta",H277="Exc","Excelsa",H277="Ara","Arabica",H277="Lib","Liberica")</f>
        <v>Excelsa</v>
      </c>
      <c r="N277" t="str" cm="1">
        <f t="array" ref="N277">_xlfn.IFS(I277="M","Medium",I277="L","Light",I277="D","Dark")</f>
        <v>Light</v>
      </c>
      <c r="O277" t="str">
        <f>_xlfn.XLOOKUP(Orders[[#This Row],[Customer ID]],customers!$A$2:$A$1001,customers!$I$2:$I$1001,,0)</f>
        <v>No</v>
      </c>
    </row>
    <row r="278" spans="1:15" x14ac:dyDescent="0.3">
      <c r="A278" s="2" t="s">
        <v>2050</v>
      </c>
      <c r="B278" s="3">
        <v>43992</v>
      </c>
      <c r="C278" s="2" t="s">
        <v>2051</v>
      </c>
      <c r="D278" t="s">
        <v>6142</v>
      </c>
      <c r="E278" s="2">
        <v>4</v>
      </c>
      <c r="F278" s="2" t="str">
        <f>_xlfn.XLOOKUP(C278,customers!$A$2:$A$1001,customers!$B$2:$B$1001,,0)</f>
        <v>Dorelia Bury</v>
      </c>
      <c r="G278" s="2" t="str">
        <f>_xlfn.XLOOKUP(C278,customers!$A$2:$A$1001,customers!$G$2:$G$1001,,0)</f>
        <v>Ireland</v>
      </c>
      <c r="H278" t="str">
        <f>INDEX(products!$A$1:$G$49,MATCH(orders!$D278,products!$A$1:$A$49,0),MATCH(orders!H$1,products!$A$1:$G$1,0))</f>
        <v>Rob</v>
      </c>
      <c r="I278" t="str">
        <f>INDEX(products!$A$1:$G$49,MATCH(orders!$D278,products!$A$1:$A$49,0),MATCH(orders!I$1,products!$A$1:$G$1,0))</f>
        <v>L</v>
      </c>
      <c r="J278" s="5">
        <f>INDEX(products!$A$1:$G$49,MATCH(orders!$D278,products!$A$1:$A$49,0),MATCH(orders!J$1,products!$A$1:$G$1,0))</f>
        <v>2.5</v>
      </c>
      <c r="K278" s="6">
        <f>INDEX(products!$A$1:$G$49,MATCH(orders!$D278,products!$A$1:$A$49,0),MATCH(orders!K$1,products!$A$1:$G$1,0))</f>
        <v>27.484999999999996</v>
      </c>
      <c r="L278" s="6">
        <f>K278*E278</f>
        <v>109.93999999999998</v>
      </c>
      <c r="M278" t="str" cm="1">
        <f t="array" ref="M278">_xlfn.IFS(H278="Rob","Robusta",H278="Exc","Excelsa",H278="Ara","Arabica",H278="Lib","Liberica")</f>
        <v>Robusta</v>
      </c>
      <c r="N278" t="str" cm="1">
        <f t="array" ref="N278">_xlfn.IFS(I278="M","Medium",I278="L","Light",I278="D","Dark")</f>
        <v>Light</v>
      </c>
      <c r="O278" t="str">
        <f>_xlfn.XLOOKUP(Orders[[#This Row],[Customer ID]],customers!$A$2:$A$1001,customers!$I$2:$I$1001,,0)</f>
        <v>Yes</v>
      </c>
    </row>
    <row r="279" spans="1:15" x14ac:dyDescent="0.3">
      <c r="A279" s="2" t="s">
        <v>2056</v>
      </c>
      <c r="B279" s="3">
        <v>44183</v>
      </c>
      <c r="C279" s="2" t="s">
        <v>2057</v>
      </c>
      <c r="D279" t="s">
        <v>6171</v>
      </c>
      <c r="E279" s="2">
        <v>6</v>
      </c>
      <c r="F279" s="2" t="str">
        <f>_xlfn.XLOOKUP(C279,customers!$A$2:$A$1001,customers!$B$2:$B$1001,,0)</f>
        <v>Gussy Broadbear</v>
      </c>
      <c r="G279" s="2" t="str">
        <f>_xlfn.XLOOKUP(C279,customers!$A$2:$A$1001,customers!$G$2:$G$1001,,0)</f>
        <v>United States</v>
      </c>
      <c r="H279" t="str">
        <f>INDEX(products!$A$1:$G$49,MATCH(orders!$D279,products!$A$1:$A$49,0),MATCH(orders!H$1,products!$A$1:$G$1,0))</f>
        <v>Exc</v>
      </c>
      <c r="I279" t="str">
        <f>INDEX(products!$A$1:$G$49,MATCH(orders!$D279,products!$A$1:$A$49,0),MATCH(orders!I$1,products!$A$1:$G$1,0))</f>
        <v>L</v>
      </c>
      <c r="J279" s="5">
        <f>INDEX(products!$A$1:$G$49,MATCH(orders!$D279,products!$A$1:$A$49,0),MATCH(orders!J$1,products!$A$1:$G$1,0))</f>
        <v>1</v>
      </c>
      <c r="K279" s="6">
        <f>INDEX(products!$A$1:$G$49,MATCH(orders!$D279,products!$A$1:$A$49,0),MATCH(orders!K$1,products!$A$1:$G$1,0))</f>
        <v>14.85</v>
      </c>
      <c r="L279" s="6">
        <f>K279*E279</f>
        <v>89.1</v>
      </c>
      <c r="M279" t="str" cm="1">
        <f t="array" ref="M279">_xlfn.IFS(H279="Rob","Robusta",H279="Exc","Excelsa",H279="Ara","Arabica",H279="Lib","Liberica")</f>
        <v>Excelsa</v>
      </c>
      <c r="N279" t="str" cm="1">
        <f t="array" ref="N279">_xlfn.IFS(I279="M","Medium",I279="L","Light",I279="D","Dark")</f>
        <v>Light</v>
      </c>
      <c r="O279" t="str">
        <f>_xlfn.XLOOKUP(Orders[[#This Row],[Customer ID]],customers!$A$2:$A$1001,customers!$I$2:$I$1001,,0)</f>
        <v>No</v>
      </c>
    </row>
    <row r="280" spans="1:15" x14ac:dyDescent="0.3">
      <c r="A280" s="2" t="s">
        <v>2062</v>
      </c>
      <c r="B280" s="3">
        <v>43708</v>
      </c>
      <c r="C280" s="2" t="s">
        <v>2063</v>
      </c>
      <c r="D280" t="s">
        <v>6167</v>
      </c>
      <c r="E280" s="2">
        <v>2</v>
      </c>
      <c r="F280" s="2" t="str">
        <f>_xlfn.XLOOKUP(C280,customers!$A$2:$A$1001,customers!$B$2:$B$1001,,0)</f>
        <v>Emlynne Palfrey</v>
      </c>
      <c r="G280" s="2" t="str">
        <f>_xlfn.XLOOKUP(C280,customers!$A$2:$A$1001,customers!$G$2:$G$1001,,0)</f>
        <v>United States</v>
      </c>
      <c r="H280" t="str">
        <f>INDEX(products!$A$1:$G$49,MATCH(orders!$D280,products!$A$1:$A$49,0),MATCH(orders!H$1,products!$A$1:$G$1,0))</f>
        <v>Ara</v>
      </c>
      <c r="I280" t="str">
        <f>INDEX(products!$A$1:$G$49,MATCH(orders!$D280,products!$A$1:$A$49,0),MATCH(orders!I$1,products!$A$1:$G$1,0))</f>
        <v>L</v>
      </c>
      <c r="J280" s="5">
        <f>INDEX(products!$A$1:$G$49,MATCH(orders!$D280,products!$A$1:$A$49,0),MATCH(orders!J$1,products!$A$1:$G$1,0))</f>
        <v>0.2</v>
      </c>
      <c r="K280" s="6">
        <f>INDEX(products!$A$1:$G$49,MATCH(orders!$D280,products!$A$1:$A$49,0),MATCH(orders!K$1,products!$A$1:$G$1,0))</f>
        <v>3.8849999999999998</v>
      </c>
      <c r="L280" s="6">
        <f>K280*E280</f>
        <v>7.77</v>
      </c>
      <c r="M280" t="str" cm="1">
        <f t="array" ref="M280">_xlfn.IFS(H280="Rob","Robusta",H280="Exc","Excelsa",H280="Ara","Arabica",H280="Lib","Liberica")</f>
        <v>Arabica</v>
      </c>
      <c r="N280" t="str" cm="1">
        <f t="array" ref="N280">_xlfn.IFS(I280="M","Medium",I280="L","Light",I280="D","Dark")</f>
        <v>Light</v>
      </c>
      <c r="O280" t="str">
        <f>_xlfn.XLOOKUP(Orders[[#This Row],[Customer ID]],customers!$A$2:$A$1001,customers!$I$2:$I$1001,,0)</f>
        <v>Yes</v>
      </c>
    </row>
    <row r="281" spans="1:15" x14ac:dyDescent="0.3">
      <c r="A281" s="2" t="s">
        <v>2068</v>
      </c>
      <c r="B281" s="3">
        <v>43521</v>
      </c>
      <c r="C281" s="2" t="s">
        <v>2069</v>
      </c>
      <c r="D281" t="s">
        <v>6181</v>
      </c>
      <c r="E281" s="2">
        <v>1</v>
      </c>
      <c r="F281" s="2" t="str">
        <f>_xlfn.XLOOKUP(C281,customers!$A$2:$A$1001,customers!$B$2:$B$1001,,0)</f>
        <v>Parsifal Metrick</v>
      </c>
      <c r="G281" s="2" t="str">
        <f>_xlfn.XLOOKUP(C281,customers!$A$2:$A$1001,customers!$G$2:$G$1001,,0)</f>
        <v>United States</v>
      </c>
      <c r="H281" t="str">
        <f>INDEX(products!$A$1:$G$49,MATCH(orders!$D281,products!$A$1:$A$49,0),MATCH(orders!H$1,products!$A$1:$G$1,0))</f>
        <v>Lib</v>
      </c>
      <c r="I281" t="str">
        <f>INDEX(products!$A$1:$G$49,MATCH(orders!$D281,products!$A$1:$A$49,0),MATCH(orders!I$1,products!$A$1:$G$1,0))</f>
        <v>M</v>
      </c>
      <c r="J281" s="5">
        <f>INDEX(products!$A$1:$G$49,MATCH(orders!$D281,products!$A$1:$A$49,0),MATCH(orders!J$1,products!$A$1:$G$1,0))</f>
        <v>2.5</v>
      </c>
      <c r="K281" s="6">
        <f>INDEX(products!$A$1:$G$49,MATCH(orders!$D281,products!$A$1:$A$49,0),MATCH(orders!K$1,products!$A$1:$G$1,0))</f>
        <v>33.464999999999996</v>
      </c>
      <c r="L281" s="6">
        <f>K281*E281</f>
        <v>33.464999999999996</v>
      </c>
      <c r="M281" t="str" cm="1">
        <f t="array" ref="M281">_xlfn.IFS(H281="Rob","Robusta",H281="Exc","Excelsa",H281="Ara","Arabica",H281="Lib","Liberica")</f>
        <v>Liberica</v>
      </c>
      <c r="N281" t="str" cm="1">
        <f t="array" ref="N281">_xlfn.IFS(I281="M","Medium",I281="L","Light",I281="D","Dark")</f>
        <v>Medium</v>
      </c>
      <c r="O281" t="str">
        <f>_xlfn.XLOOKUP(Orders[[#This Row],[Customer ID]],customers!$A$2:$A$1001,customers!$I$2:$I$1001,,0)</f>
        <v>Yes</v>
      </c>
    </row>
    <row r="282" spans="1:15" x14ac:dyDescent="0.3">
      <c r="A282" s="2" t="s">
        <v>2074</v>
      </c>
      <c r="B282" s="3">
        <v>44234</v>
      </c>
      <c r="C282" s="2" t="s">
        <v>2075</v>
      </c>
      <c r="D282" t="s">
        <v>6139</v>
      </c>
      <c r="E282" s="2">
        <v>5</v>
      </c>
      <c r="F282" s="2" t="str">
        <f>_xlfn.XLOOKUP(C282,customers!$A$2:$A$1001,customers!$B$2:$B$1001,,0)</f>
        <v>Christopher Grieveson</v>
      </c>
      <c r="G282" s="2" t="str">
        <f>_xlfn.XLOOKUP(C282,customers!$A$2:$A$1001,customers!$G$2:$G$1001,,0)</f>
        <v>United States</v>
      </c>
      <c r="H282" t="str">
        <f>INDEX(products!$A$1:$G$49,MATCH(orders!$D282,products!$A$1:$A$49,0),MATCH(orders!H$1,products!$A$1:$G$1,0))</f>
        <v>Exc</v>
      </c>
      <c r="I282" t="str">
        <f>INDEX(products!$A$1:$G$49,MATCH(orders!$D282,products!$A$1:$A$49,0),MATCH(orders!I$1,products!$A$1:$G$1,0))</f>
        <v>M</v>
      </c>
      <c r="J282" s="5">
        <f>INDEX(products!$A$1:$G$49,MATCH(orders!$D282,products!$A$1:$A$49,0),MATCH(orders!J$1,products!$A$1:$G$1,0))</f>
        <v>0.5</v>
      </c>
      <c r="K282" s="6">
        <f>INDEX(products!$A$1:$G$49,MATCH(orders!$D282,products!$A$1:$A$49,0),MATCH(orders!K$1,products!$A$1:$G$1,0))</f>
        <v>8.25</v>
      </c>
      <c r="L282" s="6">
        <f>K282*E282</f>
        <v>41.25</v>
      </c>
      <c r="M282" t="str" cm="1">
        <f t="array" ref="M282">_xlfn.IFS(H282="Rob","Robusta",H282="Exc","Excelsa",H282="Ara","Arabica",H282="Lib","Liberica")</f>
        <v>Excelsa</v>
      </c>
      <c r="N282" t="str" cm="1">
        <f t="array" ref="N282">_xlfn.IFS(I282="M","Medium",I282="L","Light",I282="D","Dark")</f>
        <v>Medium</v>
      </c>
      <c r="O282" t="str">
        <f>_xlfn.XLOOKUP(Orders[[#This Row],[Customer ID]],customers!$A$2:$A$1001,customers!$I$2:$I$1001,,0)</f>
        <v>Yes</v>
      </c>
    </row>
    <row r="283" spans="1:15" x14ac:dyDescent="0.3">
      <c r="A283" s="2" t="s">
        <v>2079</v>
      </c>
      <c r="B283" s="3">
        <v>44210</v>
      </c>
      <c r="C283" s="2" t="s">
        <v>2080</v>
      </c>
      <c r="D283" t="s">
        <v>6171</v>
      </c>
      <c r="E283" s="2">
        <v>4</v>
      </c>
      <c r="F283" s="2" t="str">
        <f>_xlfn.XLOOKUP(C283,customers!$A$2:$A$1001,customers!$B$2:$B$1001,,0)</f>
        <v>Karlan Karby</v>
      </c>
      <c r="G283" s="2" t="str">
        <f>_xlfn.XLOOKUP(C283,customers!$A$2:$A$1001,customers!$G$2:$G$1001,,0)</f>
        <v>United States</v>
      </c>
      <c r="H283" t="str">
        <f>INDEX(products!$A$1:$G$49,MATCH(orders!$D283,products!$A$1:$A$49,0),MATCH(orders!H$1,products!$A$1:$G$1,0))</f>
        <v>Exc</v>
      </c>
      <c r="I283" t="str">
        <f>INDEX(products!$A$1:$G$49,MATCH(orders!$D283,products!$A$1:$A$49,0),MATCH(orders!I$1,products!$A$1:$G$1,0))</f>
        <v>L</v>
      </c>
      <c r="J283" s="5">
        <f>INDEX(products!$A$1:$G$49,MATCH(orders!$D283,products!$A$1:$A$49,0),MATCH(orders!J$1,products!$A$1:$G$1,0))</f>
        <v>1</v>
      </c>
      <c r="K283" s="6">
        <f>INDEX(products!$A$1:$G$49,MATCH(orders!$D283,products!$A$1:$A$49,0),MATCH(orders!K$1,products!$A$1:$G$1,0))</f>
        <v>14.85</v>
      </c>
      <c r="L283" s="6">
        <f>K283*E283</f>
        <v>59.4</v>
      </c>
      <c r="M283" t="str" cm="1">
        <f t="array" ref="M283">_xlfn.IFS(H283="Rob","Robusta",H283="Exc","Excelsa",H283="Ara","Arabica",H283="Lib","Liberica")</f>
        <v>Excelsa</v>
      </c>
      <c r="N283" t="str" cm="1">
        <f t="array" ref="N283">_xlfn.IFS(I283="M","Medium",I283="L","Light",I283="D","Dark")</f>
        <v>Light</v>
      </c>
      <c r="O283" t="str">
        <f>_xlfn.XLOOKUP(Orders[[#This Row],[Customer ID]],customers!$A$2:$A$1001,customers!$I$2:$I$1001,,0)</f>
        <v>Yes</v>
      </c>
    </row>
    <row r="284" spans="1:15" x14ac:dyDescent="0.3">
      <c r="A284" s="2" t="s">
        <v>2085</v>
      </c>
      <c r="B284" s="3">
        <v>43520</v>
      </c>
      <c r="C284" s="2" t="s">
        <v>2086</v>
      </c>
      <c r="D284" t="s">
        <v>6180</v>
      </c>
      <c r="E284" s="2">
        <v>1</v>
      </c>
      <c r="F284" s="2" t="str">
        <f>_xlfn.XLOOKUP(C284,customers!$A$2:$A$1001,customers!$B$2:$B$1001,,0)</f>
        <v>Flory Crumpe</v>
      </c>
      <c r="G284" s="2" t="str">
        <f>_xlfn.XLOOKUP(C284,customers!$A$2:$A$1001,customers!$G$2:$G$1001,,0)</f>
        <v>United Kingdom</v>
      </c>
      <c r="H284" t="str">
        <f>INDEX(products!$A$1:$G$49,MATCH(orders!$D284,products!$A$1:$A$49,0),MATCH(orders!H$1,products!$A$1:$G$1,0))</f>
        <v>Ara</v>
      </c>
      <c r="I284" t="str">
        <f>INDEX(products!$A$1:$G$49,MATCH(orders!$D284,products!$A$1:$A$49,0),MATCH(orders!I$1,products!$A$1:$G$1,0))</f>
        <v>L</v>
      </c>
      <c r="J284" s="5">
        <f>INDEX(products!$A$1:$G$49,MATCH(orders!$D284,products!$A$1:$A$49,0),MATCH(orders!J$1,products!$A$1:$G$1,0))</f>
        <v>0.5</v>
      </c>
      <c r="K284" s="6">
        <f>INDEX(products!$A$1:$G$49,MATCH(orders!$D284,products!$A$1:$A$49,0),MATCH(orders!K$1,products!$A$1:$G$1,0))</f>
        <v>7.77</v>
      </c>
      <c r="L284" s="6">
        <f>K284*E284</f>
        <v>7.77</v>
      </c>
      <c r="M284" t="str" cm="1">
        <f t="array" ref="M284">_xlfn.IFS(H284="Rob","Robusta",H284="Exc","Excelsa",H284="Ara","Arabica",H284="Lib","Liberica")</f>
        <v>Arabica</v>
      </c>
      <c r="N284" t="str" cm="1">
        <f t="array" ref="N284">_xlfn.IFS(I284="M","Medium",I284="L","Light",I284="D","Dark")</f>
        <v>Light</v>
      </c>
      <c r="O284" t="str">
        <f>_xlfn.XLOOKUP(Orders[[#This Row],[Customer ID]],customers!$A$2:$A$1001,customers!$I$2:$I$1001,,0)</f>
        <v>No</v>
      </c>
    </row>
    <row r="285" spans="1:15" x14ac:dyDescent="0.3">
      <c r="A285" s="2" t="s">
        <v>2091</v>
      </c>
      <c r="B285" s="3">
        <v>43639</v>
      </c>
      <c r="C285" s="2" t="s">
        <v>2092</v>
      </c>
      <c r="D285" t="s">
        <v>6172</v>
      </c>
      <c r="E285" s="2">
        <v>1</v>
      </c>
      <c r="F285" s="2" t="str">
        <f>_xlfn.XLOOKUP(C285,customers!$A$2:$A$1001,customers!$B$2:$B$1001,,0)</f>
        <v>Amity Chatto</v>
      </c>
      <c r="G285" s="2" t="str">
        <f>_xlfn.XLOOKUP(C285,customers!$A$2:$A$1001,customers!$G$2:$G$1001,,0)</f>
        <v>United Kingdom</v>
      </c>
      <c r="H285" t="str">
        <f>INDEX(products!$A$1:$G$49,MATCH(orders!$D285,products!$A$1:$A$49,0),MATCH(orders!H$1,products!$A$1:$G$1,0))</f>
        <v>Rob</v>
      </c>
      <c r="I285" t="str">
        <f>INDEX(products!$A$1:$G$49,MATCH(orders!$D285,products!$A$1:$A$49,0),MATCH(orders!I$1,products!$A$1:$G$1,0))</f>
        <v>D</v>
      </c>
      <c r="J285" s="5">
        <f>INDEX(products!$A$1:$G$49,MATCH(orders!$D285,products!$A$1:$A$49,0),MATCH(orders!J$1,products!$A$1:$G$1,0))</f>
        <v>0.5</v>
      </c>
      <c r="K285" s="6">
        <f>INDEX(products!$A$1:$G$49,MATCH(orders!$D285,products!$A$1:$A$49,0),MATCH(orders!K$1,products!$A$1:$G$1,0))</f>
        <v>5.3699999999999992</v>
      </c>
      <c r="L285" s="6">
        <f>K285*E285</f>
        <v>5.3699999999999992</v>
      </c>
      <c r="M285" t="str" cm="1">
        <f t="array" ref="M285">_xlfn.IFS(H285="Rob","Robusta",H285="Exc","Excelsa",H285="Ara","Arabica",H285="Lib","Liberica")</f>
        <v>Robusta</v>
      </c>
      <c r="N285" t="str" cm="1">
        <f t="array" ref="N285">_xlfn.IFS(I285="M","Medium",I285="L","Light",I285="D","Dark")</f>
        <v>Dark</v>
      </c>
      <c r="O285" t="str">
        <f>_xlfn.XLOOKUP(Orders[[#This Row],[Customer ID]],customers!$A$2:$A$1001,customers!$I$2:$I$1001,,0)</f>
        <v>Yes</v>
      </c>
    </row>
    <row r="286" spans="1:15" x14ac:dyDescent="0.3">
      <c r="A286" s="2" t="s">
        <v>2097</v>
      </c>
      <c r="B286" s="3">
        <v>43960</v>
      </c>
      <c r="C286" s="2" t="s">
        <v>2098</v>
      </c>
      <c r="D286" t="s">
        <v>6166</v>
      </c>
      <c r="E286" s="2">
        <v>3</v>
      </c>
      <c r="F286" s="2" t="str">
        <f>_xlfn.XLOOKUP(C286,customers!$A$2:$A$1001,customers!$B$2:$B$1001,,0)</f>
        <v>Nanine McCarthy</v>
      </c>
      <c r="G286" s="2" t="str">
        <f>_xlfn.XLOOKUP(C286,customers!$A$2:$A$1001,customers!$G$2:$G$1001,,0)</f>
        <v>United States</v>
      </c>
      <c r="H286" t="str">
        <f>INDEX(products!$A$1:$G$49,MATCH(orders!$D286,products!$A$1:$A$49,0),MATCH(orders!H$1,products!$A$1:$G$1,0))</f>
        <v>Exc</v>
      </c>
      <c r="I286" t="str">
        <f>INDEX(products!$A$1:$G$49,MATCH(orders!$D286,products!$A$1:$A$49,0),MATCH(orders!I$1,products!$A$1:$G$1,0))</f>
        <v>M</v>
      </c>
      <c r="J286" s="5">
        <f>INDEX(products!$A$1:$G$49,MATCH(orders!$D286,products!$A$1:$A$49,0),MATCH(orders!J$1,products!$A$1:$G$1,0))</f>
        <v>2.5</v>
      </c>
      <c r="K286" s="6">
        <f>INDEX(products!$A$1:$G$49,MATCH(orders!$D286,products!$A$1:$A$49,0),MATCH(orders!K$1,products!$A$1:$G$1,0))</f>
        <v>31.624999999999996</v>
      </c>
      <c r="L286" s="6">
        <f>K286*E286</f>
        <v>94.874999999999986</v>
      </c>
      <c r="M286" t="str" cm="1">
        <f t="array" ref="M286">_xlfn.IFS(H286="Rob","Robusta",H286="Exc","Excelsa",H286="Ara","Arabica",H286="Lib","Liberica")</f>
        <v>Excelsa</v>
      </c>
      <c r="N286" t="str" cm="1">
        <f t="array" ref="N286">_xlfn.IFS(I286="M","Medium",I286="L","Light",I286="D","Dark")</f>
        <v>Medium</v>
      </c>
      <c r="O286" t="str">
        <f>_xlfn.XLOOKUP(Orders[[#This Row],[Customer ID]],customers!$A$2:$A$1001,customers!$I$2:$I$1001,,0)</f>
        <v>No</v>
      </c>
    </row>
    <row r="287" spans="1:15" x14ac:dyDescent="0.3">
      <c r="A287" s="2" t="s">
        <v>2102</v>
      </c>
      <c r="B287" s="3">
        <v>44030</v>
      </c>
      <c r="C287" s="2" t="s">
        <v>2103</v>
      </c>
      <c r="D287" t="s">
        <v>6164</v>
      </c>
      <c r="E287" s="2">
        <v>1</v>
      </c>
      <c r="F287" s="2" t="str">
        <f>_xlfn.XLOOKUP(C287,customers!$A$2:$A$1001,customers!$B$2:$B$1001,,0)</f>
        <v>Lyndsey Megany</v>
      </c>
      <c r="G287" s="2" t="str">
        <f>_xlfn.XLOOKUP(C287,customers!$A$2:$A$1001,customers!$G$2:$G$1001,,0)</f>
        <v>United States</v>
      </c>
      <c r="H287" t="str">
        <f>INDEX(products!$A$1:$G$49,MATCH(orders!$D287,products!$A$1:$A$49,0),MATCH(orders!H$1,products!$A$1:$G$1,0))</f>
        <v>Lib</v>
      </c>
      <c r="I287" t="str">
        <f>INDEX(products!$A$1:$G$49,MATCH(orders!$D287,products!$A$1:$A$49,0),MATCH(orders!I$1,products!$A$1:$G$1,0))</f>
        <v>L</v>
      </c>
      <c r="J287" s="5">
        <f>INDEX(products!$A$1:$G$49,MATCH(orders!$D287,products!$A$1:$A$49,0),MATCH(orders!J$1,products!$A$1:$G$1,0))</f>
        <v>2.5</v>
      </c>
      <c r="K287" s="6">
        <f>INDEX(products!$A$1:$G$49,MATCH(orders!$D287,products!$A$1:$A$49,0),MATCH(orders!K$1,products!$A$1:$G$1,0))</f>
        <v>36.454999999999998</v>
      </c>
      <c r="L287" s="6">
        <f>K287*E287</f>
        <v>36.454999999999998</v>
      </c>
      <c r="M287" t="str" cm="1">
        <f t="array" ref="M287">_xlfn.IFS(H287="Rob","Robusta",H287="Exc","Excelsa",H287="Ara","Arabica",H287="Lib","Liberica")</f>
        <v>Liberica</v>
      </c>
      <c r="N287" t="str" cm="1">
        <f t="array" ref="N287">_xlfn.IFS(I287="M","Medium",I287="L","Light",I287="D","Dark")</f>
        <v>Light</v>
      </c>
      <c r="O287" t="str">
        <f>_xlfn.XLOOKUP(Orders[[#This Row],[Customer ID]],customers!$A$2:$A$1001,customers!$I$2:$I$1001,,0)</f>
        <v>No</v>
      </c>
    </row>
    <row r="288" spans="1:15" x14ac:dyDescent="0.3">
      <c r="A288" s="2" t="s">
        <v>2107</v>
      </c>
      <c r="B288" s="3">
        <v>43755</v>
      </c>
      <c r="C288" s="2" t="s">
        <v>2108</v>
      </c>
      <c r="D288" t="s">
        <v>6152</v>
      </c>
      <c r="E288" s="2">
        <v>4</v>
      </c>
      <c r="F288" s="2" t="str">
        <f>_xlfn.XLOOKUP(C288,customers!$A$2:$A$1001,customers!$B$2:$B$1001,,0)</f>
        <v>Byram Mergue</v>
      </c>
      <c r="G288" s="2" t="str">
        <f>_xlfn.XLOOKUP(C288,customers!$A$2:$A$1001,customers!$G$2:$G$1001,,0)</f>
        <v>United States</v>
      </c>
      <c r="H288" t="str">
        <f>INDEX(products!$A$1:$G$49,MATCH(orders!$D288,products!$A$1:$A$49,0),MATCH(orders!H$1,products!$A$1:$G$1,0))</f>
        <v>Ara</v>
      </c>
      <c r="I288" t="str">
        <f>INDEX(products!$A$1:$G$49,MATCH(orders!$D288,products!$A$1:$A$49,0),MATCH(orders!I$1,products!$A$1:$G$1,0))</f>
        <v>M</v>
      </c>
      <c r="J288" s="5">
        <f>INDEX(products!$A$1:$G$49,MATCH(orders!$D288,products!$A$1:$A$49,0),MATCH(orders!J$1,products!$A$1:$G$1,0))</f>
        <v>0.2</v>
      </c>
      <c r="K288" s="6">
        <f>INDEX(products!$A$1:$G$49,MATCH(orders!$D288,products!$A$1:$A$49,0),MATCH(orders!K$1,products!$A$1:$G$1,0))</f>
        <v>3.375</v>
      </c>
      <c r="L288" s="6">
        <f>K288*E288</f>
        <v>13.5</v>
      </c>
      <c r="M288" t="str" cm="1">
        <f t="array" ref="M288">_xlfn.IFS(H288="Rob","Robusta",H288="Exc","Excelsa",H288="Ara","Arabica",H288="Lib","Liberica")</f>
        <v>Arabica</v>
      </c>
      <c r="N288" t="str" cm="1">
        <f t="array" ref="N288">_xlfn.IFS(I288="M","Medium",I288="L","Light",I288="D","Dark")</f>
        <v>Medium</v>
      </c>
      <c r="O288" t="str">
        <f>_xlfn.XLOOKUP(Orders[[#This Row],[Customer ID]],customers!$A$2:$A$1001,customers!$I$2:$I$1001,,0)</f>
        <v>Yes</v>
      </c>
    </row>
    <row r="289" spans="1:15" x14ac:dyDescent="0.3">
      <c r="A289" s="2" t="s">
        <v>2112</v>
      </c>
      <c r="B289" s="3">
        <v>44697</v>
      </c>
      <c r="C289" s="2" t="s">
        <v>2113</v>
      </c>
      <c r="D289" t="s">
        <v>6178</v>
      </c>
      <c r="E289" s="2">
        <v>4</v>
      </c>
      <c r="F289" s="2" t="str">
        <f>_xlfn.XLOOKUP(C289,customers!$A$2:$A$1001,customers!$B$2:$B$1001,,0)</f>
        <v>Kerr Patise</v>
      </c>
      <c r="G289" s="2" t="str">
        <f>_xlfn.XLOOKUP(C289,customers!$A$2:$A$1001,customers!$G$2:$G$1001,,0)</f>
        <v>United States</v>
      </c>
      <c r="H289" t="str">
        <f>INDEX(products!$A$1:$G$49,MATCH(orders!$D289,products!$A$1:$A$49,0),MATCH(orders!H$1,products!$A$1:$G$1,0))</f>
        <v>Rob</v>
      </c>
      <c r="I289" t="str">
        <f>INDEX(products!$A$1:$G$49,MATCH(orders!$D289,products!$A$1:$A$49,0),MATCH(orders!I$1,products!$A$1:$G$1,0))</f>
        <v>L</v>
      </c>
      <c r="J289" s="5">
        <f>INDEX(products!$A$1:$G$49,MATCH(orders!$D289,products!$A$1:$A$49,0),MATCH(orders!J$1,products!$A$1:$G$1,0))</f>
        <v>0.2</v>
      </c>
      <c r="K289" s="6">
        <f>INDEX(products!$A$1:$G$49,MATCH(orders!$D289,products!$A$1:$A$49,0),MATCH(orders!K$1,products!$A$1:$G$1,0))</f>
        <v>3.5849999999999995</v>
      </c>
      <c r="L289" s="6">
        <f>K289*E289</f>
        <v>14.339999999999998</v>
      </c>
      <c r="M289" t="str" cm="1">
        <f t="array" ref="M289">_xlfn.IFS(H289="Rob","Robusta",H289="Exc","Excelsa",H289="Ara","Arabica",H289="Lib","Liberica")</f>
        <v>Robusta</v>
      </c>
      <c r="N289" t="str" cm="1">
        <f t="array" ref="N289">_xlfn.IFS(I289="M","Medium",I289="L","Light",I289="D","Dark")</f>
        <v>Light</v>
      </c>
      <c r="O289" t="str">
        <f>_xlfn.XLOOKUP(Orders[[#This Row],[Customer ID]],customers!$A$2:$A$1001,customers!$I$2:$I$1001,,0)</f>
        <v>No</v>
      </c>
    </row>
    <row r="290" spans="1:15" x14ac:dyDescent="0.3">
      <c r="A290" s="2" t="s">
        <v>2118</v>
      </c>
      <c r="B290" s="3">
        <v>44279</v>
      </c>
      <c r="C290" s="2" t="s">
        <v>2119</v>
      </c>
      <c r="D290" t="s">
        <v>6139</v>
      </c>
      <c r="E290" s="2">
        <v>1</v>
      </c>
      <c r="F290" s="2" t="str">
        <f>_xlfn.XLOOKUP(C290,customers!$A$2:$A$1001,customers!$B$2:$B$1001,,0)</f>
        <v>Mathew Goulter</v>
      </c>
      <c r="G290" s="2" t="str">
        <f>_xlfn.XLOOKUP(C290,customers!$A$2:$A$1001,customers!$G$2:$G$1001,,0)</f>
        <v>Ireland</v>
      </c>
      <c r="H290" t="str">
        <f>INDEX(products!$A$1:$G$49,MATCH(orders!$D290,products!$A$1:$A$49,0),MATCH(orders!H$1,products!$A$1:$G$1,0))</f>
        <v>Exc</v>
      </c>
      <c r="I290" t="str">
        <f>INDEX(products!$A$1:$G$49,MATCH(orders!$D290,products!$A$1:$A$49,0),MATCH(orders!I$1,products!$A$1:$G$1,0))</f>
        <v>M</v>
      </c>
      <c r="J290" s="5">
        <f>INDEX(products!$A$1:$G$49,MATCH(orders!$D290,products!$A$1:$A$49,0),MATCH(orders!J$1,products!$A$1:$G$1,0))</f>
        <v>0.5</v>
      </c>
      <c r="K290" s="6">
        <f>INDEX(products!$A$1:$G$49,MATCH(orders!$D290,products!$A$1:$A$49,0),MATCH(orders!K$1,products!$A$1:$G$1,0))</f>
        <v>8.25</v>
      </c>
      <c r="L290" s="6">
        <f>K290*E290</f>
        <v>8.25</v>
      </c>
      <c r="M290" t="str" cm="1">
        <f t="array" ref="M290">_xlfn.IFS(H290="Rob","Robusta",H290="Exc","Excelsa",H290="Ara","Arabica",H290="Lib","Liberica")</f>
        <v>Excelsa</v>
      </c>
      <c r="N290" t="str" cm="1">
        <f t="array" ref="N290">_xlfn.IFS(I290="M","Medium",I290="L","Light",I290="D","Dark")</f>
        <v>Medium</v>
      </c>
      <c r="O290" t="str">
        <f>_xlfn.XLOOKUP(Orders[[#This Row],[Customer ID]],customers!$A$2:$A$1001,customers!$I$2:$I$1001,,0)</f>
        <v>Yes</v>
      </c>
    </row>
    <row r="291" spans="1:15" x14ac:dyDescent="0.3">
      <c r="A291" s="2" t="s">
        <v>2123</v>
      </c>
      <c r="B291" s="3">
        <v>43772</v>
      </c>
      <c r="C291" s="2" t="s">
        <v>2124</v>
      </c>
      <c r="D291" t="s">
        <v>6163</v>
      </c>
      <c r="E291" s="2">
        <v>5</v>
      </c>
      <c r="F291" s="2" t="str">
        <f>_xlfn.XLOOKUP(C291,customers!$A$2:$A$1001,customers!$B$2:$B$1001,,0)</f>
        <v>Marris Grcic</v>
      </c>
      <c r="G291" s="2" t="str">
        <f>_xlfn.XLOOKUP(C291,customers!$A$2:$A$1001,customers!$G$2:$G$1001,,0)</f>
        <v>United States</v>
      </c>
      <c r="H291" t="str">
        <f>INDEX(products!$A$1:$G$49,MATCH(orders!$D291,products!$A$1:$A$49,0),MATCH(orders!H$1,products!$A$1:$G$1,0))</f>
        <v>Rob</v>
      </c>
      <c r="I291" t="str">
        <f>INDEX(products!$A$1:$G$49,MATCH(orders!$D291,products!$A$1:$A$49,0),MATCH(orders!I$1,products!$A$1:$G$1,0))</f>
        <v>D</v>
      </c>
      <c r="J291" s="5">
        <f>INDEX(products!$A$1:$G$49,MATCH(orders!$D291,products!$A$1:$A$49,0),MATCH(orders!J$1,products!$A$1:$G$1,0))</f>
        <v>0.2</v>
      </c>
      <c r="K291" s="6">
        <f>INDEX(products!$A$1:$G$49,MATCH(orders!$D291,products!$A$1:$A$49,0),MATCH(orders!K$1,products!$A$1:$G$1,0))</f>
        <v>2.6849999999999996</v>
      </c>
      <c r="L291" s="6">
        <f>K291*E291</f>
        <v>13.424999999999997</v>
      </c>
      <c r="M291" t="str" cm="1">
        <f t="array" ref="M291">_xlfn.IFS(H291="Rob","Robusta",H291="Exc","Excelsa",H291="Ara","Arabica",H291="Lib","Liberica")</f>
        <v>Robusta</v>
      </c>
      <c r="N291" t="str" cm="1">
        <f t="array" ref="N291">_xlfn.IFS(I291="M","Medium",I291="L","Light",I291="D","Dark")</f>
        <v>Dark</v>
      </c>
      <c r="O291" t="str">
        <f>_xlfn.XLOOKUP(Orders[[#This Row],[Customer ID]],customers!$A$2:$A$1001,customers!$I$2:$I$1001,,0)</f>
        <v>Yes</v>
      </c>
    </row>
    <row r="292" spans="1:15" x14ac:dyDescent="0.3">
      <c r="A292" s="2" t="s">
        <v>2127</v>
      </c>
      <c r="B292" s="3">
        <v>44497</v>
      </c>
      <c r="C292" s="2" t="s">
        <v>2128</v>
      </c>
      <c r="D292" t="s">
        <v>6147</v>
      </c>
      <c r="E292" s="2">
        <v>5</v>
      </c>
      <c r="F292" s="2" t="str">
        <f>_xlfn.XLOOKUP(C292,customers!$A$2:$A$1001,customers!$B$2:$B$1001,,0)</f>
        <v>Domeniga Duke</v>
      </c>
      <c r="G292" s="2" t="str">
        <f>_xlfn.XLOOKUP(C292,customers!$A$2:$A$1001,customers!$G$2:$G$1001,,0)</f>
        <v>United States</v>
      </c>
      <c r="H292" t="str">
        <f>INDEX(products!$A$1:$G$49,MATCH(orders!$D292,products!$A$1:$A$49,0),MATCH(orders!H$1,products!$A$1:$G$1,0))</f>
        <v>Ara</v>
      </c>
      <c r="I292" t="str">
        <f>INDEX(products!$A$1:$G$49,MATCH(orders!$D292,products!$A$1:$A$49,0),MATCH(orders!I$1,products!$A$1:$G$1,0))</f>
        <v>D</v>
      </c>
      <c r="J292" s="5">
        <f>INDEX(products!$A$1:$G$49,MATCH(orders!$D292,products!$A$1:$A$49,0),MATCH(orders!J$1,products!$A$1:$G$1,0))</f>
        <v>1</v>
      </c>
      <c r="K292" s="6">
        <f>INDEX(products!$A$1:$G$49,MATCH(orders!$D292,products!$A$1:$A$49,0),MATCH(orders!K$1,products!$A$1:$G$1,0))</f>
        <v>9.9499999999999993</v>
      </c>
      <c r="L292" s="6">
        <f>K292*E292</f>
        <v>49.75</v>
      </c>
      <c r="M292" t="str" cm="1">
        <f t="array" ref="M292">_xlfn.IFS(H292="Rob","Robusta",H292="Exc","Excelsa",H292="Ara","Arabica",H292="Lib","Liberica")</f>
        <v>Arabica</v>
      </c>
      <c r="N292" t="str" cm="1">
        <f t="array" ref="N292">_xlfn.IFS(I292="M","Medium",I292="L","Light",I292="D","Dark")</f>
        <v>Dark</v>
      </c>
      <c r="O292" t="str">
        <f>_xlfn.XLOOKUP(Orders[[#This Row],[Customer ID]],customers!$A$2:$A$1001,customers!$I$2:$I$1001,,0)</f>
        <v>No</v>
      </c>
    </row>
    <row r="293" spans="1:15" x14ac:dyDescent="0.3">
      <c r="A293" s="2" t="s">
        <v>2133</v>
      </c>
      <c r="B293" s="3">
        <v>44181</v>
      </c>
      <c r="C293" s="2" t="s">
        <v>2134</v>
      </c>
      <c r="D293" t="s">
        <v>6139</v>
      </c>
      <c r="E293" s="2">
        <v>2</v>
      </c>
      <c r="F293" s="2" t="str">
        <f>_xlfn.XLOOKUP(C293,customers!$A$2:$A$1001,customers!$B$2:$B$1001,,0)</f>
        <v>Violante Skouling</v>
      </c>
      <c r="G293" s="2" t="str">
        <f>_xlfn.XLOOKUP(C293,customers!$A$2:$A$1001,customers!$G$2:$G$1001,,0)</f>
        <v>Ireland</v>
      </c>
      <c r="H293" t="str">
        <f>INDEX(products!$A$1:$G$49,MATCH(orders!$D293,products!$A$1:$A$49,0),MATCH(orders!H$1,products!$A$1:$G$1,0))</f>
        <v>Exc</v>
      </c>
      <c r="I293" t="str">
        <f>INDEX(products!$A$1:$G$49,MATCH(orders!$D293,products!$A$1:$A$49,0),MATCH(orders!I$1,products!$A$1:$G$1,0))</f>
        <v>M</v>
      </c>
      <c r="J293" s="5">
        <f>INDEX(products!$A$1:$G$49,MATCH(orders!$D293,products!$A$1:$A$49,0),MATCH(orders!J$1,products!$A$1:$G$1,0))</f>
        <v>0.5</v>
      </c>
      <c r="K293" s="6">
        <f>INDEX(products!$A$1:$G$49,MATCH(orders!$D293,products!$A$1:$A$49,0),MATCH(orders!K$1,products!$A$1:$G$1,0))</f>
        <v>8.25</v>
      </c>
      <c r="L293" s="6">
        <f>K293*E293</f>
        <v>16.5</v>
      </c>
      <c r="M293" t="str" cm="1">
        <f t="array" ref="M293">_xlfn.IFS(H293="Rob","Robusta",H293="Exc","Excelsa",H293="Ara","Arabica",H293="Lib","Liberica")</f>
        <v>Excelsa</v>
      </c>
      <c r="N293" t="str" cm="1">
        <f t="array" ref="N293">_xlfn.IFS(I293="M","Medium",I293="L","Light",I293="D","Dark")</f>
        <v>Medium</v>
      </c>
      <c r="O293" t="str">
        <f>_xlfn.XLOOKUP(Orders[[#This Row],[Customer ID]],customers!$A$2:$A$1001,customers!$I$2:$I$1001,,0)</f>
        <v>No</v>
      </c>
    </row>
    <row r="294" spans="1:15" x14ac:dyDescent="0.3">
      <c r="A294" s="2" t="s">
        <v>2137</v>
      </c>
      <c r="B294" s="3">
        <v>44529</v>
      </c>
      <c r="C294" s="2" t="s">
        <v>2138</v>
      </c>
      <c r="D294" t="s">
        <v>6158</v>
      </c>
      <c r="E294" s="2">
        <v>3</v>
      </c>
      <c r="F294" s="2" t="str">
        <f>_xlfn.XLOOKUP(C294,customers!$A$2:$A$1001,customers!$B$2:$B$1001,,0)</f>
        <v>Isidore Hussey</v>
      </c>
      <c r="G294" s="2" t="str">
        <f>_xlfn.XLOOKUP(C294,customers!$A$2:$A$1001,customers!$G$2:$G$1001,,0)</f>
        <v>United States</v>
      </c>
      <c r="H294" t="str">
        <f>INDEX(products!$A$1:$G$49,MATCH(orders!$D294,products!$A$1:$A$49,0),MATCH(orders!H$1,products!$A$1:$G$1,0))</f>
        <v>Ara</v>
      </c>
      <c r="I294" t="str">
        <f>INDEX(products!$A$1:$G$49,MATCH(orders!$D294,products!$A$1:$A$49,0),MATCH(orders!I$1,products!$A$1:$G$1,0))</f>
        <v>D</v>
      </c>
      <c r="J294" s="5">
        <f>INDEX(products!$A$1:$G$49,MATCH(orders!$D294,products!$A$1:$A$49,0),MATCH(orders!J$1,products!$A$1:$G$1,0))</f>
        <v>0.5</v>
      </c>
      <c r="K294" s="6">
        <f>INDEX(products!$A$1:$G$49,MATCH(orders!$D294,products!$A$1:$A$49,0),MATCH(orders!K$1,products!$A$1:$G$1,0))</f>
        <v>5.97</v>
      </c>
      <c r="L294" s="6">
        <f>K294*E294</f>
        <v>17.91</v>
      </c>
      <c r="M294" t="str" cm="1">
        <f t="array" ref="M294">_xlfn.IFS(H294="Rob","Robusta",H294="Exc","Excelsa",H294="Ara","Arabica",H294="Lib","Liberica")</f>
        <v>Arabica</v>
      </c>
      <c r="N294" t="str" cm="1">
        <f t="array" ref="N294">_xlfn.IFS(I294="M","Medium",I294="L","Light",I294="D","Dark")</f>
        <v>Dark</v>
      </c>
      <c r="O294" t="str">
        <f>_xlfn.XLOOKUP(Orders[[#This Row],[Customer ID]],customers!$A$2:$A$1001,customers!$I$2:$I$1001,,0)</f>
        <v>No</v>
      </c>
    </row>
    <row r="295" spans="1:15" x14ac:dyDescent="0.3">
      <c r="A295" s="2" t="s">
        <v>2142</v>
      </c>
      <c r="B295" s="3">
        <v>44275</v>
      </c>
      <c r="C295" s="2" t="s">
        <v>2143</v>
      </c>
      <c r="D295" t="s">
        <v>6158</v>
      </c>
      <c r="E295" s="2">
        <v>5</v>
      </c>
      <c r="F295" s="2" t="str">
        <f>_xlfn.XLOOKUP(C295,customers!$A$2:$A$1001,customers!$B$2:$B$1001,,0)</f>
        <v>Cassie Pinkerton</v>
      </c>
      <c r="G295" s="2" t="str">
        <f>_xlfn.XLOOKUP(C295,customers!$A$2:$A$1001,customers!$G$2:$G$1001,,0)</f>
        <v>United States</v>
      </c>
      <c r="H295" t="str">
        <f>INDEX(products!$A$1:$G$49,MATCH(orders!$D295,products!$A$1:$A$49,0),MATCH(orders!H$1,products!$A$1:$G$1,0))</f>
        <v>Ara</v>
      </c>
      <c r="I295" t="str">
        <f>INDEX(products!$A$1:$G$49,MATCH(orders!$D295,products!$A$1:$A$49,0),MATCH(orders!I$1,products!$A$1:$G$1,0))</f>
        <v>D</v>
      </c>
      <c r="J295" s="5">
        <f>INDEX(products!$A$1:$G$49,MATCH(orders!$D295,products!$A$1:$A$49,0),MATCH(orders!J$1,products!$A$1:$G$1,0))</f>
        <v>0.5</v>
      </c>
      <c r="K295" s="6">
        <f>INDEX(products!$A$1:$G$49,MATCH(orders!$D295,products!$A$1:$A$49,0),MATCH(orders!K$1,products!$A$1:$G$1,0))</f>
        <v>5.97</v>
      </c>
      <c r="L295" s="6">
        <f>K295*E295</f>
        <v>29.849999999999998</v>
      </c>
      <c r="M295" t="str" cm="1">
        <f t="array" ref="M295">_xlfn.IFS(H295="Rob","Robusta",H295="Exc","Excelsa",H295="Ara","Arabica",H295="Lib","Liberica")</f>
        <v>Arabica</v>
      </c>
      <c r="N295" t="str" cm="1">
        <f t="array" ref="N295">_xlfn.IFS(I295="M","Medium",I295="L","Light",I295="D","Dark")</f>
        <v>Dark</v>
      </c>
      <c r="O295" t="str">
        <f>_xlfn.XLOOKUP(Orders[[#This Row],[Customer ID]],customers!$A$2:$A$1001,customers!$I$2:$I$1001,,0)</f>
        <v>No</v>
      </c>
    </row>
    <row r="296" spans="1:15" x14ac:dyDescent="0.3">
      <c r="A296" s="2" t="s">
        <v>2148</v>
      </c>
      <c r="B296" s="3">
        <v>44659</v>
      </c>
      <c r="C296" s="2" t="s">
        <v>2149</v>
      </c>
      <c r="D296" t="s">
        <v>6171</v>
      </c>
      <c r="E296" s="2">
        <v>3</v>
      </c>
      <c r="F296" s="2" t="str">
        <f>_xlfn.XLOOKUP(C296,customers!$A$2:$A$1001,customers!$B$2:$B$1001,,0)</f>
        <v>Micki Fero</v>
      </c>
      <c r="G296" s="2" t="str">
        <f>_xlfn.XLOOKUP(C296,customers!$A$2:$A$1001,customers!$G$2:$G$1001,,0)</f>
        <v>United States</v>
      </c>
      <c r="H296" t="str">
        <f>INDEX(products!$A$1:$G$49,MATCH(orders!$D296,products!$A$1:$A$49,0),MATCH(orders!H$1,products!$A$1:$G$1,0))</f>
        <v>Exc</v>
      </c>
      <c r="I296" t="str">
        <f>INDEX(products!$A$1:$G$49,MATCH(orders!$D296,products!$A$1:$A$49,0),MATCH(orders!I$1,products!$A$1:$G$1,0))</f>
        <v>L</v>
      </c>
      <c r="J296" s="5">
        <f>INDEX(products!$A$1:$G$49,MATCH(orders!$D296,products!$A$1:$A$49,0),MATCH(orders!J$1,products!$A$1:$G$1,0))</f>
        <v>1</v>
      </c>
      <c r="K296" s="6">
        <f>INDEX(products!$A$1:$G$49,MATCH(orders!$D296,products!$A$1:$A$49,0),MATCH(orders!K$1,products!$A$1:$G$1,0))</f>
        <v>14.85</v>
      </c>
      <c r="L296" s="6">
        <f>K296*E296</f>
        <v>44.55</v>
      </c>
      <c r="M296" t="str" cm="1">
        <f t="array" ref="M296">_xlfn.IFS(H296="Rob","Robusta",H296="Exc","Excelsa",H296="Ara","Arabica",H296="Lib","Liberica")</f>
        <v>Excelsa</v>
      </c>
      <c r="N296" t="str" cm="1">
        <f t="array" ref="N296">_xlfn.IFS(I296="M","Medium",I296="L","Light",I296="D","Dark")</f>
        <v>Light</v>
      </c>
      <c r="O296" t="str">
        <f>_xlfn.XLOOKUP(Orders[[#This Row],[Customer ID]],customers!$A$2:$A$1001,customers!$I$2:$I$1001,,0)</f>
        <v>No</v>
      </c>
    </row>
    <row r="297" spans="1:15" x14ac:dyDescent="0.3">
      <c r="A297" s="2" t="s">
        <v>2153</v>
      </c>
      <c r="B297" s="3">
        <v>44057</v>
      </c>
      <c r="C297" s="2" t="s">
        <v>2154</v>
      </c>
      <c r="D297" t="s">
        <v>6141</v>
      </c>
      <c r="E297" s="2">
        <v>2</v>
      </c>
      <c r="F297" s="2" t="str">
        <f>_xlfn.XLOOKUP(C297,customers!$A$2:$A$1001,customers!$B$2:$B$1001,,0)</f>
        <v>Cybill Graddell</v>
      </c>
      <c r="G297" s="2" t="str">
        <f>_xlfn.XLOOKUP(C297,customers!$A$2:$A$1001,customers!$G$2:$G$1001,,0)</f>
        <v>United States</v>
      </c>
      <c r="H297" t="str">
        <f>INDEX(products!$A$1:$G$49,MATCH(orders!$D297,products!$A$1:$A$49,0),MATCH(orders!H$1,products!$A$1:$G$1,0))</f>
        <v>Exc</v>
      </c>
      <c r="I297" t="str">
        <f>INDEX(products!$A$1:$G$49,MATCH(orders!$D297,products!$A$1:$A$49,0),MATCH(orders!I$1,products!$A$1:$G$1,0))</f>
        <v>M</v>
      </c>
      <c r="J297" s="5">
        <f>INDEX(products!$A$1:$G$49,MATCH(orders!$D297,products!$A$1:$A$49,0),MATCH(orders!J$1,products!$A$1:$G$1,0))</f>
        <v>1</v>
      </c>
      <c r="K297" s="6">
        <f>INDEX(products!$A$1:$G$49,MATCH(orders!$D297,products!$A$1:$A$49,0),MATCH(orders!K$1,products!$A$1:$G$1,0))</f>
        <v>13.75</v>
      </c>
      <c r="L297" s="6">
        <f>K297*E297</f>
        <v>27.5</v>
      </c>
      <c r="M297" t="str" cm="1">
        <f t="array" ref="M297">_xlfn.IFS(H297="Rob","Robusta",H297="Exc","Excelsa",H297="Ara","Arabica",H297="Lib","Liberica")</f>
        <v>Excelsa</v>
      </c>
      <c r="N297" t="str" cm="1">
        <f t="array" ref="N297">_xlfn.IFS(I297="M","Medium",I297="L","Light",I297="D","Dark")</f>
        <v>Medium</v>
      </c>
      <c r="O297" t="str">
        <f>_xlfn.XLOOKUP(Orders[[#This Row],[Customer ID]],customers!$A$2:$A$1001,customers!$I$2:$I$1001,,0)</f>
        <v>No</v>
      </c>
    </row>
    <row r="298" spans="1:15" x14ac:dyDescent="0.3">
      <c r="A298" s="2" t="s">
        <v>2157</v>
      </c>
      <c r="B298" s="3">
        <v>43597</v>
      </c>
      <c r="C298" s="2" t="s">
        <v>2158</v>
      </c>
      <c r="D298" t="s">
        <v>6146</v>
      </c>
      <c r="E298" s="2">
        <v>6</v>
      </c>
      <c r="F298" s="2" t="str">
        <f>_xlfn.XLOOKUP(C298,customers!$A$2:$A$1001,customers!$B$2:$B$1001,,0)</f>
        <v>Dorian Vizor</v>
      </c>
      <c r="G298" s="2" t="str">
        <f>_xlfn.XLOOKUP(C298,customers!$A$2:$A$1001,customers!$G$2:$G$1001,,0)</f>
        <v>United States</v>
      </c>
      <c r="H298" t="str">
        <f>INDEX(products!$A$1:$G$49,MATCH(orders!$D298,products!$A$1:$A$49,0),MATCH(orders!H$1,products!$A$1:$G$1,0))</f>
        <v>Rob</v>
      </c>
      <c r="I298" t="str">
        <f>INDEX(products!$A$1:$G$49,MATCH(orders!$D298,products!$A$1:$A$49,0),MATCH(orders!I$1,products!$A$1:$G$1,0))</f>
        <v>M</v>
      </c>
      <c r="J298" s="5">
        <f>INDEX(products!$A$1:$G$49,MATCH(orders!$D298,products!$A$1:$A$49,0),MATCH(orders!J$1,products!$A$1:$G$1,0))</f>
        <v>0.5</v>
      </c>
      <c r="K298" s="6">
        <f>INDEX(products!$A$1:$G$49,MATCH(orders!$D298,products!$A$1:$A$49,0),MATCH(orders!K$1,products!$A$1:$G$1,0))</f>
        <v>5.97</v>
      </c>
      <c r="L298" s="6">
        <f>K298*E298</f>
        <v>35.82</v>
      </c>
      <c r="M298" t="str" cm="1">
        <f t="array" ref="M298">_xlfn.IFS(H298="Rob","Robusta",H298="Exc","Excelsa",H298="Ara","Arabica",H298="Lib","Liberica")</f>
        <v>Robusta</v>
      </c>
      <c r="N298" t="str" cm="1">
        <f t="array" ref="N298">_xlfn.IFS(I298="M","Medium",I298="L","Light",I298="D","Dark")</f>
        <v>Medium</v>
      </c>
      <c r="O298" t="str">
        <f>_xlfn.XLOOKUP(Orders[[#This Row],[Customer ID]],customers!$A$2:$A$1001,customers!$I$2:$I$1001,,0)</f>
        <v>Yes</v>
      </c>
    </row>
    <row r="299" spans="1:15" x14ac:dyDescent="0.3">
      <c r="A299" s="2" t="s">
        <v>2163</v>
      </c>
      <c r="B299" s="3">
        <v>44258</v>
      </c>
      <c r="C299" s="2" t="s">
        <v>2164</v>
      </c>
      <c r="D299" t="s">
        <v>6172</v>
      </c>
      <c r="E299" s="2">
        <v>3</v>
      </c>
      <c r="F299" s="2" t="str">
        <f>_xlfn.XLOOKUP(C299,customers!$A$2:$A$1001,customers!$B$2:$B$1001,,0)</f>
        <v>Eddi Sedgebeer</v>
      </c>
      <c r="G299" s="2" t="str">
        <f>_xlfn.XLOOKUP(C299,customers!$A$2:$A$1001,customers!$G$2:$G$1001,,0)</f>
        <v>United States</v>
      </c>
      <c r="H299" t="str">
        <f>INDEX(products!$A$1:$G$49,MATCH(orders!$D299,products!$A$1:$A$49,0),MATCH(orders!H$1,products!$A$1:$G$1,0))</f>
        <v>Rob</v>
      </c>
      <c r="I299" t="str">
        <f>INDEX(products!$A$1:$G$49,MATCH(orders!$D299,products!$A$1:$A$49,0),MATCH(orders!I$1,products!$A$1:$G$1,0))</f>
        <v>D</v>
      </c>
      <c r="J299" s="5">
        <f>INDEX(products!$A$1:$G$49,MATCH(orders!$D299,products!$A$1:$A$49,0),MATCH(orders!J$1,products!$A$1:$G$1,0))</f>
        <v>0.5</v>
      </c>
      <c r="K299" s="6">
        <f>INDEX(products!$A$1:$G$49,MATCH(orders!$D299,products!$A$1:$A$49,0),MATCH(orders!K$1,products!$A$1:$G$1,0))</f>
        <v>5.3699999999999992</v>
      </c>
      <c r="L299" s="6">
        <f>K299*E299</f>
        <v>16.11</v>
      </c>
      <c r="M299" t="str" cm="1">
        <f t="array" ref="M299">_xlfn.IFS(H299="Rob","Robusta",H299="Exc","Excelsa",H299="Ara","Arabica",H299="Lib","Liberica")</f>
        <v>Robusta</v>
      </c>
      <c r="N299" t="str" cm="1">
        <f t="array" ref="N299">_xlfn.IFS(I299="M","Medium",I299="L","Light",I299="D","Dark")</f>
        <v>Dark</v>
      </c>
      <c r="O299" t="str">
        <f>_xlfn.XLOOKUP(Orders[[#This Row],[Customer ID]],customers!$A$2:$A$1001,customers!$I$2:$I$1001,,0)</f>
        <v>Yes</v>
      </c>
    </row>
    <row r="300" spans="1:15" x14ac:dyDescent="0.3">
      <c r="A300" s="2" t="s">
        <v>2169</v>
      </c>
      <c r="B300" s="3">
        <v>43872</v>
      </c>
      <c r="C300" s="2" t="s">
        <v>2170</v>
      </c>
      <c r="D300" t="s">
        <v>6184</v>
      </c>
      <c r="E300" s="2">
        <v>6</v>
      </c>
      <c r="F300" s="2" t="str">
        <f>_xlfn.XLOOKUP(C300,customers!$A$2:$A$1001,customers!$B$2:$B$1001,,0)</f>
        <v>Ken Lestrange</v>
      </c>
      <c r="G300" s="2" t="str">
        <f>_xlfn.XLOOKUP(C300,customers!$A$2:$A$1001,customers!$G$2:$G$1001,,0)</f>
        <v>United States</v>
      </c>
      <c r="H300" t="str">
        <f>INDEX(products!$A$1:$G$49,MATCH(orders!$D300,products!$A$1:$A$49,0),MATCH(orders!H$1,products!$A$1:$G$1,0))</f>
        <v>Exc</v>
      </c>
      <c r="I300" t="str">
        <f>INDEX(products!$A$1:$G$49,MATCH(orders!$D300,products!$A$1:$A$49,0),MATCH(orders!I$1,products!$A$1:$G$1,0))</f>
        <v>L</v>
      </c>
      <c r="J300" s="5">
        <f>INDEX(products!$A$1:$G$49,MATCH(orders!$D300,products!$A$1:$A$49,0),MATCH(orders!J$1,products!$A$1:$G$1,0))</f>
        <v>0.2</v>
      </c>
      <c r="K300" s="6">
        <f>INDEX(products!$A$1:$G$49,MATCH(orders!$D300,products!$A$1:$A$49,0),MATCH(orders!K$1,products!$A$1:$G$1,0))</f>
        <v>4.4550000000000001</v>
      </c>
      <c r="L300" s="6">
        <f>K300*E300</f>
        <v>26.73</v>
      </c>
      <c r="M300" t="str" cm="1">
        <f t="array" ref="M300">_xlfn.IFS(H300="Rob","Robusta",H300="Exc","Excelsa",H300="Ara","Arabica",H300="Lib","Liberica")</f>
        <v>Excelsa</v>
      </c>
      <c r="N300" t="str" cm="1">
        <f t="array" ref="N300">_xlfn.IFS(I300="M","Medium",I300="L","Light",I300="D","Dark")</f>
        <v>Light</v>
      </c>
      <c r="O300" t="str">
        <f>_xlfn.XLOOKUP(Orders[[#This Row],[Customer ID]],customers!$A$2:$A$1001,customers!$I$2:$I$1001,,0)</f>
        <v>Yes</v>
      </c>
    </row>
    <row r="301" spans="1:15" x14ac:dyDescent="0.3">
      <c r="A301" s="2" t="s">
        <v>2175</v>
      </c>
      <c r="B301" s="3">
        <v>43582</v>
      </c>
      <c r="C301" s="2" t="s">
        <v>2176</v>
      </c>
      <c r="D301" t="s">
        <v>6148</v>
      </c>
      <c r="E301" s="2">
        <v>6</v>
      </c>
      <c r="F301" s="2" t="str">
        <f>_xlfn.XLOOKUP(C301,customers!$A$2:$A$1001,customers!$B$2:$B$1001,,0)</f>
        <v>Lacee Tanti</v>
      </c>
      <c r="G301" s="2" t="str">
        <f>_xlfn.XLOOKUP(C301,customers!$A$2:$A$1001,customers!$G$2:$G$1001,,0)</f>
        <v>United States</v>
      </c>
      <c r="H301" t="str">
        <f>INDEX(products!$A$1:$G$49,MATCH(orders!$D301,products!$A$1:$A$49,0),MATCH(orders!H$1,products!$A$1:$G$1,0))</f>
        <v>Exc</v>
      </c>
      <c r="I301" t="str">
        <f>INDEX(products!$A$1:$G$49,MATCH(orders!$D301,products!$A$1:$A$49,0),MATCH(orders!I$1,products!$A$1:$G$1,0))</f>
        <v>L</v>
      </c>
      <c r="J301" s="5">
        <f>INDEX(products!$A$1:$G$49,MATCH(orders!$D301,products!$A$1:$A$49,0),MATCH(orders!J$1,products!$A$1:$G$1,0))</f>
        <v>2.5</v>
      </c>
      <c r="K301" s="6">
        <f>INDEX(products!$A$1:$G$49,MATCH(orders!$D301,products!$A$1:$A$49,0),MATCH(orders!K$1,products!$A$1:$G$1,0))</f>
        <v>34.154999999999994</v>
      </c>
      <c r="L301" s="6">
        <f>K301*E301</f>
        <v>204.92999999999995</v>
      </c>
      <c r="M301" t="str" cm="1">
        <f t="array" ref="M301">_xlfn.IFS(H301="Rob","Robusta",H301="Exc","Excelsa",H301="Ara","Arabica",H301="Lib","Liberica")</f>
        <v>Excelsa</v>
      </c>
      <c r="N301" t="str" cm="1">
        <f t="array" ref="N301">_xlfn.IFS(I301="M","Medium",I301="L","Light",I301="D","Dark")</f>
        <v>Light</v>
      </c>
      <c r="O301" t="str">
        <f>_xlfn.XLOOKUP(Orders[[#This Row],[Customer ID]],customers!$A$2:$A$1001,customers!$I$2:$I$1001,,0)</f>
        <v>Yes</v>
      </c>
    </row>
    <row r="302" spans="1:15" x14ac:dyDescent="0.3">
      <c r="A302" s="2" t="s">
        <v>2181</v>
      </c>
      <c r="B302" s="3">
        <v>44646</v>
      </c>
      <c r="C302" s="2" t="s">
        <v>2182</v>
      </c>
      <c r="D302" t="s">
        <v>6140</v>
      </c>
      <c r="E302" s="2">
        <v>3</v>
      </c>
      <c r="F302" s="2" t="str">
        <f>_xlfn.XLOOKUP(C302,customers!$A$2:$A$1001,customers!$B$2:$B$1001,,0)</f>
        <v>Arel De Lasci</v>
      </c>
      <c r="G302" s="2" t="str">
        <f>_xlfn.XLOOKUP(C302,customers!$A$2:$A$1001,customers!$G$2:$G$1001,,0)</f>
        <v>United States</v>
      </c>
      <c r="H302" t="str">
        <f>INDEX(products!$A$1:$G$49,MATCH(orders!$D302,products!$A$1:$A$49,0),MATCH(orders!H$1,products!$A$1:$G$1,0))</f>
        <v>Ara</v>
      </c>
      <c r="I302" t="str">
        <f>INDEX(products!$A$1:$G$49,MATCH(orders!$D302,products!$A$1:$A$49,0),MATCH(orders!I$1,products!$A$1:$G$1,0))</f>
        <v>L</v>
      </c>
      <c r="J302" s="5">
        <f>INDEX(products!$A$1:$G$49,MATCH(orders!$D302,products!$A$1:$A$49,0),MATCH(orders!J$1,products!$A$1:$G$1,0))</f>
        <v>1</v>
      </c>
      <c r="K302" s="6">
        <f>INDEX(products!$A$1:$G$49,MATCH(orders!$D302,products!$A$1:$A$49,0),MATCH(orders!K$1,products!$A$1:$G$1,0))</f>
        <v>12.95</v>
      </c>
      <c r="L302" s="6">
        <f>K302*E302</f>
        <v>38.849999999999994</v>
      </c>
      <c r="M302" t="str" cm="1">
        <f t="array" ref="M302">_xlfn.IFS(H302="Rob","Robusta",H302="Exc","Excelsa",H302="Ara","Arabica",H302="Lib","Liberica")</f>
        <v>Arabica</v>
      </c>
      <c r="N302" t="str" cm="1">
        <f t="array" ref="N302">_xlfn.IFS(I302="M","Medium",I302="L","Light",I302="D","Dark")</f>
        <v>Light</v>
      </c>
      <c r="O302" t="str">
        <f>_xlfn.XLOOKUP(Orders[[#This Row],[Customer ID]],customers!$A$2:$A$1001,customers!$I$2:$I$1001,,0)</f>
        <v>Yes</v>
      </c>
    </row>
    <row r="303" spans="1:15" x14ac:dyDescent="0.3">
      <c r="A303" s="2" t="s">
        <v>2187</v>
      </c>
      <c r="B303" s="3">
        <v>44102</v>
      </c>
      <c r="C303" s="2" t="s">
        <v>2188</v>
      </c>
      <c r="D303" t="s">
        <v>6150</v>
      </c>
      <c r="E303" s="2">
        <v>4</v>
      </c>
      <c r="F303" s="2" t="str">
        <f>_xlfn.XLOOKUP(C303,customers!$A$2:$A$1001,customers!$B$2:$B$1001,,0)</f>
        <v>Trescha Jedrachowicz</v>
      </c>
      <c r="G303" s="2" t="str">
        <f>_xlfn.XLOOKUP(C303,customers!$A$2:$A$1001,customers!$G$2:$G$1001,,0)</f>
        <v>United States</v>
      </c>
      <c r="H303" t="str">
        <f>INDEX(products!$A$1:$G$49,MATCH(orders!$D303,products!$A$1:$A$49,0),MATCH(orders!H$1,products!$A$1:$G$1,0))</f>
        <v>Lib</v>
      </c>
      <c r="I303" t="str">
        <f>INDEX(products!$A$1:$G$49,MATCH(orders!$D303,products!$A$1:$A$49,0),MATCH(orders!I$1,products!$A$1:$G$1,0))</f>
        <v>D</v>
      </c>
      <c r="J303" s="5">
        <f>INDEX(products!$A$1:$G$49,MATCH(orders!$D303,products!$A$1:$A$49,0),MATCH(orders!J$1,products!$A$1:$G$1,0))</f>
        <v>0.2</v>
      </c>
      <c r="K303" s="6">
        <f>INDEX(products!$A$1:$G$49,MATCH(orders!$D303,products!$A$1:$A$49,0),MATCH(orders!K$1,products!$A$1:$G$1,0))</f>
        <v>3.8849999999999998</v>
      </c>
      <c r="L303" s="6">
        <f>K303*E303</f>
        <v>15.54</v>
      </c>
      <c r="M303" t="str" cm="1">
        <f t="array" ref="M303">_xlfn.IFS(H303="Rob","Robusta",H303="Exc","Excelsa",H303="Ara","Arabica",H303="Lib","Liberica")</f>
        <v>Liberica</v>
      </c>
      <c r="N303" t="str" cm="1">
        <f t="array" ref="N303">_xlfn.IFS(I303="M","Medium",I303="L","Light",I303="D","Dark")</f>
        <v>Dark</v>
      </c>
      <c r="O303" t="str">
        <f>_xlfn.XLOOKUP(Orders[[#This Row],[Customer ID]],customers!$A$2:$A$1001,customers!$I$2:$I$1001,,0)</f>
        <v>Yes</v>
      </c>
    </row>
    <row r="304" spans="1:15" x14ac:dyDescent="0.3">
      <c r="A304" s="2" t="s">
        <v>2193</v>
      </c>
      <c r="B304" s="3">
        <v>43762</v>
      </c>
      <c r="C304" s="2" t="s">
        <v>2194</v>
      </c>
      <c r="D304" t="s">
        <v>6157</v>
      </c>
      <c r="E304" s="2">
        <v>1</v>
      </c>
      <c r="F304" s="2" t="str">
        <f>_xlfn.XLOOKUP(C304,customers!$A$2:$A$1001,customers!$B$2:$B$1001,,0)</f>
        <v>Perkin Stonner</v>
      </c>
      <c r="G304" s="2" t="str">
        <f>_xlfn.XLOOKUP(C304,customers!$A$2:$A$1001,customers!$G$2:$G$1001,,0)</f>
        <v>United States</v>
      </c>
      <c r="H304" t="str">
        <f>INDEX(products!$A$1:$G$49,MATCH(orders!$D304,products!$A$1:$A$49,0),MATCH(orders!H$1,products!$A$1:$G$1,0))</f>
        <v>Ara</v>
      </c>
      <c r="I304" t="str">
        <f>INDEX(products!$A$1:$G$49,MATCH(orders!$D304,products!$A$1:$A$49,0),MATCH(orders!I$1,products!$A$1:$G$1,0))</f>
        <v>M</v>
      </c>
      <c r="J304" s="5">
        <f>INDEX(products!$A$1:$G$49,MATCH(orders!$D304,products!$A$1:$A$49,0),MATCH(orders!J$1,products!$A$1:$G$1,0))</f>
        <v>0.5</v>
      </c>
      <c r="K304" s="6">
        <f>INDEX(products!$A$1:$G$49,MATCH(orders!$D304,products!$A$1:$A$49,0),MATCH(orders!K$1,products!$A$1:$G$1,0))</f>
        <v>6.75</v>
      </c>
      <c r="L304" s="6">
        <f>K304*E304</f>
        <v>6.75</v>
      </c>
      <c r="M304" t="str" cm="1">
        <f t="array" ref="M304">_xlfn.IFS(H304="Rob","Robusta",H304="Exc","Excelsa",H304="Ara","Arabica",H304="Lib","Liberica")</f>
        <v>Arabica</v>
      </c>
      <c r="N304" t="str" cm="1">
        <f t="array" ref="N304">_xlfn.IFS(I304="M","Medium",I304="L","Light",I304="D","Dark")</f>
        <v>Medium</v>
      </c>
      <c r="O304" t="str">
        <f>_xlfn.XLOOKUP(Orders[[#This Row],[Customer ID]],customers!$A$2:$A$1001,customers!$I$2:$I$1001,,0)</f>
        <v>No</v>
      </c>
    </row>
    <row r="305" spans="1:15" x14ac:dyDescent="0.3">
      <c r="A305" s="2" t="s">
        <v>2199</v>
      </c>
      <c r="B305" s="3">
        <v>44412</v>
      </c>
      <c r="C305" s="2" t="s">
        <v>2200</v>
      </c>
      <c r="D305" t="s">
        <v>6185</v>
      </c>
      <c r="E305" s="2">
        <v>4</v>
      </c>
      <c r="F305" s="2" t="str">
        <f>_xlfn.XLOOKUP(C305,customers!$A$2:$A$1001,customers!$B$2:$B$1001,,0)</f>
        <v>Darrin Tingly</v>
      </c>
      <c r="G305" s="2" t="str">
        <f>_xlfn.XLOOKUP(C305,customers!$A$2:$A$1001,customers!$G$2:$G$1001,,0)</f>
        <v>United States</v>
      </c>
      <c r="H305" t="str">
        <f>INDEX(products!$A$1:$G$49,MATCH(orders!$D305,products!$A$1:$A$49,0),MATCH(orders!H$1,products!$A$1:$G$1,0))</f>
        <v>Exc</v>
      </c>
      <c r="I305" t="str">
        <f>INDEX(products!$A$1:$G$49,MATCH(orders!$D305,products!$A$1:$A$49,0),MATCH(orders!I$1,products!$A$1:$G$1,0))</f>
        <v>D</v>
      </c>
      <c r="J305" s="5">
        <f>INDEX(products!$A$1:$G$49,MATCH(orders!$D305,products!$A$1:$A$49,0),MATCH(orders!J$1,products!$A$1:$G$1,0))</f>
        <v>2.5</v>
      </c>
      <c r="K305" s="6">
        <f>INDEX(products!$A$1:$G$49,MATCH(orders!$D305,products!$A$1:$A$49,0),MATCH(orders!K$1,products!$A$1:$G$1,0))</f>
        <v>27.945</v>
      </c>
      <c r="L305" s="6">
        <f>K305*E305</f>
        <v>111.78</v>
      </c>
      <c r="M305" t="str" cm="1">
        <f t="array" ref="M305">_xlfn.IFS(H305="Rob","Robusta",H305="Exc","Excelsa",H305="Ara","Arabica",H305="Lib","Liberica")</f>
        <v>Excelsa</v>
      </c>
      <c r="N305" t="str" cm="1">
        <f t="array" ref="N305">_xlfn.IFS(I305="M","Medium",I305="L","Light",I305="D","Dark")</f>
        <v>Dark</v>
      </c>
      <c r="O305" t="str">
        <f>_xlfn.XLOOKUP(Orders[[#This Row],[Customer ID]],customers!$A$2:$A$1001,customers!$I$2:$I$1001,,0)</f>
        <v>Yes</v>
      </c>
    </row>
    <row r="306" spans="1:15" x14ac:dyDescent="0.3">
      <c r="A306" s="2" t="s">
        <v>2204</v>
      </c>
      <c r="B306" s="3">
        <v>43828</v>
      </c>
      <c r="C306" s="2" t="s">
        <v>2245</v>
      </c>
      <c r="D306" t="s">
        <v>6167</v>
      </c>
      <c r="E306" s="2">
        <v>1</v>
      </c>
      <c r="F306" s="2" t="str">
        <f>_xlfn.XLOOKUP(C306,customers!$A$2:$A$1001,customers!$B$2:$B$1001,,0)</f>
        <v>Claudetta Rushe</v>
      </c>
      <c r="G306" s="2" t="str">
        <f>_xlfn.XLOOKUP(C306,customers!$A$2:$A$1001,customers!$G$2:$G$1001,,0)</f>
        <v>United States</v>
      </c>
      <c r="H306" t="str">
        <f>INDEX(products!$A$1:$G$49,MATCH(orders!$D306,products!$A$1:$A$49,0),MATCH(orders!H$1,products!$A$1:$G$1,0))</f>
        <v>Ara</v>
      </c>
      <c r="I306" t="str">
        <f>INDEX(products!$A$1:$G$49,MATCH(orders!$D306,products!$A$1:$A$49,0),MATCH(orders!I$1,products!$A$1:$G$1,0))</f>
        <v>L</v>
      </c>
      <c r="J306" s="5">
        <f>INDEX(products!$A$1:$G$49,MATCH(orders!$D306,products!$A$1:$A$49,0),MATCH(orders!J$1,products!$A$1:$G$1,0))</f>
        <v>0.2</v>
      </c>
      <c r="K306" s="6">
        <f>INDEX(products!$A$1:$G$49,MATCH(orders!$D306,products!$A$1:$A$49,0),MATCH(orders!K$1,products!$A$1:$G$1,0))</f>
        <v>3.8849999999999998</v>
      </c>
      <c r="L306" s="6">
        <f>K306*E306</f>
        <v>3.8849999999999998</v>
      </c>
      <c r="M306" t="str" cm="1">
        <f t="array" ref="M306">_xlfn.IFS(H306="Rob","Robusta",H306="Exc","Excelsa",H306="Ara","Arabica",H306="Lib","Liberica")</f>
        <v>Arabica</v>
      </c>
      <c r="N306" t="str" cm="1">
        <f t="array" ref="N306">_xlfn.IFS(I306="M","Medium",I306="L","Light",I306="D","Dark")</f>
        <v>Light</v>
      </c>
      <c r="O306" t="str">
        <f>_xlfn.XLOOKUP(Orders[[#This Row],[Customer ID]],customers!$A$2:$A$1001,customers!$I$2:$I$1001,,0)</f>
        <v>Yes</v>
      </c>
    </row>
    <row r="307" spans="1:15" x14ac:dyDescent="0.3">
      <c r="A307" s="2" t="s">
        <v>2209</v>
      </c>
      <c r="B307" s="3">
        <v>43796</v>
      </c>
      <c r="C307" s="2" t="s">
        <v>2210</v>
      </c>
      <c r="D307" t="s">
        <v>6159</v>
      </c>
      <c r="E307" s="2">
        <v>5</v>
      </c>
      <c r="F307" s="2" t="str">
        <f>_xlfn.XLOOKUP(C307,customers!$A$2:$A$1001,customers!$B$2:$B$1001,,0)</f>
        <v>Benn Checci</v>
      </c>
      <c r="G307" s="2" t="str">
        <f>_xlfn.XLOOKUP(C307,customers!$A$2:$A$1001,customers!$G$2:$G$1001,,0)</f>
        <v>United Kingdom</v>
      </c>
      <c r="H307" t="str">
        <f>INDEX(products!$A$1:$G$49,MATCH(orders!$D307,products!$A$1:$A$49,0),MATCH(orders!H$1,products!$A$1:$G$1,0))</f>
        <v>Lib</v>
      </c>
      <c r="I307" t="str">
        <f>INDEX(products!$A$1:$G$49,MATCH(orders!$D307,products!$A$1:$A$49,0),MATCH(orders!I$1,products!$A$1:$G$1,0))</f>
        <v>M</v>
      </c>
      <c r="J307" s="5">
        <f>INDEX(products!$A$1:$G$49,MATCH(orders!$D307,products!$A$1:$A$49,0),MATCH(orders!J$1,products!$A$1:$G$1,0))</f>
        <v>0.2</v>
      </c>
      <c r="K307" s="6">
        <f>INDEX(products!$A$1:$G$49,MATCH(orders!$D307,products!$A$1:$A$49,0),MATCH(orders!K$1,products!$A$1:$G$1,0))</f>
        <v>4.3650000000000002</v>
      </c>
      <c r="L307" s="6">
        <f>K307*E307</f>
        <v>21.825000000000003</v>
      </c>
      <c r="M307" t="str" cm="1">
        <f t="array" ref="M307">_xlfn.IFS(H307="Rob","Robusta",H307="Exc","Excelsa",H307="Ara","Arabica",H307="Lib","Liberica")</f>
        <v>Liberica</v>
      </c>
      <c r="N307" t="str" cm="1">
        <f t="array" ref="N307">_xlfn.IFS(I307="M","Medium",I307="L","Light",I307="D","Dark")</f>
        <v>Medium</v>
      </c>
      <c r="O307" t="str">
        <f>_xlfn.XLOOKUP(Orders[[#This Row],[Customer ID]],customers!$A$2:$A$1001,customers!$I$2:$I$1001,,0)</f>
        <v>No</v>
      </c>
    </row>
    <row r="308" spans="1:15" x14ac:dyDescent="0.3">
      <c r="A308" s="2" t="s">
        <v>2215</v>
      </c>
      <c r="B308" s="3">
        <v>43890</v>
      </c>
      <c r="C308" s="2" t="s">
        <v>2216</v>
      </c>
      <c r="D308" t="s">
        <v>6174</v>
      </c>
      <c r="E308" s="2">
        <v>5</v>
      </c>
      <c r="F308" s="2" t="str">
        <f>_xlfn.XLOOKUP(C308,customers!$A$2:$A$1001,customers!$B$2:$B$1001,,0)</f>
        <v>Janifer Bagot</v>
      </c>
      <c r="G308" s="2" t="str">
        <f>_xlfn.XLOOKUP(C308,customers!$A$2:$A$1001,customers!$G$2:$G$1001,,0)</f>
        <v>United States</v>
      </c>
      <c r="H308" t="str">
        <f>INDEX(products!$A$1:$G$49,MATCH(orders!$D308,products!$A$1:$A$49,0),MATCH(orders!H$1,products!$A$1:$G$1,0))</f>
        <v>Rob</v>
      </c>
      <c r="I308" t="str">
        <f>INDEX(products!$A$1:$G$49,MATCH(orders!$D308,products!$A$1:$A$49,0),MATCH(orders!I$1,products!$A$1:$G$1,0))</f>
        <v>M</v>
      </c>
      <c r="J308" s="5">
        <f>INDEX(products!$A$1:$G$49,MATCH(orders!$D308,products!$A$1:$A$49,0),MATCH(orders!J$1,products!$A$1:$G$1,0))</f>
        <v>0.2</v>
      </c>
      <c r="K308" s="6">
        <f>INDEX(products!$A$1:$G$49,MATCH(orders!$D308,products!$A$1:$A$49,0),MATCH(orders!K$1,products!$A$1:$G$1,0))</f>
        <v>2.9849999999999999</v>
      </c>
      <c r="L308" s="6">
        <f>K308*E308</f>
        <v>14.924999999999999</v>
      </c>
      <c r="M308" t="str" cm="1">
        <f t="array" ref="M308">_xlfn.IFS(H308="Rob","Robusta",H308="Exc","Excelsa",H308="Ara","Arabica",H308="Lib","Liberica")</f>
        <v>Robusta</v>
      </c>
      <c r="N308" t="str" cm="1">
        <f t="array" ref="N308">_xlfn.IFS(I308="M","Medium",I308="L","Light",I308="D","Dark")</f>
        <v>Medium</v>
      </c>
      <c r="O308" t="str">
        <f>_xlfn.XLOOKUP(Orders[[#This Row],[Customer ID]],customers!$A$2:$A$1001,customers!$I$2:$I$1001,,0)</f>
        <v>No</v>
      </c>
    </row>
    <row r="309" spans="1:15" x14ac:dyDescent="0.3">
      <c r="A309" s="2" t="s">
        <v>2221</v>
      </c>
      <c r="B309" s="3">
        <v>44227</v>
      </c>
      <c r="C309" s="2" t="s">
        <v>2222</v>
      </c>
      <c r="D309" t="s">
        <v>6155</v>
      </c>
      <c r="E309" s="2">
        <v>3</v>
      </c>
      <c r="F309" s="2" t="str">
        <f>_xlfn.XLOOKUP(C309,customers!$A$2:$A$1001,customers!$B$2:$B$1001,,0)</f>
        <v>Ermin Beeble</v>
      </c>
      <c r="G309" s="2" t="str">
        <f>_xlfn.XLOOKUP(C309,customers!$A$2:$A$1001,customers!$G$2:$G$1001,,0)</f>
        <v>United States</v>
      </c>
      <c r="H309" t="str">
        <f>INDEX(products!$A$1:$G$49,MATCH(orders!$D309,products!$A$1:$A$49,0),MATCH(orders!H$1,products!$A$1:$G$1,0))</f>
        <v>Ara</v>
      </c>
      <c r="I309" t="str">
        <f>INDEX(products!$A$1:$G$49,MATCH(orders!$D309,products!$A$1:$A$49,0),MATCH(orders!I$1,products!$A$1:$G$1,0))</f>
        <v>M</v>
      </c>
      <c r="J309" s="5">
        <f>INDEX(products!$A$1:$G$49,MATCH(orders!$D309,products!$A$1:$A$49,0),MATCH(orders!J$1,products!$A$1:$G$1,0))</f>
        <v>1</v>
      </c>
      <c r="K309" s="6">
        <f>INDEX(products!$A$1:$G$49,MATCH(orders!$D309,products!$A$1:$A$49,0),MATCH(orders!K$1,products!$A$1:$G$1,0))</f>
        <v>11.25</v>
      </c>
      <c r="L309" s="6">
        <f>K309*E309</f>
        <v>33.75</v>
      </c>
      <c r="M309" t="str" cm="1">
        <f t="array" ref="M309">_xlfn.IFS(H309="Rob","Robusta",H309="Exc","Excelsa",H309="Ara","Arabica",H309="Lib","Liberica")</f>
        <v>Arabica</v>
      </c>
      <c r="N309" t="str" cm="1">
        <f t="array" ref="N309">_xlfn.IFS(I309="M","Medium",I309="L","Light",I309="D","Dark")</f>
        <v>Medium</v>
      </c>
      <c r="O309" t="str">
        <f>_xlfn.XLOOKUP(Orders[[#This Row],[Customer ID]],customers!$A$2:$A$1001,customers!$I$2:$I$1001,,0)</f>
        <v>Yes</v>
      </c>
    </row>
    <row r="310" spans="1:15" x14ac:dyDescent="0.3">
      <c r="A310" s="2" t="s">
        <v>2227</v>
      </c>
      <c r="B310" s="3">
        <v>44729</v>
      </c>
      <c r="C310" s="2" t="s">
        <v>2228</v>
      </c>
      <c r="D310" t="s">
        <v>6155</v>
      </c>
      <c r="E310" s="2">
        <v>3</v>
      </c>
      <c r="F310" s="2" t="str">
        <f>_xlfn.XLOOKUP(C310,customers!$A$2:$A$1001,customers!$B$2:$B$1001,,0)</f>
        <v>Cos Fluin</v>
      </c>
      <c r="G310" s="2" t="str">
        <f>_xlfn.XLOOKUP(C310,customers!$A$2:$A$1001,customers!$G$2:$G$1001,,0)</f>
        <v>United Kingdom</v>
      </c>
      <c r="H310" t="str">
        <f>INDEX(products!$A$1:$G$49,MATCH(orders!$D310,products!$A$1:$A$49,0),MATCH(orders!H$1,products!$A$1:$G$1,0))</f>
        <v>Ara</v>
      </c>
      <c r="I310" t="str">
        <f>INDEX(products!$A$1:$G$49,MATCH(orders!$D310,products!$A$1:$A$49,0),MATCH(orders!I$1,products!$A$1:$G$1,0))</f>
        <v>M</v>
      </c>
      <c r="J310" s="5">
        <f>INDEX(products!$A$1:$G$49,MATCH(orders!$D310,products!$A$1:$A$49,0),MATCH(orders!J$1,products!$A$1:$G$1,0))</f>
        <v>1</v>
      </c>
      <c r="K310" s="6">
        <f>INDEX(products!$A$1:$G$49,MATCH(orders!$D310,products!$A$1:$A$49,0),MATCH(orders!K$1,products!$A$1:$G$1,0))</f>
        <v>11.25</v>
      </c>
      <c r="L310" s="6">
        <f>K310*E310</f>
        <v>33.75</v>
      </c>
      <c r="M310" t="str" cm="1">
        <f t="array" ref="M310">_xlfn.IFS(H310="Rob","Robusta",H310="Exc","Excelsa",H310="Ara","Arabica",H310="Lib","Liberica")</f>
        <v>Arabica</v>
      </c>
      <c r="N310" t="str" cm="1">
        <f t="array" ref="N310">_xlfn.IFS(I310="M","Medium",I310="L","Light",I310="D","Dark")</f>
        <v>Medium</v>
      </c>
      <c r="O310" t="str">
        <f>_xlfn.XLOOKUP(Orders[[#This Row],[Customer ID]],customers!$A$2:$A$1001,customers!$I$2:$I$1001,,0)</f>
        <v>No</v>
      </c>
    </row>
    <row r="311" spans="1:15" x14ac:dyDescent="0.3">
      <c r="A311" s="2" t="s">
        <v>2232</v>
      </c>
      <c r="B311" s="3">
        <v>43864</v>
      </c>
      <c r="C311" s="2" t="s">
        <v>2233</v>
      </c>
      <c r="D311" t="s">
        <v>6159</v>
      </c>
      <c r="E311" s="2">
        <v>6</v>
      </c>
      <c r="F311" s="2" t="str">
        <f>_xlfn.XLOOKUP(C311,customers!$A$2:$A$1001,customers!$B$2:$B$1001,,0)</f>
        <v>Eveleen Bletsor</v>
      </c>
      <c r="G311" s="2" t="str">
        <f>_xlfn.XLOOKUP(C311,customers!$A$2:$A$1001,customers!$G$2:$G$1001,,0)</f>
        <v>United States</v>
      </c>
      <c r="H311" t="str">
        <f>INDEX(products!$A$1:$G$49,MATCH(orders!$D311,products!$A$1:$A$49,0),MATCH(orders!H$1,products!$A$1:$G$1,0))</f>
        <v>Lib</v>
      </c>
      <c r="I311" t="str">
        <f>INDEX(products!$A$1:$G$49,MATCH(orders!$D311,products!$A$1:$A$49,0),MATCH(orders!I$1,products!$A$1:$G$1,0))</f>
        <v>M</v>
      </c>
      <c r="J311" s="5">
        <f>INDEX(products!$A$1:$G$49,MATCH(orders!$D311,products!$A$1:$A$49,0),MATCH(orders!J$1,products!$A$1:$G$1,0))</f>
        <v>0.2</v>
      </c>
      <c r="K311" s="6">
        <f>INDEX(products!$A$1:$G$49,MATCH(orders!$D311,products!$A$1:$A$49,0),MATCH(orders!K$1,products!$A$1:$G$1,0))</f>
        <v>4.3650000000000002</v>
      </c>
      <c r="L311" s="6">
        <f>K311*E311</f>
        <v>26.19</v>
      </c>
      <c r="M311" t="str" cm="1">
        <f t="array" ref="M311">_xlfn.IFS(H311="Rob","Robusta",H311="Exc","Excelsa",H311="Ara","Arabica",H311="Lib","Liberica")</f>
        <v>Liberica</v>
      </c>
      <c r="N311" t="str" cm="1">
        <f t="array" ref="N311">_xlfn.IFS(I311="M","Medium",I311="L","Light",I311="D","Dark")</f>
        <v>Medium</v>
      </c>
      <c r="O311" t="str">
        <f>_xlfn.XLOOKUP(Orders[[#This Row],[Customer ID]],customers!$A$2:$A$1001,customers!$I$2:$I$1001,,0)</f>
        <v>Yes</v>
      </c>
    </row>
    <row r="312" spans="1:15" x14ac:dyDescent="0.3">
      <c r="A312" s="2" t="s">
        <v>2238</v>
      </c>
      <c r="B312" s="3">
        <v>44586</v>
      </c>
      <c r="C312" s="2" t="s">
        <v>2239</v>
      </c>
      <c r="D312" t="s">
        <v>6171</v>
      </c>
      <c r="E312" s="2">
        <v>1</v>
      </c>
      <c r="F312" s="2" t="str">
        <f>_xlfn.XLOOKUP(C312,customers!$A$2:$A$1001,customers!$B$2:$B$1001,,0)</f>
        <v>Paola Brydell</v>
      </c>
      <c r="G312" s="2" t="str">
        <f>_xlfn.XLOOKUP(C312,customers!$A$2:$A$1001,customers!$G$2:$G$1001,,0)</f>
        <v>Ireland</v>
      </c>
      <c r="H312" t="str">
        <f>INDEX(products!$A$1:$G$49,MATCH(orders!$D312,products!$A$1:$A$49,0),MATCH(orders!H$1,products!$A$1:$G$1,0))</f>
        <v>Exc</v>
      </c>
      <c r="I312" t="str">
        <f>INDEX(products!$A$1:$G$49,MATCH(orders!$D312,products!$A$1:$A$49,0),MATCH(orders!I$1,products!$A$1:$G$1,0))</f>
        <v>L</v>
      </c>
      <c r="J312" s="5">
        <f>INDEX(products!$A$1:$G$49,MATCH(orders!$D312,products!$A$1:$A$49,0),MATCH(orders!J$1,products!$A$1:$G$1,0))</f>
        <v>1</v>
      </c>
      <c r="K312" s="6">
        <f>INDEX(products!$A$1:$G$49,MATCH(orders!$D312,products!$A$1:$A$49,0),MATCH(orders!K$1,products!$A$1:$G$1,0))</f>
        <v>14.85</v>
      </c>
      <c r="L312" s="6">
        <f>K312*E312</f>
        <v>14.85</v>
      </c>
      <c r="M312" t="str" cm="1">
        <f t="array" ref="M312">_xlfn.IFS(H312="Rob","Robusta",H312="Exc","Excelsa",H312="Ara","Arabica",H312="Lib","Liberica")</f>
        <v>Excelsa</v>
      </c>
      <c r="N312" t="str" cm="1">
        <f t="array" ref="N312">_xlfn.IFS(I312="M","Medium",I312="L","Light",I312="D","Dark")</f>
        <v>Light</v>
      </c>
      <c r="O312" t="str">
        <f>_xlfn.XLOOKUP(Orders[[#This Row],[Customer ID]],customers!$A$2:$A$1001,customers!$I$2:$I$1001,,0)</f>
        <v>No</v>
      </c>
    </row>
    <row r="313" spans="1:15" x14ac:dyDescent="0.3">
      <c r="A313" s="2" t="s">
        <v>2244</v>
      </c>
      <c r="B313" s="3">
        <v>43951</v>
      </c>
      <c r="C313" s="2" t="s">
        <v>2245</v>
      </c>
      <c r="D313" t="s">
        <v>6166</v>
      </c>
      <c r="E313" s="2">
        <v>6</v>
      </c>
      <c r="F313" s="2" t="str">
        <f>_xlfn.XLOOKUP(C313,customers!$A$2:$A$1001,customers!$B$2:$B$1001,,0)</f>
        <v>Claudetta Rushe</v>
      </c>
      <c r="G313" s="2" t="str">
        <f>_xlfn.XLOOKUP(C313,customers!$A$2:$A$1001,customers!$G$2:$G$1001,,0)</f>
        <v>United States</v>
      </c>
      <c r="H313" t="str">
        <f>INDEX(products!$A$1:$G$49,MATCH(orders!$D313,products!$A$1:$A$49,0),MATCH(orders!H$1,products!$A$1:$G$1,0))</f>
        <v>Exc</v>
      </c>
      <c r="I313" t="str">
        <f>INDEX(products!$A$1:$G$49,MATCH(orders!$D313,products!$A$1:$A$49,0),MATCH(orders!I$1,products!$A$1:$G$1,0))</f>
        <v>M</v>
      </c>
      <c r="J313" s="5">
        <f>INDEX(products!$A$1:$G$49,MATCH(orders!$D313,products!$A$1:$A$49,0),MATCH(orders!J$1,products!$A$1:$G$1,0))</f>
        <v>2.5</v>
      </c>
      <c r="K313" s="6">
        <f>INDEX(products!$A$1:$G$49,MATCH(orders!$D313,products!$A$1:$A$49,0),MATCH(orders!K$1,products!$A$1:$G$1,0))</f>
        <v>31.624999999999996</v>
      </c>
      <c r="L313" s="6">
        <f>K313*E313</f>
        <v>189.74999999999997</v>
      </c>
      <c r="M313" t="str" cm="1">
        <f t="array" ref="M313">_xlfn.IFS(H313="Rob","Robusta",H313="Exc","Excelsa",H313="Ara","Arabica",H313="Lib","Liberica")</f>
        <v>Excelsa</v>
      </c>
      <c r="N313" t="str" cm="1">
        <f t="array" ref="N313">_xlfn.IFS(I313="M","Medium",I313="L","Light",I313="D","Dark")</f>
        <v>Medium</v>
      </c>
      <c r="O313" t="str">
        <f>_xlfn.XLOOKUP(Orders[[#This Row],[Customer ID]],customers!$A$2:$A$1001,customers!$I$2:$I$1001,,0)</f>
        <v>Yes</v>
      </c>
    </row>
    <row r="314" spans="1:15" x14ac:dyDescent="0.3">
      <c r="A314" s="2" t="s">
        <v>2250</v>
      </c>
      <c r="B314" s="3">
        <v>44317</v>
      </c>
      <c r="C314" s="2" t="s">
        <v>2251</v>
      </c>
      <c r="D314" t="s">
        <v>6146</v>
      </c>
      <c r="E314" s="2">
        <v>1</v>
      </c>
      <c r="F314" s="2" t="str">
        <f>_xlfn.XLOOKUP(C314,customers!$A$2:$A$1001,customers!$B$2:$B$1001,,0)</f>
        <v>Natka Leethem</v>
      </c>
      <c r="G314" s="2" t="str">
        <f>_xlfn.XLOOKUP(C314,customers!$A$2:$A$1001,customers!$G$2:$G$1001,,0)</f>
        <v>United States</v>
      </c>
      <c r="H314" t="str">
        <f>INDEX(products!$A$1:$G$49,MATCH(orders!$D314,products!$A$1:$A$49,0),MATCH(orders!H$1,products!$A$1:$G$1,0))</f>
        <v>Rob</v>
      </c>
      <c r="I314" t="str">
        <f>INDEX(products!$A$1:$G$49,MATCH(orders!$D314,products!$A$1:$A$49,0),MATCH(orders!I$1,products!$A$1:$G$1,0))</f>
        <v>M</v>
      </c>
      <c r="J314" s="5">
        <f>INDEX(products!$A$1:$G$49,MATCH(orders!$D314,products!$A$1:$A$49,0),MATCH(orders!J$1,products!$A$1:$G$1,0))</f>
        <v>0.5</v>
      </c>
      <c r="K314" s="6">
        <f>INDEX(products!$A$1:$G$49,MATCH(orders!$D314,products!$A$1:$A$49,0),MATCH(orders!K$1,products!$A$1:$G$1,0))</f>
        <v>5.97</v>
      </c>
      <c r="L314" s="6">
        <f>K314*E314</f>
        <v>5.97</v>
      </c>
      <c r="M314" t="str" cm="1">
        <f t="array" ref="M314">_xlfn.IFS(H314="Rob","Robusta",H314="Exc","Excelsa",H314="Ara","Arabica",H314="Lib","Liberica")</f>
        <v>Robusta</v>
      </c>
      <c r="N314" t="str" cm="1">
        <f t="array" ref="N314">_xlfn.IFS(I314="M","Medium",I314="L","Light",I314="D","Dark")</f>
        <v>Medium</v>
      </c>
      <c r="O314" t="str">
        <f>_xlfn.XLOOKUP(Orders[[#This Row],[Customer ID]],customers!$A$2:$A$1001,customers!$I$2:$I$1001,,0)</f>
        <v>Yes</v>
      </c>
    </row>
    <row r="315" spans="1:15" x14ac:dyDescent="0.3">
      <c r="A315" s="2" t="s">
        <v>2256</v>
      </c>
      <c r="B315" s="3">
        <v>44497</v>
      </c>
      <c r="C315" s="2" t="s">
        <v>2257</v>
      </c>
      <c r="D315" t="s">
        <v>6138</v>
      </c>
      <c r="E315" s="2">
        <v>3</v>
      </c>
      <c r="F315" s="2" t="str">
        <f>_xlfn.XLOOKUP(C315,customers!$A$2:$A$1001,customers!$B$2:$B$1001,,0)</f>
        <v>Ailene Nesfield</v>
      </c>
      <c r="G315" s="2" t="str">
        <f>_xlfn.XLOOKUP(C315,customers!$A$2:$A$1001,customers!$G$2:$G$1001,,0)</f>
        <v>United Kingdom</v>
      </c>
      <c r="H315" t="str">
        <f>INDEX(products!$A$1:$G$49,MATCH(orders!$D315,products!$A$1:$A$49,0),MATCH(orders!H$1,products!$A$1:$G$1,0))</f>
        <v>Rob</v>
      </c>
      <c r="I315" t="str">
        <f>INDEX(products!$A$1:$G$49,MATCH(orders!$D315,products!$A$1:$A$49,0),MATCH(orders!I$1,products!$A$1:$G$1,0))</f>
        <v>M</v>
      </c>
      <c r="J315" s="5">
        <f>INDEX(products!$A$1:$G$49,MATCH(orders!$D315,products!$A$1:$A$49,0),MATCH(orders!J$1,products!$A$1:$G$1,0))</f>
        <v>1</v>
      </c>
      <c r="K315" s="6">
        <f>INDEX(products!$A$1:$G$49,MATCH(orders!$D315,products!$A$1:$A$49,0),MATCH(orders!K$1,products!$A$1:$G$1,0))</f>
        <v>9.9499999999999993</v>
      </c>
      <c r="L315" s="6">
        <f>K315*E315</f>
        <v>29.849999999999998</v>
      </c>
      <c r="M315" t="str" cm="1">
        <f t="array" ref="M315">_xlfn.IFS(H315="Rob","Robusta",H315="Exc","Excelsa",H315="Ara","Arabica",H315="Lib","Liberica")</f>
        <v>Robusta</v>
      </c>
      <c r="N315" t="str" cm="1">
        <f t="array" ref="N315">_xlfn.IFS(I315="M","Medium",I315="L","Light",I315="D","Dark")</f>
        <v>Medium</v>
      </c>
      <c r="O315" t="str">
        <f>_xlfn.XLOOKUP(Orders[[#This Row],[Customer ID]],customers!$A$2:$A$1001,customers!$I$2:$I$1001,,0)</f>
        <v>Yes</v>
      </c>
    </row>
    <row r="316" spans="1:15" x14ac:dyDescent="0.3">
      <c r="A316" s="2" t="s">
        <v>2262</v>
      </c>
      <c r="B316" s="3">
        <v>44437</v>
      </c>
      <c r="C316" s="2" t="s">
        <v>2263</v>
      </c>
      <c r="D316" t="s">
        <v>6177</v>
      </c>
      <c r="E316" s="2">
        <v>5</v>
      </c>
      <c r="F316" s="2" t="str">
        <f>_xlfn.XLOOKUP(C316,customers!$A$2:$A$1001,customers!$B$2:$B$1001,,0)</f>
        <v>Stacy Pickworth</v>
      </c>
      <c r="G316" s="2" t="str">
        <f>_xlfn.XLOOKUP(C316,customers!$A$2:$A$1001,customers!$G$2:$G$1001,,0)</f>
        <v>United States</v>
      </c>
      <c r="H316" t="str">
        <f>INDEX(products!$A$1:$G$49,MATCH(orders!$D316,products!$A$1:$A$49,0),MATCH(orders!H$1,products!$A$1:$G$1,0))</f>
        <v>Rob</v>
      </c>
      <c r="I316" t="str">
        <f>INDEX(products!$A$1:$G$49,MATCH(orders!$D316,products!$A$1:$A$49,0),MATCH(orders!I$1,products!$A$1:$G$1,0))</f>
        <v>D</v>
      </c>
      <c r="J316" s="5">
        <f>INDEX(products!$A$1:$G$49,MATCH(orders!$D316,products!$A$1:$A$49,0),MATCH(orders!J$1,products!$A$1:$G$1,0))</f>
        <v>1</v>
      </c>
      <c r="K316" s="6">
        <f>INDEX(products!$A$1:$G$49,MATCH(orders!$D316,products!$A$1:$A$49,0),MATCH(orders!K$1,products!$A$1:$G$1,0))</f>
        <v>8.9499999999999993</v>
      </c>
      <c r="L316" s="6">
        <f>K316*E316</f>
        <v>44.75</v>
      </c>
      <c r="M316" t="str" cm="1">
        <f t="array" ref="M316">_xlfn.IFS(H316="Rob","Robusta",H316="Exc","Excelsa",H316="Ara","Arabica",H316="Lib","Liberica")</f>
        <v>Robusta</v>
      </c>
      <c r="N316" t="str" cm="1">
        <f t="array" ref="N316">_xlfn.IFS(I316="M","Medium",I316="L","Light",I316="D","Dark")</f>
        <v>Dark</v>
      </c>
      <c r="O316" t="str">
        <f>_xlfn.XLOOKUP(Orders[[#This Row],[Customer ID]],customers!$A$2:$A$1001,customers!$I$2:$I$1001,,0)</f>
        <v>No</v>
      </c>
    </row>
    <row r="317" spans="1:15" x14ac:dyDescent="0.3">
      <c r="A317" s="2" t="s">
        <v>2267</v>
      </c>
      <c r="B317" s="3">
        <v>43826</v>
      </c>
      <c r="C317" s="2" t="s">
        <v>2268</v>
      </c>
      <c r="D317" t="s">
        <v>6148</v>
      </c>
      <c r="E317" s="2">
        <v>1</v>
      </c>
      <c r="F317" s="2" t="str">
        <f>_xlfn.XLOOKUP(C317,customers!$A$2:$A$1001,customers!$B$2:$B$1001,,0)</f>
        <v>Melli Brockway</v>
      </c>
      <c r="G317" s="2" t="str">
        <f>_xlfn.XLOOKUP(C317,customers!$A$2:$A$1001,customers!$G$2:$G$1001,,0)</f>
        <v>United States</v>
      </c>
      <c r="H317" t="str">
        <f>INDEX(products!$A$1:$G$49,MATCH(orders!$D317,products!$A$1:$A$49,0),MATCH(orders!H$1,products!$A$1:$G$1,0))</f>
        <v>Exc</v>
      </c>
      <c r="I317" t="str">
        <f>INDEX(products!$A$1:$G$49,MATCH(orders!$D317,products!$A$1:$A$49,0),MATCH(orders!I$1,products!$A$1:$G$1,0))</f>
        <v>L</v>
      </c>
      <c r="J317" s="5">
        <f>INDEX(products!$A$1:$G$49,MATCH(orders!$D317,products!$A$1:$A$49,0),MATCH(orders!J$1,products!$A$1:$G$1,0))</f>
        <v>2.5</v>
      </c>
      <c r="K317" s="6">
        <f>INDEX(products!$A$1:$G$49,MATCH(orders!$D317,products!$A$1:$A$49,0),MATCH(orders!K$1,products!$A$1:$G$1,0))</f>
        <v>34.154999999999994</v>
      </c>
      <c r="L317" s="6">
        <f>K317*E317</f>
        <v>34.154999999999994</v>
      </c>
      <c r="M317" t="str" cm="1">
        <f t="array" ref="M317">_xlfn.IFS(H317="Rob","Robusta",H317="Exc","Excelsa",H317="Ara","Arabica",H317="Lib","Liberica")</f>
        <v>Excelsa</v>
      </c>
      <c r="N317" t="str" cm="1">
        <f t="array" ref="N317">_xlfn.IFS(I317="M","Medium",I317="L","Light",I317="D","Dark")</f>
        <v>Light</v>
      </c>
      <c r="O317" t="str">
        <f>_xlfn.XLOOKUP(Orders[[#This Row],[Customer ID]],customers!$A$2:$A$1001,customers!$I$2:$I$1001,,0)</f>
        <v>Yes</v>
      </c>
    </row>
    <row r="318" spans="1:15" x14ac:dyDescent="0.3">
      <c r="A318" s="2" t="s">
        <v>2273</v>
      </c>
      <c r="B318" s="3">
        <v>43641</v>
      </c>
      <c r="C318" s="2" t="s">
        <v>2274</v>
      </c>
      <c r="D318" t="s">
        <v>6148</v>
      </c>
      <c r="E318" s="2">
        <v>6</v>
      </c>
      <c r="F318" s="2" t="str">
        <f>_xlfn.XLOOKUP(C318,customers!$A$2:$A$1001,customers!$B$2:$B$1001,,0)</f>
        <v>Nanny Lush</v>
      </c>
      <c r="G318" s="2" t="str">
        <f>_xlfn.XLOOKUP(C318,customers!$A$2:$A$1001,customers!$G$2:$G$1001,,0)</f>
        <v>Ireland</v>
      </c>
      <c r="H318" t="str">
        <f>INDEX(products!$A$1:$G$49,MATCH(orders!$D318,products!$A$1:$A$49,0),MATCH(orders!H$1,products!$A$1:$G$1,0))</f>
        <v>Exc</v>
      </c>
      <c r="I318" t="str">
        <f>INDEX(products!$A$1:$G$49,MATCH(orders!$D318,products!$A$1:$A$49,0),MATCH(orders!I$1,products!$A$1:$G$1,0))</f>
        <v>L</v>
      </c>
      <c r="J318" s="5">
        <f>INDEX(products!$A$1:$G$49,MATCH(orders!$D318,products!$A$1:$A$49,0),MATCH(orders!J$1,products!$A$1:$G$1,0))</f>
        <v>2.5</v>
      </c>
      <c r="K318" s="6">
        <f>INDEX(products!$A$1:$G$49,MATCH(orders!$D318,products!$A$1:$A$49,0),MATCH(orders!K$1,products!$A$1:$G$1,0))</f>
        <v>34.154999999999994</v>
      </c>
      <c r="L318" s="6">
        <f>K318*E318</f>
        <v>204.92999999999995</v>
      </c>
      <c r="M318" t="str" cm="1">
        <f t="array" ref="M318">_xlfn.IFS(H318="Rob","Robusta",H318="Exc","Excelsa",H318="Ara","Arabica",H318="Lib","Liberica")</f>
        <v>Excelsa</v>
      </c>
      <c r="N318" t="str" cm="1">
        <f t="array" ref="N318">_xlfn.IFS(I318="M","Medium",I318="L","Light",I318="D","Dark")</f>
        <v>Light</v>
      </c>
      <c r="O318" t="str">
        <f>_xlfn.XLOOKUP(Orders[[#This Row],[Customer ID]],customers!$A$2:$A$1001,customers!$I$2:$I$1001,,0)</f>
        <v>No</v>
      </c>
    </row>
    <row r="319" spans="1:15" x14ac:dyDescent="0.3">
      <c r="A319" s="2" t="s">
        <v>2279</v>
      </c>
      <c r="B319" s="3">
        <v>43526</v>
      </c>
      <c r="C319" s="2" t="s">
        <v>2280</v>
      </c>
      <c r="D319" t="s">
        <v>6144</v>
      </c>
      <c r="E319" s="2">
        <v>3</v>
      </c>
      <c r="F319" s="2" t="str">
        <f>_xlfn.XLOOKUP(C319,customers!$A$2:$A$1001,customers!$B$2:$B$1001,,0)</f>
        <v>Selma McMillian</v>
      </c>
      <c r="G319" s="2" t="str">
        <f>_xlfn.XLOOKUP(C319,customers!$A$2:$A$1001,customers!$G$2:$G$1001,,0)</f>
        <v>United States</v>
      </c>
      <c r="H319" t="str">
        <f>INDEX(products!$A$1:$G$49,MATCH(orders!$D319,products!$A$1:$A$49,0),MATCH(orders!H$1,products!$A$1:$G$1,0))</f>
        <v>Exc</v>
      </c>
      <c r="I319" t="str">
        <f>INDEX(products!$A$1:$G$49,MATCH(orders!$D319,products!$A$1:$A$49,0),MATCH(orders!I$1,products!$A$1:$G$1,0))</f>
        <v>D</v>
      </c>
      <c r="J319" s="5">
        <f>INDEX(products!$A$1:$G$49,MATCH(orders!$D319,products!$A$1:$A$49,0),MATCH(orders!J$1,products!$A$1:$G$1,0))</f>
        <v>0.5</v>
      </c>
      <c r="K319" s="6">
        <f>INDEX(products!$A$1:$G$49,MATCH(orders!$D319,products!$A$1:$A$49,0),MATCH(orders!K$1,products!$A$1:$G$1,0))</f>
        <v>7.29</v>
      </c>
      <c r="L319" s="6">
        <f>K319*E319</f>
        <v>21.87</v>
      </c>
      <c r="M319" t="str" cm="1">
        <f t="array" ref="M319">_xlfn.IFS(H319="Rob","Robusta",H319="Exc","Excelsa",H319="Ara","Arabica",H319="Lib","Liberica")</f>
        <v>Excelsa</v>
      </c>
      <c r="N319" t="str" cm="1">
        <f t="array" ref="N319">_xlfn.IFS(I319="M","Medium",I319="L","Light",I319="D","Dark")</f>
        <v>Dark</v>
      </c>
      <c r="O319" t="str">
        <f>_xlfn.XLOOKUP(Orders[[#This Row],[Customer ID]],customers!$A$2:$A$1001,customers!$I$2:$I$1001,,0)</f>
        <v>No</v>
      </c>
    </row>
    <row r="320" spans="1:15" x14ac:dyDescent="0.3">
      <c r="A320" s="2" t="s">
        <v>2285</v>
      </c>
      <c r="B320" s="3">
        <v>44563</v>
      </c>
      <c r="C320" s="2" t="s">
        <v>2286</v>
      </c>
      <c r="D320" t="s">
        <v>6175</v>
      </c>
      <c r="E320" s="2">
        <v>2</v>
      </c>
      <c r="F320" s="2" t="str">
        <f>_xlfn.XLOOKUP(C320,customers!$A$2:$A$1001,customers!$B$2:$B$1001,,0)</f>
        <v>Tess Bennison</v>
      </c>
      <c r="G320" s="2" t="str">
        <f>_xlfn.XLOOKUP(C320,customers!$A$2:$A$1001,customers!$G$2:$G$1001,,0)</f>
        <v>United States</v>
      </c>
      <c r="H320" t="str">
        <f>INDEX(products!$A$1:$G$49,MATCH(orders!$D320,products!$A$1:$A$49,0),MATCH(orders!H$1,products!$A$1:$G$1,0))</f>
        <v>Ara</v>
      </c>
      <c r="I320" t="str">
        <f>INDEX(products!$A$1:$G$49,MATCH(orders!$D320,products!$A$1:$A$49,0),MATCH(orders!I$1,products!$A$1:$G$1,0))</f>
        <v>M</v>
      </c>
      <c r="J320" s="5">
        <f>INDEX(products!$A$1:$G$49,MATCH(orders!$D320,products!$A$1:$A$49,0),MATCH(orders!J$1,products!$A$1:$G$1,0))</f>
        <v>2.5</v>
      </c>
      <c r="K320" s="6">
        <f>INDEX(products!$A$1:$G$49,MATCH(orders!$D320,products!$A$1:$A$49,0),MATCH(orders!K$1,products!$A$1:$G$1,0))</f>
        <v>25.874999999999996</v>
      </c>
      <c r="L320" s="6">
        <f>K320*E320</f>
        <v>51.749999999999993</v>
      </c>
      <c r="M320" t="str" cm="1">
        <f t="array" ref="M320">_xlfn.IFS(H320="Rob","Robusta",H320="Exc","Excelsa",H320="Ara","Arabica",H320="Lib","Liberica")</f>
        <v>Arabica</v>
      </c>
      <c r="N320" t="str" cm="1">
        <f t="array" ref="N320">_xlfn.IFS(I320="M","Medium",I320="L","Light",I320="D","Dark")</f>
        <v>Medium</v>
      </c>
      <c r="O320" t="str">
        <f>_xlfn.XLOOKUP(Orders[[#This Row],[Customer ID]],customers!$A$2:$A$1001,customers!$I$2:$I$1001,,0)</f>
        <v>Yes</v>
      </c>
    </row>
    <row r="321" spans="1:15" x14ac:dyDescent="0.3">
      <c r="A321" s="2" t="s">
        <v>2291</v>
      </c>
      <c r="B321" s="3">
        <v>43676</v>
      </c>
      <c r="C321" s="2" t="s">
        <v>2292</v>
      </c>
      <c r="D321" t="s">
        <v>6156</v>
      </c>
      <c r="E321" s="2">
        <v>2</v>
      </c>
      <c r="F321" s="2" t="str">
        <f>_xlfn.XLOOKUP(C321,customers!$A$2:$A$1001,customers!$B$2:$B$1001,,0)</f>
        <v>Gabie Tweed</v>
      </c>
      <c r="G321" s="2" t="str">
        <f>_xlfn.XLOOKUP(C321,customers!$A$2:$A$1001,customers!$G$2:$G$1001,,0)</f>
        <v>United States</v>
      </c>
      <c r="H321" t="str">
        <f>INDEX(products!$A$1:$G$49,MATCH(orders!$D321,products!$A$1:$A$49,0),MATCH(orders!H$1,products!$A$1:$G$1,0))</f>
        <v>Exc</v>
      </c>
      <c r="I321" t="str">
        <f>INDEX(products!$A$1:$G$49,MATCH(orders!$D321,products!$A$1:$A$49,0),MATCH(orders!I$1,products!$A$1:$G$1,0))</f>
        <v>M</v>
      </c>
      <c r="J321" s="5">
        <f>INDEX(products!$A$1:$G$49,MATCH(orders!$D321,products!$A$1:$A$49,0),MATCH(orders!J$1,products!$A$1:$G$1,0))</f>
        <v>0.2</v>
      </c>
      <c r="K321" s="6">
        <f>INDEX(products!$A$1:$G$49,MATCH(orders!$D321,products!$A$1:$A$49,0),MATCH(orders!K$1,products!$A$1:$G$1,0))</f>
        <v>4.125</v>
      </c>
      <c r="L321" s="6">
        <f>K321*E321</f>
        <v>8.25</v>
      </c>
      <c r="M321" t="str" cm="1">
        <f t="array" ref="M321">_xlfn.IFS(H321="Rob","Robusta",H321="Exc","Excelsa",H321="Ara","Arabica",H321="Lib","Liberica")</f>
        <v>Excelsa</v>
      </c>
      <c r="N321" t="str" cm="1">
        <f t="array" ref="N321">_xlfn.IFS(I321="M","Medium",I321="L","Light",I321="D","Dark")</f>
        <v>Medium</v>
      </c>
      <c r="O321" t="str">
        <f>_xlfn.XLOOKUP(Orders[[#This Row],[Customer ID]],customers!$A$2:$A$1001,customers!$I$2:$I$1001,,0)</f>
        <v>Yes</v>
      </c>
    </row>
    <row r="322" spans="1:15" x14ac:dyDescent="0.3">
      <c r="A322" s="2" t="s">
        <v>2291</v>
      </c>
      <c r="B322" s="3">
        <v>43676</v>
      </c>
      <c r="C322" s="2" t="s">
        <v>2292</v>
      </c>
      <c r="D322" t="s">
        <v>6167</v>
      </c>
      <c r="E322" s="2">
        <v>5</v>
      </c>
      <c r="F322" s="2" t="str">
        <f>_xlfn.XLOOKUP(C322,customers!$A$2:$A$1001,customers!$B$2:$B$1001,,0)</f>
        <v>Gabie Tweed</v>
      </c>
      <c r="G322" s="2" t="str">
        <f>_xlfn.XLOOKUP(C322,customers!$A$2:$A$1001,customers!$G$2:$G$1001,,0)</f>
        <v>United States</v>
      </c>
      <c r="H322" t="str">
        <f>INDEX(products!$A$1:$G$49,MATCH(orders!$D322,products!$A$1:$A$49,0),MATCH(orders!H$1,products!$A$1:$G$1,0))</f>
        <v>Ara</v>
      </c>
      <c r="I322" t="str">
        <f>INDEX(products!$A$1:$G$49,MATCH(orders!$D322,products!$A$1:$A$49,0),MATCH(orders!I$1,products!$A$1:$G$1,0))</f>
        <v>L</v>
      </c>
      <c r="J322" s="5">
        <f>INDEX(products!$A$1:$G$49,MATCH(orders!$D322,products!$A$1:$A$49,0),MATCH(orders!J$1,products!$A$1:$G$1,0))</f>
        <v>0.2</v>
      </c>
      <c r="K322" s="6">
        <f>INDEX(products!$A$1:$G$49,MATCH(orders!$D322,products!$A$1:$A$49,0),MATCH(orders!K$1,products!$A$1:$G$1,0))</f>
        <v>3.8849999999999998</v>
      </c>
      <c r="L322" s="6">
        <f>K322*E322</f>
        <v>19.424999999999997</v>
      </c>
      <c r="M322" t="str" cm="1">
        <f t="array" ref="M322">_xlfn.IFS(H322="Rob","Robusta",H322="Exc","Excelsa",H322="Ara","Arabica",H322="Lib","Liberica")</f>
        <v>Arabica</v>
      </c>
      <c r="N322" t="str" cm="1">
        <f t="array" ref="N322">_xlfn.IFS(I322="M","Medium",I322="L","Light",I322="D","Dark")</f>
        <v>Light</v>
      </c>
      <c r="O322" t="str">
        <f>_xlfn.XLOOKUP(Orders[[#This Row],[Customer ID]],customers!$A$2:$A$1001,customers!$I$2:$I$1001,,0)</f>
        <v>Yes</v>
      </c>
    </row>
    <row r="323" spans="1:15" x14ac:dyDescent="0.3">
      <c r="A323" s="2" t="s">
        <v>2301</v>
      </c>
      <c r="B323" s="3">
        <v>44170</v>
      </c>
      <c r="C323" s="2" t="s">
        <v>2302</v>
      </c>
      <c r="D323" t="s">
        <v>6152</v>
      </c>
      <c r="E323" s="2">
        <v>6</v>
      </c>
      <c r="F323" s="2" t="str">
        <f>_xlfn.XLOOKUP(C323,customers!$A$2:$A$1001,customers!$B$2:$B$1001,,0)</f>
        <v>Gaile Goggin</v>
      </c>
      <c r="G323" s="2" t="str">
        <f>_xlfn.XLOOKUP(C323,customers!$A$2:$A$1001,customers!$G$2:$G$1001,,0)</f>
        <v>Ireland</v>
      </c>
      <c r="H323" t="str">
        <f>INDEX(products!$A$1:$G$49,MATCH(orders!$D323,products!$A$1:$A$49,0),MATCH(orders!H$1,products!$A$1:$G$1,0))</f>
        <v>Ara</v>
      </c>
      <c r="I323" t="str">
        <f>INDEX(products!$A$1:$G$49,MATCH(orders!$D323,products!$A$1:$A$49,0),MATCH(orders!I$1,products!$A$1:$G$1,0))</f>
        <v>M</v>
      </c>
      <c r="J323" s="5">
        <f>INDEX(products!$A$1:$G$49,MATCH(orders!$D323,products!$A$1:$A$49,0),MATCH(orders!J$1,products!$A$1:$G$1,0))</f>
        <v>0.2</v>
      </c>
      <c r="K323" s="6">
        <f>INDEX(products!$A$1:$G$49,MATCH(orders!$D323,products!$A$1:$A$49,0),MATCH(orders!K$1,products!$A$1:$G$1,0))</f>
        <v>3.375</v>
      </c>
      <c r="L323" s="6">
        <f>K323*E323</f>
        <v>20.25</v>
      </c>
      <c r="M323" t="str" cm="1">
        <f t="array" ref="M323">_xlfn.IFS(H323="Rob","Robusta",H323="Exc","Excelsa",H323="Ara","Arabica",H323="Lib","Liberica")</f>
        <v>Arabica</v>
      </c>
      <c r="N323" t="str" cm="1">
        <f t="array" ref="N323">_xlfn.IFS(I323="M","Medium",I323="L","Light",I323="D","Dark")</f>
        <v>Medium</v>
      </c>
      <c r="O323" t="str">
        <f>_xlfn.XLOOKUP(Orders[[#This Row],[Customer ID]],customers!$A$2:$A$1001,customers!$I$2:$I$1001,,0)</f>
        <v>Yes</v>
      </c>
    </row>
    <row r="324" spans="1:15" x14ac:dyDescent="0.3">
      <c r="A324" s="2" t="s">
        <v>2307</v>
      </c>
      <c r="B324" s="3">
        <v>44182</v>
      </c>
      <c r="C324" s="2" t="s">
        <v>2308</v>
      </c>
      <c r="D324" t="s">
        <v>6169</v>
      </c>
      <c r="E324" s="2">
        <v>3</v>
      </c>
      <c r="F324" s="2" t="str">
        <f>_xlfn.XLOOKUP(C324,customers!$A$2:$A$1001,customers!$B$2:$B$1001,,0)</f>
        <v>Skylar Jeyness</v>
      </c>
      <c r="G324" s="2" t="str">
        <f>_xlfn.XLOOKUP(C324,customers!$A$2:$A$1001,customers!$G$2:$G$1001,,0)</f>
        <v>Ireland</v>
      </c>
      <c r="H324" t="str">
        <f>INDEX(products!$A$1:$G$49,MATCH(orders!$D324,products!$A$1:$A$49,0),MATCH(orders!H$1,products!$A$1:$G$1,0))</f>
        <v>Lib</v>
      </c>
      <c r="I324" t="str">
        <f>INDEX(products!$A$1:$G$49,MATCH(orders!$D324,products!$A$1:$A$49,0),MATCH(orders!I$1,products!$A$1:$G$1,0))</f>
        <v>D</v>
      </c>
      <c r="J324" s="5">
        <f>INDEX(products!$A$1:$G$49,MATCH(orders!$D324,products!$A$1:$A$49,0),MATCH(orders!J$1,products!$A$1:$G$1,0))</f>
        <v>0.5</v>
      </c>
      <c r="K324" s="6">
        <f>INDEX(products!$A$1:$G$49,MATCH(orders!$D324,products!$A$1:$A$49,0),MATCH(orders!K$1,products!$A$1:$G$1,0))</f>
        <v>7.77</v>
      </c>
      <c r="L324" s="6">
        <f>K324*E324</f>
        <v>23.31</v>
      </c>
      <c r="M324" t="str" cm="1">
        <f t="array" ref="M324">_xlfn.IFS(H324="Rob","Robusta",H324="Exc","Excelsa",H324="Ara","Arabica",H324="Lib","Liberica")</f>
        <v>Liberica</v>
      </c>
      <c r="N324" t="str" cm="1">
        <f t="array" ref="N324">_xlfn.IFS(I324="M","Medium",I324="L","Light",I324="D","Dark")</f>
        <v>Dark</v>
      </c>
      <c r="O324" t="str">
        <f>_xlfn.XLOOKUP(Orders[[#This Row],[Customer ID]],customers!$A$2:$A$1001,customers!$I$2:$I$1001,,0)</f>
        <v>No</v>
      </c>
    </row>
    <row r="325" spans="1:15" x14ac:dyDescent="0.3">
      <c r="A325" s="2" t="s">
        <v>2313</v>
      </c>
      <c r="B325" s="3">
        <v>44373</v>
      </c>
      <c r="C325" s="2" t="s">
        <v>2314</v>
      </c>
      <c r="D325" t="s">
        <v>6153</v>
      </c>
      <c r="E325" s="2">
        <v>5</v>
      </c>
      <c r="F325" s="2" t="str">
        <f>_xlfn.XLOOKUP(C325,customers!$A$2:$A$1001,customers!$B$2:$B$1001,,0)</f>
        <v>Donica Bonhome</v>
      </c>
      <c r="G325" s="2" t="str">
        <f>_xlfn.XLOOKUP(C325,customers!$A$2:$A$1001,customers!$G$2:$G$1001,,0)</f>
        <v>United States</v>
      </c>
      <c r="H325" t="str">
        <f>INDEX(products!$A$1:$G$49,MATCH(orders!$D325,products!$A$1:$A$49,0),MATCH(orders!H$1,products!$A$1:$G$1,0))</f>
        <v>Exc</v>
      </c>
      <c r="I325" t="str">
        <f>INDEX(products!$A$1:$G$49,MATCH(orders!$D325,products!$A$1:$A$49,0),MATCH(orders!I$1,products!$A$1:$G$1,0))</f>
        <v>D</v>
      </c>
      <c r="J325" s="5">
        <f>INDEX(products!$A$1:$G$49,MATCH(orders!$D325,products!$A$1:$A$49,0),MATCH(orders!J$1,products!$A$1:$G$1,0))</f>
        <v>0.2</v>
      </c>
      <c r="K325" s="6">
        <f>INDEX(products!$A$1:$G$49,MATCH(orders!$D325,products!$A$1:$A$49,0),MATCH(orders!K$1,products!$A$1:$G$1,0))</f>
        <v>3.645</v>
      </c>
      <c r="L325" s="6">
        <f>K325*E325</f>
        <v>18.225000000000001</v>
      </c>
      <c r="M325" t="str" cm="1">
        <f t="array" ref="M325">_xlfn.IFS(H325="Rob","Robusta",H325="Exc","Excelsa",H325="Ara","Arabica",H325="Lib","Liberica")</f>
        <v>Excelsa</v>
      </c>
      <c r="N325" t="str" cm="1">
        <f t="array" ref="N325">_xlfn.IFS(I325="M","Medium",I325="L","Light",I325="D","Dark")</f>
        <v>Dark</v>
      </c>
      <c r="O325" t="str">
        <f>_xlfn.XLOOKUP(Orders[[#This Row],[Customer ID]],customers!$A$2:$A$1001,customers!$I$2:$I$1001,,0)</f>
        <v>Yes</v>
      </c>
    </row>
    <row r="326" spans="1:15" x14ac:dyDescent="0.3">
      <c r="A326" s="2" t="s">
        <v>2319</v>
      </c>
      <c r="B326" s="3">
        <v>43666</v>
      </c>
      <c r="C326" s="2" t="s">
        <v>2320</v>
      </c>
      <c r="D326" t="s">
        <v>6141</v>
      </c>
      <c r="E326" s="2">
        <v>1</v>
      </c>
      <c r="F326" s="2" t="str">
        <f>_xlfn.XLOOKUP(C326,customers!$A$2:$A$1001,customers!$B$2:$B$1001,,0)</f>
        <v>Diena Peetermann</v>
      </c>
      <c r="G326" s="2" t="str">
        <f>_xlfn.XLOOKUP(C326,customers!$A$2:$A$1001,customers!$G$2:$G$1001,,0)</f>
        <v>United States</v>
      </c>
      <c r="H326" t="str">
        <f>INDEX(products!$A$1:$G$49,MATCH(orders!$D326,products!$A$1:$A$49,0),MATCH(orders!H$1,products!$A$1:$G$1,0))</f>
        <v>Exc</v>
      </c>
      <c r="I326" t="str">
        <f>INDEX(products!$A$1:$G$49,MATCH(orders!$D326,products!$A$1:$A$49,0),MATCH(orders!I$1,products!$A$1:$G$1,0))</f>
        <v>M</v>
      </c>
      <c r="J326" s="5">
        <f>INDEX(products!$A$1:$G$49,MATCH(orders!$D326,products!$A$1:$A$49,0),MATCH(orders!J$1,products!$A$1:$G$1,0))</f>
        <v>1</v>
      </c>
      <c r="K326" s="6">
        <f>INDEX(products!$A$1:$G$49,MATCH(orders!$D326,products!$A$1:$A$49,0),MATCH(orders!K$1,products!$A$1:$G$1,0))</f>
        <v>13.75</v>
      </c>
      <c r="L326" s="6">
        <f>K326*E326</f>
        <v>13.75</v>
      </c>
      <c r="M326" t="str" cm="1">
        <f t="array" ref="M326">_xlfn.IFS(H326="Rob","Robusta",H326="Exc","Excelsa",H326="Ara","Arabica",H326="Lib","Liberica")</f>
        <v>Excelsa</v>
      </c>
      <c r="N326" t="str" cm="1">
        <f t="array" ref="N326">_xlfn.IFS(I326="M","Medium",I326="L","Light",I326="D","Dark")</f>
        <v>Medium</v>
      </c>
      <c r="O326" t="str">
        <f>_xlfn.XLOOKUP(Orders[[#This Row],[Customer ID]],customers!$A$2:$A$1001,customers!$I$2:$I$1001,,0)</f>
        <v>No</v>
      </c>
    </row>
    <row r="327" spans="1:15" x14ac:dyDescent="0.3">
      <c r="A327" s="2" t="s">
        <v>2324</v>
      </c>
      <c r="B327" s="3">
        <v>44756</v>
      </c>
      <c r="C327" s="2" t="s">
        <v>2325</v>
      </c>
      <c r="D327" t="s">
        <v>6182</v>
      </c>
      <c r="E327" s="2">
        <v>1</v>
      </c>
      <c r="F327" s="2" t="str">
        <f>_xlfn.XLOOKUP(C327,customers!$A$2:$A$1001,customers!$B$2:$B$1001,,0)</f>
        <v>Trina Le Sarr</v>
      </c>
      <c r="G327" s="2" t="str">
        <f>_xlfn.XLOOKUP(C327,customers!$A$2:$A$1001,customers!$G$2:$G$1001,,0)</f>
        <v>United States</v>
      </c>
      <c r="H327" t="str">
        <f>INDEX(products!$A$1:$G$49,MATCH(orders!$D327,products!$A$1:$A$49,0),MATCH(orders!H$1,products!$A$1:$G$1,0))</f>
        <v>Ara</v>
      </c>
      <c r="I327" t="str">
        <f>INDEX(products!$A$1:$G$49,MATCH(orders!$D327,products!$A$1:$A$49,0),MATCH(orders!I$1,products!$A$1:$G$1,0))</f>
        <v>L</v>
      </c>
      <c r="J327" s="5">
        <f>INDEX(products!$A$1:$G$49,MATCH(orders!$D327,products!$A$1:$A$49,0),MATCH(orders!J$1,products!$A$1:$G$1,0))</f>
        <v>2.5</v>
      </c>
      <c r="K327" s="6">
        <f>INDEX(products!$A$1:$G$49,MATCH(orders!$D327,products!$A$1:$A$49,0),MATCH(orders!K$1,products!$A$1:$G$1,0))</f>
        <v>29.784999999999997</v>
      </c>
      <c r="L327" s="6">
        <f>K327*E327</f>
        <v>29.784999999999997</v>
      </c>
      <c r="M327" t="str" cm="1">
        <f t="array" ref="M327">_xlfn.IFS(H327="Rob","Robusta",H327="Exc","Excelsa",H327="Ara","Arabica",H327="Lib","Liberica")</f>
        <v>Arabica</v>
      </c>
      <c r="N327" t="str" cm="1">
        <f t="array" ref="N327">_xlfn.IFS(I327="M","Medium",I327="L","Light",I327="D","Dark")</f>
        <v>Light</v>
      </c>
      <c r="O327" t="str">
        <f>_xlfn.XLOOKUP(Orders[[#This Row],[Customer ID]],customers!$A$2:$A$1001,customers!$I$2:$I$1001,,0)</f>
        <v>Yes</v>
      </c>
    </row>
    <row r="328" spans="1:15" x14ac:dyDescent="0.3">
      <c r="A328" s="2" t="s">
        <v>2330</v>
      </c>
      <c r="B328" s="3">
        <v>44057</v>
      </c>
      <c r="C328" s="2" t="s">
        <v>2331</v>
      </c>
      <c r="D328" t="s">
        <v>6177</v>
      </c>
      <c r="E328" s="2">
        <v>5</v>
      </c>
      <c r="F328" s="2" t="str">
        <f>_xlfn.XLOOKUP(C328,customers!$A$2:$A$1001,customers!$B$2:$B$1001,,0)</f>
        <v>Flynn Antony</v>
      </c>
      <c r="G328" s="2" t="str">
        <f>_xlfn.XLOOKUP(C328,customers!$A$2:$A$1001,customers!$G$2:$G$1001,,0)</f>
        <v>United States</v>
      </c>
      <c r="H328" t="str">
        <f>INDEX(products!$A$1:$G$49,MATCH(orders!$D328,products!$A$1:$A$49,0),MATCH(orders!H$1,products!$A$1:$G$1,0))</f>
        <v>Rob</v>
      </c>
      <c r="I328" t="str">
        <f>INDEX(products!$A$1:$G$49,MATCH(orders!$D328,products!$A$1:$A$49,0),MATCH(orders!I$1,products!$A$1:$G$1,0))</f>
        <v>D</v>
      </c>
      <c r="J328" s="5">
        <f>INDEX(products!$A$1:$G$49,MATCH(orders!$D328,products!$A$1:$A$49,0),MATCH(orders!J$1,products!$A$1:$G$1,0))</f>
        <v>1</v>
      </c>
      <c r="K328" s="6">
        <f>INDEX(products!$A$1:$G$49,MATCH(orders!$D328,products!$A$1:$A$49,0),MATCH(orders!K$1,products!$A$1:$G$1,0))</f>
        <v>8.9499999999999993</v>
      </c>
      <c r="L328" s="6">
        <f>K328*E328</f>
        <v>44.75</v>
      </c>
      <c r="M328" t="str" cm="1">
        <f t="array" ref="M328">_xlfn.IFS(H328="Rob","Robusta",H328="Exc","Excelsa",H328="Ara","Arabica",H328="Lib","Liberica")</f>
        <v>Robusta</v>
      </c>
      <c r="N328" t="str" cm="1">
        <f t="array" ref="N328">_xlfn.IFS(I328="M","Medium",I328="L","Light",I328="D","Dark")</f>
        <v>Dark</v>
      </c>
      <c r="O328" t="str">
        <f>_xlfn.XLOOKUP(Orders[[#This Row],[Customer ID]],customers!$A$2:$A$1001,customers!$I$2:$I$1001,,0)</f>
        <v>No</v>
      </c>
    </row>
    <row r="329" spans="1:15" x14ac:dyDescent="0.3">
      <c r="A329" s="2" t="s">
        <v>2335</v>
      </c>
      <c r="B329" s="3">
        <v>43579</v>
      </c>
      <c r="C329" s="2" t="s">
        <v>2336</v>
      </c>
      <c r="D329" t="s">
        <v>6177</v>
      </c>
      <c r="E329" s="2">
        <v>5</v>
      </c>
      <c r="F329" s="2" t="str">
        <f>_xlfn.XLOOKUP(C329,customers!$A$2:$A$1001,customers!$B$2:$B$1001,,0)</f>
        <v>Baudoin Alldridge</v>
      </c>
      <c r="G329" s="2" t="str">
        <f>_xlfn.XLOOKUP(C329,customers!$A$2:$A$1001,customers!$G$2:$G$1001,,0)</f>
        <v>United States</v>
      </c>
      <c r="H329" t="str">
        <f>INDEX(products!$A$1:$G$49,MATCH(orders!$D329,products!$A$1:$A$49,0),MATCH(orders!H$1,products!$A$1:$G$1,0))</f>
        <v>Rob</v>
      </c>
      <c r="I329" t="str">
        <f>INDEX(products!$A$1:$G$49,MATCH(orders!$D329,products!$A$1:$A$49,0),MATCH(orders!I$1,products!$A$1:$G$1,0))</f>
        <v>D</v>
      </c>
      <c r="J329" s="5">
        <f>INDEX(products!$A$1:$G$49,MATCH(orders!$D329,products!$A$1:$A$49,0),MATCH(orders!J$1,products!$A$1:$G$1,0))</f>
        <v>1</v>
      </c>
      <c r="K329" s="6">
        <f>INDEX(products!$A$1:$G$49,MATCH(orders!$D329,products!$A$1:$A$49,0),MATCH(orders!K$1,products!$A$1:$G$1,0))</f>
        <v>8.9499999999999993</v>
      </c>
      <c r="L329" s="6">
        <f>K329*E329</f>
        <v>44.75</v>
      </c>
      <c r="M329" t="str" cm="1">
        <f t="array" ref="M329">_xlfn.IFS(H329="Rob","Robusta",H329="Exc","Excelsa",H329="Ara","Arabica",H329="Lib","Liberica")</f>
        <v>Robusta</v>
      </c>
      <c r="N329" t="str" cm="1">
        <f t="array" ref="N329">_xlfn.IFS(I329="M","Medium",I329="L","Light",I329="D","Dark")</f>
        <v>Dark</v>
      </c>
      <c r="O329" t="str">
        <f>_xlfn.XLOOKUP(Orders[[#This Row],[Customer ID]],customers!$A$2:$A$1001,customers!$I$2:$I$1001,,0)</f>
        <v>Yes</v>
      </c>
    </row>
    <row r="330" spans="1:15" x14ac:dyDescent="0.3">
      <c r="A330" s="2" t="s">
        <v>2341</v>
      </c>
      <c r="B330" s="3">
        <v>43620</v>
      </c>
      <c r="C330" s="2" t="s">
        <v>2342</v>
      </c>
      <c r="D330" t="s">
        <v>6161</v>
      </c>
      <c r="E330" s="2">
        <v>4</v>
      </c>
      <c r="F330" s="2" t="str">
        <f>_xlfn.XLOOKUP(C330,customers!$A$2:$A$1001,customers!$B$2:$B$1001,,0)</f>
        <v>Homer Dulany</v>
      </c>
      <c r="G330" s="2" t="str">
        <f>_xlfn.XLOOKUP(C330,customers!$A$2:$A$1001,customers!$G$2:$G$1001,,0)</f>
        <v>United States</v>
      </c>
      <c r="H330" t="str">
        <f>INDEX(products!$A$1:$G$49,MATCH(orders!$D330,products!$A$1:$A$49,0),MATCH(orders!H$1,products!$A$1:$G$1,0))</f>
        <v>Lib</v>
      </c>
      <c r="I330" t="str">
        <f>INDEX(products!$A$1:$G$49,MATCH(orders!$D330,products!$A$1:$A$49,0),MATCH(orders!I$1,products!$A$1:$G$1,0))</f>
        <v>L</v>
      </c>
      <c r="J330" s="5">
        <f>INDEX(products!$A$1:$G$49,MATCH(orders!$D330,products!$A$1:$A$49,0),MATCH(orders!J$1,products!$A$1:$G$1,0))</f>
        <v>0.5</v>
      </c>
      <c r="K330" s="6">
        <f>INDEX(products!$A$1:$G$49,MATCH(orders!$D330,products!$A$1:$A$49,0),MATCH(orders!K$1,products!$A$1:$G$1,0))</f>
        <v>9.51</v>
      </c>
      <c r="L330" s="6">
        <f>K330*E330</f>
        <v>38.04</v>
      </c>
      <c r="M330" t="str" cm="1">
        <f t="array" ref="M330">_xlfn.IFS(H330="Rob","Robusta",H330="Exc","Excelsa",H330="Ara","Arabica",H330="Lib","Liberica")</f>
        <v>Liberica</v>
      </c>
      <c r="N330" t="str" cm="1">
        <f t="array" ref="N330">_xlfn.IFS(I330="M","Medium",I330="L","Light",I330="D","Dark")</f>
        <v>Light</v>
      </c>
      <c r="O330" t="str">
        <f>_xlfn.XLOOKUP(Orders[[#This Row],[Customer ID]],customers!$A$2:$A$1001,customers!$I$2:$I$1001,,0)</f>
        <v>Yes</v>
      </c>
    </row>
    <row r="331" spans="1:15" x14ac:dyDescent="0.3">
      <c r="A331" s="2" t="s">
        <v>2346</v>
      </c>
      <c r="B331" s="3">
        <v>44781</v>
      </c>
      <c r="C331" s="2" t="s">
        <v>2347</v>
      </c>
      <c r="D331" t="s">
        <v>6172</v>
      </c>
      <c r="E331" s="2">
        <v>4</v>
      </c>
      <c r="F331" s="2" t="str">
        <f>_xlfn.XLOOKUP(C331,customers!$A$2:$A$1001,customers!$B$2:$B$1001,,0)</f>
        <v>Lisa Goodger</v>
      </c>
      <c r="G331" s="2" t="str">
        <f>_xlfn.XLOOKUP(C331,customers!$A$2:$A$1001,customers!$G$2:$G$1001,,0)</f>
        <v>United States</v>
      </c>
      <c r="H331" t="str">
        <f>INDEX(products!$A$1:$G$49,MATCH(orders!$D331,products!$A$1:$A$49,0),MATCH(orders!H$1,products!$A$1:$G$1,0))</f>
        <v>Rob</v>
      </c>
      <c r="I331" t="str">
        <f>INDEX(products!$A$1:$G$49,MATCH(orders!$D331,products!$A$1:$A$49,0),MATCH(orders!I$1,products!$A$1:$G$1,0))</f>
        <v>D</v>
      </c>
      <c r="J331" s="5">
        <f>INDEX(products!$A$1:$G$49,MATCH(orders!$D331,products!$A$1:$A$49,0),MATCH(orders!J$1,products!$A$1:$G$1,0))</f>
        <v>0.5</v>
      </c>
      <c r="K331" s="6">
        <f>INDEX(products!$A$1:$G$49,MATCH(orders!$D331,products!$A$1:$A$49,0),MATCH(orders!K$1,products!$A$1:$G$1,0))</f>
        <v>5.3699999999999992</v>
      </c>
      <c r="L331" s="6">
        <f>K331*E331</f>
        <v>21.479999999999997</v>
      </c>
      <c r="M331" t="str" cm="1">
        <f t="array" ref="M331">_xlfn.IFS(H331="Rob","Robusta",H331="Exc","Excelsa",H331="Ara","Arabica",H331="Lib","Liberica")</f>
        <v>Robusta</v>
      </c>
      <c r="N331" t="str" cm="1">
        <f t="array" ref="N331">_xlfn.IFS(I331="M","Medium",I331="L","Light",I331="D","Dark")</f>
        <v>Dark</v>
      </c>
      <c r="O331" t="str">
        <f>_xlfn.XLOOKUP(Orders[[#This Row],[Customer ID]],customers!$A$2:$A$1001,customers!$I$2:$I$1001,,0)</f>
        <v>Yes</v>
      </c>
    </row>
    <row r="332" spans="1:15" x14ac:dyDescent="0.3">
      <c r="A332" s="2" t="s">
        <v>2351</v>
      </c>
      <c r="B332" s="3">
        <v>43782</v>
      </c>
      <c r="C332" s="2" t="s">
        <v>2280</v>
      </c>
      <c r="D332" t="s">
        <v>6172</v>
      </c>
      <c r="E332" s="2">
        <v>3</v>
      </c>
      <c r="F332" s="2" t="str">
        <f>_xlfn.XLOOKUP(C332,customers!$A$2:$A$1001,customers!$B$2:$B$1001,,0)</f>
        <v>Selma McMillian</v>
      </c>
      <c r="G332" s="2" t="str">
        <f>_xlfn.XLOOKUP(C332,customers!$A$2:$A$1001,customers!$G$2:$G$1001,,0)</f>
        <v>United States</v>
      </c>
      <c r="H332" t="str">
        <f>INDEX(products!$A$1:$G$49,MATCH(orders!$D332,products!$A$1:$A$49,0),MATCH(orders!H$1,products!$A$1:$G$1,0))</f>
        <v>Rob</v>
      </c>
      <c r="I332" t="str">
        <f>INDEX(products!$A$1:$G$49,MATCH(orders!$D332,products!$A$1:$A$49,0),MATCH(orders!I$1,products!$A$1:$G$1,0))</f>
        <v>D</v>
      </c>
      <c r="J332" s="5">
        <f>INDEX(products!$A$1:$G$49,MATCH(orders!$D332,products!$A$1:$A$49,0),MATCH(orders!J$1,products!$A$1:$G$1,0))</f>
        <v>0.5</v>
      </c>
      <c r="K332" s="6">
        <f>INDEX(products!$A$1:$G$49,MATCH(orders!$D332,products!$A$1:$A$49,0),MATCH(orders!K$1,products!$A$1:$G$1,0))</f>
        <v>5.3699999999999992</v>
      </c>
      <c r="L332" s="6">
        <f>K332*E332</f>
        <v>16.11</v>
      </c>
      <c r="M332" t="str" cm="1">
        <f t="array" ref="M332">_xlfn.IFS(H332="Rob","Robusta",H332="Exc","Excelsa",H332="Ara","Arabica",H332="Lib","Liberica")</f>
        <v>Robusta</v>
      </c>
      <c r="N332" t="str" cm="1">
        <f t="array" ref="N332">_xlfn.IFS(I332="M","Medium",I332="L","Light",I332="D","Dark")</f>
        <v>Dark</v>
      </c>
      <c r="O332" t="str">
        <f>_xlfn.XLOOKUP(Orders[[#This Row],[Customer ID]],customers!$A$2:$A$1001,customers!$I$2:$I$1001,,0)</f>
        <v>No</v>
      </c>
    </row>
    <row r="333" spans="1:15" x14ac:dyDescent="0.3">
      <c r="A333" s="2" t="s">
        <v>2357</v>
      </c>
      <c r="B333" s="3">
        <v>43989</v>
      </c>
      <c r="C333" s="2" t="s">
        <v>2358</v>
      </c>
      <c r="D333" t="s">
        <v>6151</v>
      </c>
      <c r="E333" s="2">
        <v>1</v>
      </c>
      <c r="F333" s="2" t="str">
        <f>_xlfn.XLOOKUP(C333,customers!$A$2:$A$1001,customers!$B$2:$B$1001,,0)</f>
        <v>Corine Drewett</v>
      </c>
      <c r="G333" s="2" t="str">
        <f>_xlfn.XLOOKUP(C333,customers!$A$2:$A$1001,customers!$G$2:$G$1001,,0)</f>
        <v>United States</v>
      </c>
      <c r="H333" t="str">
        <f>INDEX(products!$A$1:$G$49,MATCH(orders!$D333,products!$A$1:$A$49,0),MATCH(orders!H$1,products!$A$1:$G$1,0))</f>
        <v>Rob</v>
      </c>
      <c r="I333" t="str">
        <f>INDEX(products!$A$1:$G$49,MATCH(orders!$D333,products!$A$1:$A$49,0),MATCH(orders!I$1,products!$A$1:$G$1,0))</f>
        <v>M</v>
      </c>
      <c r="J333" s="5">
        <f>INDEX(products!$A$1:$G$49,MATCH(orders!$D333,products!$A$1:$A$49,0),MATCH(orders!J$1,products!$A$1:$G$1,0))</f>
        <v>2.5</v>
      </c>
      <c r="K333" s="6">
        <f>INDEX(products!$A$1:$G$49,MATCH(orders!$D333,products!$A$1:$A$49,0),MATCH(orders!K$1,products!$A$1:$G$1,0))</f>
        <v>22.884999999999998</v>
      </c>
      <c r="L333" s="6">
        <f>K333*E333</f>
        <v>22.884999999999998</v>
      </c>
      <c r="M333" t="str" cm="1">
        <f t="array" ref="M333">_xlfn.IFS(H333="Rob","Robusta",H333="Exc","Excelsa",H333="Ara","Arabica",H333="Lib","Liberica")</f>
        <v>Robusta</v>
      </c>
      <c r="N333" t="str" cm="1">
        <f t="array" ref="N333">_xlfn.IFS(I333="M","Medium",I333="L","Light",I333="D","Dark")</f>
        <v>Medium</v>
      </c>
      <c r="O333" t="str">
        <f>_xlfn.XLOOKUP(Orders[[#This Row],[Customer ID]],customers!$A$2:$A$1001,customers!$I$2:$I$1001,,0)</f>
        <v>Yes</v>
      </c>
    </row>
    <row r="334" spans="1:15" x14ac:dyDescent="0.3">
      <c r="A334" s="2" t="s">
        <v>2363</v>
      </c>
      <c r="B334" s="3">
        <v>43689</v>
      </c>
      <c r="C334" s="2" t="s">
        <v>2364</v>
      </c>
      <c r="D334" t="s">
        <v>6158</v>
      </c>
      <c r="E334" s="2">
        <v>3</v>
      </c>
      <c r="F334" s="2" t="str">
        <f>_xlfn.XLOOKUP(C334,customers!$A$2:$A$1001,customers!$B$2:$B$1001,,0)</f>
        <v>Quinn Parsons</v>
      </c>
      <c r="G334" s="2" t="str">
        <f>_xlfn.XLOOKUP(C334,customers!$A$2:$A$1001,customers!$G$2:$G$1001,,0)</f>
        <v>United States</v>
      </c>
      <c r="H334" t="str">
        <f>INDEX(products!$A$1:$G$49,MATCH(orders!$D334,products!$A$1:$A$49,0),MATCH(orders!H$1,products!$A$1:$G$1,0))</f>
        <v>Ara</v>
      </c>
      <c r="I334" t="str">
        <f>INDEX(products!$A$1:$G$49,MATCH(orders!$D334,products!$A$1:$A$49,0),MATCH(orders!I$1,products!$A$1:$G$1,0))</f>
        <v>D</v>
      </c>
      <c r="J334" s="5">
        <f>INDEX(products!$A$1:$G$49,MATCH(orders!$D334,products!$A$1:$A$49,0),MATCH(orders!J$1,products!$A$1:$G$1,0))</f>
        <v>0.5</v>
      </c>
      <c r="K334" s="6">
        <f>INDEX(products!$A$1:$G$49,MATCH(orders!$D334,products!$A$1:$A$49,0),MATCH(orders!K$1,products!$A$1:$G$1,0))</f>
        <v>5.97</v>
      </c>
      <c r="L334" s="6">
        <f>K334*E334</f>
        <v>17.91</v>
      </c>
      <c r="M334" t="str" cm="1">
        <f t="array" ref="M334">_xlfn.IFS(H334="Rob","Robusta",H334="Exc","Excelsa",H334="Ara","Arabica",H334="Lib","Liberica")</f>
        <v>Arabica</v>
      </c>
      <c r="N334" t="str" cm="1">
        <f t="array" ref="N334">_xlfn.IFS(I334="M","Medium",I334="L","Light",I334="D","Dark")</f>
        <v>Dark</v>
      </c>
      <c r="O334" t="str">
        <f>_xlfn.XLOOKUP(Orders[[#This Row],[Customer ID]],customers!$A$2:$A$1001,customers!$I$2:$I$1001,,0)</f>
        <v>Yes</v>
      </c>
    </row>
    <row r="335" spans="1:15" x14ac:dyDescent="0.3">
      <c r="A335" s="2" t="s">
        <v>2369</v>
      </c>
      <c r="B335" s="3">
        <v>43712</v>
      </c>
      <c r="C335" s="2" t="s">
        <v>2370</v>
      </c>
      <c r="D335" t="s">
        <v>6146</v>
      </c>
      <c r="E335" s="2">
        <v>4</v>
      </c>
      <c r="F335" s="2" t="str">
        <f>_xlfn.XLOOKUP(C335,customers!$A$2:$A$1001,customers!$B$2:$B$1001,,0)</f>
        <v>Vivyan Ceely</v>
      </c>
      <c r="G335" s="2" t="str">
        <f>_xlfn.XLOOKUP(C335,customers!$A$2:$A$1001,customers!$G$2:$G$1001,,0)</f>
        <v>United States</v>
      </c>
      <c r="H335" t="str">
        <f>INDEX(products!$A$1:$G$49,MATCH(orders!$D335,products!$A$1:$A$49,0),MATCH(orders!H$1,products!$A$1:$G$1,0))</f>
        <v>Rob</v>
      </c>
      <c r="I335" t="str">
        <f>INDEX(products!$A$1:$G$49,MATCH(orders!$D335,products!$A$1:$A$49,0),MATCH(orders!I$1,products!$A$1:$G$1,0))</f>
        <v>M</v>
      </c>
      <c r="J335" s="5">
        <f>INDEX(products!$A$1:$G$49,MATCH(orders!$D335,products!$A$1:$A$49,0),MATCH(orders!J$1,products!$A$1:$G$1,0))</f>
        <v>0.5</v>
      </c>
      <c r="K335" s="6">
        <f>INDEX(products!$A$1:$G$49,MATCH(orders!$D335,products!$A$1:$A$49,0),MATCH(orders!K$1,products!$A$1:$G$1,0))</f>
        <v>5.97</v>
      </c>
      <c r="L335" s="6">
        <f>K335*E335</f>
        <v>23.88</v>
      </c>
      <c r="M335" t="str" cm="1">
        <f t="array" ref="M335">_xlfn.IFS(H335="Rob","Robusta",H335="Exc","Excelsa",H335="Ara","Arabica",H335="Lib","Liberica")</f>
        <v>Robusta</v>
      </c>
      <c r="N335" t="str" cm="1">
        <f t="array" ref="N335">_xlfn.IFS(I335="M","Medium",I335="L","Light",I335="D","Dark")</f>
        <v>Medium</v>
      </c>
      <c r="O335" t="str">
        <f>_xlfn.XLOOKUP(Orders[[#This Row],[Customer ID]],customers!$A$2:$A$1001,customers!$I$2:$I$1001,,0)</f>
        <v>Yes</v>
      </c>
    </row>
    <row r="336" spans="1:15" x14ac:dyDescent="0.3">
      <c r="A336" s="2" t="s">
        <v>2375</v>
      </c>
      <c r="B336" s="3">
        <v>43742</v>
      </c>
      <c r="C336" s="2" t="s">
        <v>2376</v>
      </c>
      <c r="D336" t="s">
        <v>6179</v>
      </c>
      <c r="E336" s="2">
        <v>5</v>
      </c>
      <c r="F336" s="2" t="str">
        <f>_xlfn.XLOOKUP(C336,customers!$A$2:$A$1001,customers!$B$2:$B$1001,,0)</f>
        <v>Elonore Goodings</v>
      </c>
      <c r="G336" s="2" t="str">
        <f>_xlfn.XLOOKUP(C336,customers!$A$2:$A$1001,customers!$G$2:$G$1001,,0)</f>
        <v>United States</v>
      </c>
      <c r="H336" t="str">
        <f>INDEX(products!$A$1:$G$49,MATCH(orders!$D336,products!$A$1:$A$49,0),MATCH(orders!H$1,products!$A$1:$G$1,0))</f>
        <v>Rob</v>
      </c>
      <c r="I336" t="str">
        <f>INDEX(products!$A$1:$G$49,MATCH(orders!$D336,products!$A$1:$A$49,0),MATCH(orders!I$1,products!$A$1:$G$1,0))</f>
        <v>L</v>
      </c>
      <c r="J336" s="5">
        <f>INDEX(products!$A$1:$G$49,MATCH(orders!$D336,products!$A$1:$A$49,0),MATCH(orders!J$1,products!$A$1:$G$1,0))</f>
        <v>1</v>
      </c>
      <c r="K336" s="6">
        <f>INDEX(products!$A$1:$G$49,MATCH(orders!$D336,products!$A$1:$A$49,0),MATCH(orders!K$1,products!$A$1:$G$1,0))</f>
        <v>11.95</v>
      </c>
      <c r="L336" s="6">
        <f>K336*E336</f>
        <v>59.75</v>
      </c>
      <c r="M336" t="str" cm="1">
        <f t="array" ref="M336">_xlfn.IFS(H336="Rob","Robusta",H336="Exc","Excelsa",H336="Ara","Arabica",H336="Lib","Liberica")</f>
        <v>Robusta</v>
      </c>
      <c r="N336" t="str" cm="1">
        <f t="array" ref="N336">_xlfn.IFS(I336="M","Medium",I336="L","Light",I336="D","Dark")</f>
        <v>Light</v>
      </c>
      <c r="O336" t="str">
        <f>_xlfn.XLOOKUP(Orders[[#This Row],[Customer ID]],customers!$A$2:$A$1001,customers!$I$2:$I$1001,,0)</f>
        <v>No</v>
      </c>
    </row>
    <row r="337" spans="1:15" x14ac:dyDescent="0.3">
      <c r="A337" s="2" t="s">
        <v>2379</v>
      </c>
      <c r="B337" s="3">
        <v>43885</v>
      </c>
      <c r="C337" s="2" t="s">
        <v>2380</v>
      </c>
      <c r="D337" t="s">
        <v>6145</v>
      </c>
      <c r="E337" s="2">
        <v>6</v>
      </c>
      <c r="F337" s="2" t="str">
        <f>_xlfn.XLOOKUP(C337,customers!$A$2:$A$1001,customers!$B$2:$B$1001,,0)</f>
        <v>Clement Vasiliev</v>
      </c>
      <c r="G337" s="2" t="str">
        <f>_xlfn.XLOOKUP(C337,customers!$A$2:$A$1001,customers!$G$2:$G$1001,,0)</f>
        <v>United States</v>
      </c>
      <c r="H337" t="str">
        <f>INDEX(products!$A$1:$G$49,MATCH(orders!$D337,products!$A$1:$A$49,0),MATCH(orders!H$1,products!$A$1:$G$1,0))</f>
        <v>Lib</v>
      </c>
      <c r="I337" t="str">
        <f>INDEX(products!$A$1:$G$49,MATCH(orders!$D337,products!$A$1:$A$49,0),MATCH(orders!I$1,products!$A$1:$G$1,0))</f>
        <v>L</v>
      </c>
      <c r="J337" s="5">
        <f>INDEX(products!$A$1:$G$49,MATCH(orders!$D337,products!$A$1:$A$49,0),MATCH(orders!J$1,products!$A$1:$G$1,0))</f>
        <v>0.2</v>
      </c>
      <c r="K337" s="6">
        <f>INDEX(products!$A$1:$G$49,MATCH(orders!$D337,products!$A$1:$A$49,0),MATCH(orders!K$1,products!$A$1:$G$1,0))</f>
        <v>4.7549999999999999</v>
      </c>
      <c r="L337" s="6">
        <f>K337*E337</f>
        <v>28.53</v>
      </c>
      <c r="M337" t="str" cm="1">
        <f t="array" ref="M337">_xlfn.IFS(H337="Rob","Robusta",H337="Exc","Excelsa",H337="Ara","Arabica",H337="Lib","Liberica")</f>
        <v>Liberica</v>
      </c>
      <c r="N337" t="str" cm="1">
        <f t="array" ref="N337">_xlfn.IFS(I337="M","Medium",I337="L","Light",I337="D","Dark")</f>
        <v>Light</v>
      </c>
      <c r="O337" t="str">
        <f>_xlfn.XLOOKUP(Orders[[#This Row],[Customer ID]],customers!$A$2:$A$1001,customers!$I$2:$I$1001,,0)</f>
        <v>Yes</v>
      </c>
    </row>
    <row r="338" spans="1:15" x14ac:dyDescent="0.3">
      <c r="A338" s="2" t="s">
        <v>2385</v>
      </c>
      <c r="B338" s="3">
        <v>44434</v>
      </c>
      <c r="C338" s="2" t="s">
        <v>2386</v>
      </c>
      <c r="D338" t="s">
        <v>6155</v>
      </c>
      <c r="E338" s="2">
        <v>4</v>
      </c>
      <c r="F338" s="2" t="str">
        <f>_xlfn.XLOOKUP(C338,customers!$A$2:$A$1001,customers!$B$2:$B$1001,,0)</f>
        <v>Terencio O'Moylan</v>
      </c>
      <c r="G338" s="2" t="str">
        <f>_xlfn.XLOOKUP(C338,customers!$A$2:$A$1001,customers!$G$2:$G$1001,,0)</f>
        <v>United Kingdom</v>
      </c>
      <c r="H338" t="str">
        <f>INDEX(products!$A$1:$G$49,MATCH(orders!$D338,products!$A$1:$A$49,0),MATCH(orders!H$1,products!$A$1:$G$1,0))</f>
        <v>Ara</v>
      </c>
      <c r="I338" t="str">
        <f>INDEX(products!$A$1:$G$49,MATCH(orders!$D338,products!$A$1:$A$49,0),MATCH(orders!I$1,products!$A$1:$G$1,0))</f>
        <v>M</v>
      </c>
      <c r="J338" s="5">
        <f>INDEX(products!$A$1:$G$49,MATCH(orders!$D338,products!$A$1:$A$49,0),MATCH(orders!J$1,products!$A$1:$G$1,0))</f>
        <v>1</v>
      </c>
      <c r="K338" s="6">
        <f>INDEX(products!$A$1:$G$49,MATCH(orders!$D338,products!$A$1:$A$49,0),MATCH(orders!K$1,products!$A$1:$G$1,0))</f>
        <v>11.25</v>
      </c>
      <c r="L338" s="6">
        <f>K338*E338</f>
        <v>45</v>
      </c>
      <c r="M338" t="str" cm="1">
        <f t="array" ref="M338">_xlfn.IFS(H338="Rob","Robusta",H338="Exc","Excelsa",H338="Ara","Arabica",H338="Lib","Liberica")</f>
        <v>Arabica</v>
      </c>
      <c r="N338" t="str" cm="1">
        <f t="array" ref="N338">_xlfn.IFS(I338="M","Medium",I338="L","Light",I338="D","Dark")</f>
        <v>Medium</v>
      </c>
      <c r="O338" t="str">
        <f>_xlfn.XLOOKUP(Orders[[#This Row],[Customer ID]],customers!$A$2:$A$1001,customers!$I$2:$I$1001,,0)</f>
        <v>No</v>
      </c>
    </row>
    <row r="339" spans="1:15" x14ac:dyDescent="0.3">
      <c r="A339" s="2" t="s">
        <v>2391</v>
      </c>
      <c r="B339" s="3">
        <v>44472</v>
      </c>
      <c r="C339" s="2" t="s">
        <v>2331</v>
      </c>
      <c r="D339" t="s">
        <v>6185</v>
      </c>
      <c r="E339" s="2">
        <v>2</v>
      </c>
      <c r="F339" s="2" t="str">
        <f>_xlfn.XLOOKUP(C339,customers!$A$2:$A$1001,customers!$B$2:$B$1001,,0)</f>
        <v>Flynn Antony</v>
      </c>
      <c r="G339" s="2" t="str">
        <f>_xlfn.XLOOKUP(C339,customers!$A$2:$A$1001,customers!$G$2:$G$1001,,0)</f>
        <v>United States</v>
      </c>
      <c r="H339" t="str">
        <f>INDEX(products!$A$1:$G$49,MATCH(orders!$D339,products!$A$1:$A$49,0),MATCH(orders!H$1,products!$A$1:$G$1,0))</f>
        <v>Exc</v>
      </c>
      <c r="I339" t="str">
        <f>INDEX(products!$A$1:$G$49,MATCH(orders!$D339,products!$A$1:$A$49,0),MATCH(orders!I$1,products!$A$1:$G$1,0))</f>
        <v>D</v>
      </c>
      <c r="J339" s="5">
        <f>INDEX(products!$A$1:$G$49,MATCH(orders!$D339,products!$A$1:$A$49,0),MATCH(orders!J$1,products!$A$1:$G$1,0))</f>
        <v>2.5</v>
      </c>
      <c r="K339" s="6">
        <f>INDEX(products!$A$1:$G$49,MATCH(orders!$D339,products!$A$1:$A$49,0),MATCH(orders!K$1,products!$A$1:$G$1,0))</f>
        <v>27.945</v>
      </c>
      <c r="L339" s="6">
        <f>K339*E339</f>
        <v>55.89</v>
      </c>
      <c r="M339" t="str" cm="1">
        <f t="array" ref="M339">_xlfn.IFS(H339="Rob","Robusta",H339="Exc","Excelsa",H339="Ara","Arabica",H339="Lib","Liberica")</f>
        <v>Excelsa</v>
      </c>
      <c r="N339" t="str" cm="1">
        <f t="array" ref="N339">_xlfn.IFS(I339="M","Medium",I339="L","Light",I339="D","Dark")</f>
        <v>Dark</v>
      </c>
      <c r="O339" t="str">
        <f>_xlfn.XLOOKUP(Orders[[#This Row],[Customer ID]],customers!$A$2:$A$1001,customers!$I$2:$I$1001,,0)</f>
        <v>No</v>
      </c>
    </row>
    <row r="340" spans="1:15" x14ac:dyDescent="0.3">
      <c r="A340" s="2" t="s">
        <v>2396</v>
      </c>
      <c r="B340" s="3">
        <v>43995</v>
      </c>
      <c r="C340" s="2" t="s">
        <v>2397</v>
      </c>
      <c r="D340" t="s">
        <v>6171</v>
      </c>
      <c r="E340" s="2">
        <v>4</v>
      </c>
      <c r="F340" s="2" t="str">
        <f>_xlfn.XLOOKUP(C340,customers!$A$2:$A$1001,customers!$B$2:$B$1001,,0)</f>
        <v>Wyatan Fetherston</v>
      </c>
      <c r="G340" s="2" t="str">
        <f>_xlfn.XLOOKUP(C340,customers!$A$2:$A$1001,customers!$G$2:$G$1001,,0)</f>
        <v>United States</v>
      </c>
      <c r="H340" t="str">
        <f>INDEX(products!$A$1:$G$49,MATCH(orders!$D340,products!$A$1:$A$49,0),MATCH(orders!H$1,products!$A$1:$G$1,0))</f>
        <v>Exc</v>
      </c>
      <c r="I340" t="str">
        <f>INDEX(products!$A$1:$G$49,MATCH(orders!$D340,products!$A$1:$A$49,0),MATCH(orders!I$1,products!$A$1:$G$1,0))</f>
        <v>L</v>
      </c>
      <c r="J340" s="5">
        <f>INDEX(products!$A$1:$G$49,MATCH(orders!$D340,products!$A$1:$A$49,0),MATCH(orders!J$1,products!$A$1:$G$1,0))</f>
        <v>1</v>
      </c>
      <c r="K340" s="6">
        <f>INDEX(products!$A$1:$G$49,MATCH(orders!$D340,products!$A$1:$A$49,0),MATCH(orders!K$1,products!$A$1:$G$1,0))</f>
        <v>14.85</v>
      </c>
      <c r="L340" s="6">
        <f>K340*E340</f>
        <v>59.4</v>
      </c>
      <c r="M340" t="str" cm="1">
        <f t="array" ref="M340">_xlfn.IFS(H340="Rob","Robusta",H340="Exc","Excelsa",H340="Ara","Arabica",H340="Lib","Liberica")</f>
        <v>Excelsa</v>
      </c>
      <c r="N340" t="str" cm="1">
        <f t="array" ref="N340">_xlfn.IFS(I340="M","Medium",I340="L","Light",I340="D","Dark")</f>
        <v>Light</v>
      </c>
      <c r="O340" t="str">
        <f>_xlfn.XLOOKUP(Orders[[#This Row],[Customer ID]],customers!$A$2:$A$1001,customers!$I$2:$I$1001,,0)</f>
        <v>No</v>
      </c>
    </row>
    <row r="341" spans="1:15" x14ac:dyDescent="0.3">
      <c r="A341" s="2" t="s">
        <v>2402</v>
      </c>
      <c r="B341" s="3">
        <v>44256</v>
      </c>
      <c r="C341" s="2" t="s">
        <v>2403</v>
      </c>
      <c r="D341" t="s">
        <v>6153</v>
      </c>
      <c r="E341" s="2">
        <v>2</v>
      </c>
      <c r="F341" s="2" t="str">
        <f>_xlfn.XLOOKUP(C341,customers!$A$2:$A$1001,customers!$B$2:$B$1001,,0)</f>
        <v>Emmaline Rasmus</v>
      </c>
      <c r="G341" s="2" t="str">
        <f>_xlfn.XLOOKUP(C341,customers!$A$2:$A$1001,customers!$G$2:$G$1001,,0)</f>
        <v>United States</v>
      </c>
      <c r="H341" t="str">
        <f>INDEX(products!$A$1:$G$49,MATCH(orders!$D341,products!$A$1:$A$49,0),MATCH(orders!H$1,products!$A$1:$G$1,0))</f>
        <v>Exc</v>
      </c>
      <c r="I341" t="str">
        <f>INDEX(products!$A$1:$G$49,MATCH(orders!$D341,products!$A$1:$A$49,0),MATCH(orders!I$1,products!$A$1:$G$1,0))</f>
        <v>D</v>
      </c>
      <c r="J341" s="5">
        <f>INDEX(products!$A$1:$G$49,MATCH(orders!$D341,products!$A$1:$A$49,0),MATCH(orders!J$1,products!$A$1:$G$1,0))</f>
        <v>0.2</v>
      </c>
      <c r="K341" s="6">
        <f>INDEX(products!$A$1:$G$49,MATCH(orders!$D341,products!$A$1:$A$49,0),MATCH(orders!K$1,products!$A$1:$G$1,0))</f>
        <v>3.645</v>
      </c>
      <c r="L341" s="6">
        <f>K341*E341</f>
        <v>7.29</v>
      </c>
      <c r="M341" t="str" cm="1">
        <f t="array" ref="M341">_xlfn.IFS(H341="Rob","Robusta",H341="Exc","Excelsa",H341="Ara","Arabica",H341="Lib","Liberica")</f>
        <v>Excelsa</v>
      </c>
      <c r="N341" t="str" cm="1">
        <f t="array" ref="N341">_xlfn.IFS(I341="M","Medium",I341="L","Light",I341="D","Dark")</f>
        <v>Dark</v>
      </c>
      <c r="O341" t="str">
        <f>_xlfn.XLOOKUP(Orders[[#This Row],[Customer ID]],customers!$A$2:$A$1001,customers!$I$2:$I$1001,,0)</f>
        <v>Yes</v>
      </c>
    </row>
    <row r="342" spans="1:15" x14ac:dyDescent="0.3">
      <c r="A342" s="2" t="s">
        <v>2408</v>
      </c>
      <c r="B342" s="3">
        <v>43528</v>
      </c>
      <c r="C342" s="2" t="s">
        <v>2409</v>
      </c>
      <c r="D342" t="s">
        <v>6144</v>
      </c>
      <c r="E342" s="2">
        <v>1</v>
      </c>
      <c r="F342" s="2" t="str">
        <f>_xlfn.XLOOKUP(C342,customers!$A$2:$A$1001,customers!$B$2:$B$1001,,0)</f>
        <v>Wesley Giorgioni</v>
      </c>
      <c r="G342" s="2" t="str">
        <f>_xlfn.XLOOKUP(C342,customers!$A$2:$A$1001,customers!$G$2:$G$1001,,0)</f>
        <v>United States</v>
      </c>
      <c r="H342" t="str">
        <f>INDEX(products!$A$1:$G$49,MATCH(orders!$D342,products!$A$1:$A$49,0),MATCH(orders!H$1,products!$A$1:$G$1,0))</f>
        <v>Exc</v>
      </c>
      <c r="I342" t="str">
        <f>INDEX(products!$A$1:$G$49,MATCH(orders!$D342,products!$A$1:$A$49,0),MATCH(orders!I$1,products!$A$1:$G$1,0))</f>
        <v>D</v>
      </c>
      <c r="J342" s="5">
        <f>INDEX(products!$A$1:$G$49,MATCH(orders!$D342,products!$A$1:$A$49,0),MATCH(orders!J$1,products!$A$1:$G$1,0))</f>
        <v>0.5</v>
      </c>
      <c r="K342" s="6">
        <f>INDEX(products!$A$1:$G$49,MATCH(orders!$D342,products!$A$1:$A$49,0),MATCH(orders!K$1,products!$A$1:$G$1,0))</f>
        <v>7.29</v>
      </c>
      <c r="L342" s="6">
        <f>K342*E342</f>
        <v>7.29</v>
      </c>
      <c r="M342" t="str" cm="1">
        <f t="array" ref="M342">_xlfn.IFS(H342="Rob","Robusta",H342="Exc","Excelsa",H342="Ara","Arabica",H342="Lib","Liberica")</f>
        <v>Excelsa</v>
      </c>
      <c r="N342" t="str" cm="1">
        <f t="array" ref="N342">_xlfn.IFS(I342="M","Medium",I342="L","Light",I342="D","Dark")</f>
        <v>Dark</v>
      </c>
      <c r="O342" t="str">
        <f>_xlfn.XLOOKUP(Orders[[#This Row],[Customer ID]],customers!$A$2:$A$1001,customers!$I$2:$I$1001,,0)</f>
        <v>Yes</v>
      </c>
    </row>
    <row r="343" spans="1:15" x14ac:dyDescent="0.3">
      <c r="A343" s="2" t="s">
        <v>2414</v>
      </c>
      <c r="B343" s="3">
        <v>43751</v>
      </c>
      <c r="C343" s="2" t="s">
        <v>2415</v>
      </c>
      <c r="D343" t="s">
        <v>6176</v>
      </c>
      <c r="E343" s="2">
        <v>2</v>
      </c>
      <c r="F343" s="2" t="str">
        <f>_xlfn.XLOOKUP(C343,customers!$A$2:$A$1001,customers!$B$2:$B$1001,,0)</f>
        <v>Lucienne Scargle</v>
      </c>
      <c r="G343" s="2" t="str">
        <f>_xlfn.XLOOKUP(C343,customers!$A$2:$A$1001,customers!$G$2:$G$1001,,0)</f>
        <v>United States</v>
      </c>
      <c r="H343" t="str">
        <f>INDEX(products!$A$1:$G$49,MATCH(orders!$D343,products!$A$1:$A$49,0),MATCH(orders!H$1,products!$A$1:$G$1,0))</f>
        <v>Exc</v>
      </c>
      <c r="I343" t="str">
        <f>INDEX(products!$A$1:$G$49,MATCH(orders!$D343,products!$A$1:$A$49,0),MATCH(orders!I$1,products!$A$1:$G$1,0))</f>
        <v>L</v>
      </c>
      <c r="J343" s="5">
        <f>INDEX(products!$A$1:$G$49,MATCH(orders!$D343,products!$A$1:$A$49,0),MATCH(orders!J$1,products!$A$1:$G$1,0))</f>
        <v>0.5</v>
      </c>
      <c r="K343" s="6">
        <f>INDEX(products!$A$1:$G$49,MATCH(orders!$D343,products!$A$1:$A$49,0),MATCH(orders!K$1,products!$A$1:$G$1,0))</f>
        <v>8.91</v>
      </c>
      <c r="L343" s="6">
        <f>K343*E343</f>
        <v>17.82</v>
      </c>
      <c r="M343" t="str" cm="1">
        <f t="array" ref="M343">_xlfn.IFS(H343="Rob","Robusta",H343="Exc","Excelsa",H343="Ara","Arabica",H343="Lib","Liberica")</f>
        <v>Excelsa</v>
      </c>
      <c r="N343" t="str" cm="1">
        <f t="array" ref="N343">_xlfn.IFS(I343="M","Medium",I343="L","Light",I343="D","Dark")</f>
        <v>Light</v>
      </c>
      <c r="O343" t="str">
        <f>_xlfn.XLOOKUP(Orders[[#This Row],[Customer ID]],customers!$A$2:$A$1001,customers!$I$2:$I$1001,,0)</f>
        <v>No</v>
      </c>
    </row>
    <row r="344" spans="1:15" x14ac:dyDescent="0.3">
      <c r="A344" s="2" t="s">
        <v>2414</v>
      </c>
      <c r="B344" s="3">
        <v>43751</v>
      </c>
      <c r="C344" s="2" t="s">
        <v>2415</v>
      </c>
      <c r="D344" t="s">
        <v>6169</v>
      </c>
      <c r="E344" s="2">
        <v>5</v>
      </c>
      <c r="F344" s="2" t="str">
        <f>_xlfn.XLOOKUP(C344,customers!$A$2:$A$1001,customers!$B$2:$B$1001,,0)</f>
        <v>Lucienne Scargle</v>
      </c>
      <c r="G344" s="2" t="str">
        <f>_xlfn.XLOOKUP(C344,customers!$A$2:$A$1001,customers!$G$2:$G$1001,,0)</f>
        <v>United States</v>
      </c>
      <c r="H344" t="str">
        <f>INDEX(products!$A$1:$G$49,MATCH(orders!$D344,products!$A$1:$A$49,0),MATCH(orders!H$1,products!$A$1:$G$1,0))</f>
        <v>Lib</v>
      </c>
      <c r="I344" t="str">
        <f>INDEX(products!$A$1:$G$49,MATCH(orders!$D344,products!$A$1:$A$49,0),MATCH(orders!I$1,products!$A$1:$G$1,0))</f>
        <v>D</v>
      </c>
      <c r="J344" s="5">
        <f>INDEX(products!$A$1:$G$49,MATCH(orders!$D344,products!$A$1:$A$49,0),MATCH(orders!J$1,products!$A$1:$G$1,0))</f>
        <v>0.5</v>
      </c>
      <c r="K344" s="6">
        <f>INDEX(products!$A$1:$G$49,MATCH(orders!$D344,products!$A$1:$A$49,0),MATCH(orders!K$1,products!$A$1:$G$1,0))</f>
        <v>7.77</v>
      </c>
      <c r="L344" s="6">
        <f>K344*E344</f>
        <v>38.849999999999994</v>
      </c>
      <c r="M344" t="str" cm="1">
        <f t="array" ref="M344">_xlfn.IFS(H344="Rob","Robusta",H344="Exc","Excelsa",H344="Ara","Arabica",H344="Lib","Liberica")</f>
        <v>Liberica</v>
      </c>
      <c r="N344" t="str" cm="1">
        <f t="array" ref="N344">_xlfn.IFS(I344="M","Medium",I344="L","Light",I344="D","Dark")</f>
        <v>Dark</v>
      </c>
      <c r="O344" t="str">
        <f>_xlfn.XLOOKUP(Orders[[#This Row],[Customer ID]],customers!$A$2:$A$1001,customers!$I$2:$I$1001,,0)</f>
        <v>No</v>
      </c>
    </row>
    <row r="345" spans="1:15" x14ac:dyDescent="0.3">
      <c r="A345" s="2" t="s">
        <v>2424</v>
      </c>
      <c r="B345" s="3">
        <v>43692</v>
      </c>
      <c r="C345" s="2" t="s">
        <v>2425</v>
      </c>
      <c r="D345" t="s">
        <v>6172</v>
      </c>
      <c r="E345" s="2">
        <v>6</v>
      </c>
      <c r="F345" s="2" t="str">
        <f>_xlfn.XLOOKUP(C345,customers!$A$2:$A$1001,customers!$B$2:$B$1001,,0)</f>
        <v>Noam Climance</v>
      </c>
      <c r="G345" s="2" t="str">
        <f>_xlfn.XLOOKUP(C345,customers!$A$2:$A$1001,customers!$G$2:$G$1001,,0)</f>
        <v>United States</v>
      </c>
      <c r="H345" t="str">
        <f>INDEX(products!$A$1:$G$49,MATCH(orders!$D345,products!$A$1:$A$49,0),MATCH(orders!H$1,products!$A$1:$G$1,0))</f>
        <v>Rob</v>
      </c>
      <c r="I345" t="str">
        <f>INDEX(products!$A$1:$G$49,MATCH(orders!$D345,products!$A$1:$A$49,0),MATCH(orders!I$1,products!$A$1:$G$1,0))</f>
        <v>D</v>
      </c>
      <c r="J345" s="5">
        <f>INDEX(products!$A$1:$G$49,MATCH(orders!$D345,products!$A$1:$A$49,0),MATCH(orders!J$1,products!$A$1:$G$1,0))</f>
        <v>0.5</v>
      </c>
      <c r="K345" s="6">
        <f>INDEX(products!$A$1:$G$49,MATCH(orders!$D345,products!$A$1:$A$49,0),MATCH(orders!K$1,products!$A$1:$G$1,0))</f>
        <v>5.3699999999999992</v>
      </c>
      <c r="L345" s="6">
        <f>K345*E345</f>
        <v>32.22</v>
      </c>
      <c r="M345" t="str" cm="1">
        <f t="array" ref="M345">_xlfn.IFS(H345="Rob","Robusta",H345="Exc","Excelsa",H345="Ara","Arabica",H345="Lib","Liberica")</f>
        <v>Robusta</v>
      </c>
      <c r="N345" t="str" cm="1">
        <f t="array" ref="N345">_xlfn.IFS(I345="M","Medium",I345="L","Light",I345="D","Dark")</f>
        <v>Dark</v>
      </c>
      <c r="O345" t="str">
        <f>_xlfn.XLOOKUP(Orders[[#This Row],[Customer ID]],customers!$A$2:$A$1001,customers!$I$2:$I$1001,,0)</f>
        <v>No</v>
      </c>
    </row>
    <row r="346" spans="1:15" x14ac:dyDescent="0.3">
      <c r="A346" s="2" t="s">
        <v>2429</v>
      </c>
      <c r="B346" s="3">
        <v>44529</v>
      </c>
      <c r="C346" s="2" t="s">
        <v>2430</v>
      </c>
      <c r="D346" t="s">
        <v>6138</v>
      </c>
      <c r="E346" s="2">
        <v>2</v>
      </c>
      <c r="F346" s="2" t="str">
        <f>_xlfn.XLOOKUP(C346,customers!$A$2:$A$1001,customers!$B$2:$B$1001,,0)</f>
        <v>Catarina Donn</v>
      </c>
      <c r="G346" s="2" t="str">
        <f>_xlfn.XLOOKUP(C346,customers!$A$2:$A$1001,customers!$G$2:$G$1001,,0)</f>
        <v>Ireland</v>
      </c>
      <c r="H346" t="str">
        <f>INDEX(products!$A$1:$G$49,MATCH(orders!$D346,products!$A$1:$A$49,0),MATCH(orders!H$1,products!$A$1:$G$1,0))</f>
        <v>Rob</v>
      </c>
      <c r="I346" t="str">
        <f>INDEX(products!$A$1:$G$49,MATCH(orders!$D346,products!$A$1:$A$49,0),MATCH(orders!I$1,products!$A$1:$G$1,0))</f>
        <v>M</v>
      </c>
      <c r="J346" s="5">
        <f>INDEX(products!$A$1:$G$49,MATCH(orders!$D346,products!$A$1:$A$49,0),MATCH(orders!J$1,products!$A$1:$G$1,0))</f>
        <v>1</v>
      </c>
      <c r="K346" s="6">
        <f>INDEX(products!$A$1:$G$49,MATCH(orders!$D346,products!$A$1:$A$49,0),MATCH(orders!K$1,products!$A$1:$G$1,0))</f>
        <v>9.9499999999999993</v>
      </c>
      <c r="L346" s="6">
        <f>K346*E346</f>
        <v>19.899999999999999</v>
      </c>
      <c r="M346" t="str" cm="1">
        <f t="array" ref="M346">_xlfn.IFS(H346="Rob","Robusta",H346="Exc","Excelsa",H346="Ara","Arabica",H346="Lib","Liberica")</f>
        <v>Robusta</v>
      </c>
      <c r="N346" t="str" cm="1">
        <f t="array" ref="N346">_xlfn.IFS(I346="M","Medium",I346="L","Light",I346="D","Dark")</f>
        <v>Medium</v>
      </c>
      <c r="O346" t="str">
        <f>_xlfn.XLOOKUP(Orders[[#This Row],[Customer ID]],customers!$A$2:$A$1001,customers!$I$2:$I$1001,,0)</f>
        <v>Yes</v>
      </c>
    </row>
    <row r="347" spans="1:15" x14ac:dyDescent="0.3">
      <c r="A347" s="2" t="s">
        <v>2434</v>
      </c>
      <c r="B347" s="3">
        <v>43849</v>
      </c>
      <c r="C347" s="2" t="s">
        <v>2435</v>
      </c>
      <c r="D347" t="s">
        <v>6179</v>
      </c>
      <c r="E347" s="2">
        <v>5</v>
      </c>
      <c r="F347" s="2" t="str">
        <f>_xlfn.XLOOKUP(C347,customers!$A$2:$A$1001,customers!$B$2:$B$1001,,0)</f>
        <v>Ameline Snazle</v>
      </c>
      <c r="G347" s="2" t="str">
        <f>_xlfn.XLOOKUP(C347,customers!$A$2:$A$1001,customers!$G$2:$G$1001,,0)</f>
        <v>United States</v>
      </c>
      <c r="H347" t="str">
        <f>INDEX(products!$A$1:$G$49,MATCH(orders!$D347,products!$A$1:$A$49,0),MATCH(orders!H$1,products!$A$1:$G$1,0))</f>
        <v>Rob</v>
      </c>
      <c r="I347" t="str">
        <f>INDEX(products!$A$1:$G$49,MATCH(orders!$D347,products!$A$1:$A$49,0),MATCH(orders!I$1,products!$A$1:$G$1,0))</f>
        <v>L</v>
      </c>
      <c r="J347" s="5">
        <f>INDEX(products!$A$1:$G$49,MATCH(orders!$D347,products!$A$1:$A$49,0),MATCH(orders!J$1,products!$A$1:$G$1,0))</f>
        <v>1</v>
      </c>
      <c r="K347" s="6">
        <f>INDEX(products!$A$1:$G$49,MATCH(orders!$D347,products!$A$1:$A$49,0),MATCH(orders!K$1,products!$A$1:$G$1,0))</f>
        <v>11.95</v>
      </c>
      <c r="L347" s="6">
        <f>K347*E347</f>
        <v>59.75</v>
      </c>
      <c r="M347" t="str" cm="1">
        <f t="array" ref="M347">_xlfn.IFS(H347="Rob","Robusta",H347="Exc","Excelsa",H347="Ara","Arabica",H347="Lib","Liberica")</f>
        <v>Robusta</v>
      </c>
      <c r="N347" t="str" cm="1">
        <f t="array" ref="N347">_xlfn.IFS(I347="M","Medium",I347="L","Light",I347="D","Dark")</f>
        <v>Light</v>
      </c>
      <c r="O347" t="str">
        <f>_xlfn.XLOOKUP(Orders[[#This Row],[Customer ID]],customers!$A$2:$A$1001,customers!$I$2:$I$1001,,0)</f>
        <v>No</v>
      </c>
    </row>
    <row r="348" spans="1:15" x14ac:dyDescent="0.3">
      <c r="A348" s="2" t="s">
        <v>2440</v>
      </c>
      <c r="B348" s="3">
        <v>44344</v>
      </c>
      <c r="C348" s="2" t="s">
        <v>2441</v>
      </c>
      <c r="D348" t="s">
        <v>6180</v>
      </c>
      <c r="E348" s="2">
        <v>3</v>
      </c>
      <c r="F348" s="2" t="str">
        <f>_xlfn.XLOOKUP(C348,customers!$A$2:$A$1001,customers!$B$2:$B$1001,,0)</f>
        <v>Rebeka Worg</v>
      </c>
      <c r="G348" s="2" t="str">
        <f>_xlfn.XLOOKUP(C348,customers!$A$2:$A$1001,customers!$G$2:$G$1001,,0)</f>
        <v>United States</v>
      </c>
      <c r="H348" t="str">
        <f>INDEX(products!$A$1:$G$49,MATCH(orders!$D348,products!$A$1:$A$49,0),MATCH(orders!H$1,products!$A$1:$G$1,0))</f>
        <v>Ara</v>
      </c>
      <c r="I348" t="str">
        <f>INDEX(products!$A$1:$G$49,MATCH(orders!$D348,products!$A$1:$A$49,0),MATCH(orders!I$1,products!$A$1:$G$1,0))</f>
        <v>L</v>
      </c>
      <c r="J348" s="5">
        <f>INDEX(products!$A$1:$G$49,MATCH(orders!$D348,products!$A$1:$A$49,0),MATCH(orders!J$1,products!$A$1:$G$1,0))</f>
        <v>0.5</v>
      </c>
      <c r="K348" s="6">
        <f>INDEX(products!$A$1:$G$49,MATCH(orders!$D348,products!$A$1:$A$49,0),MATCH(orders!K$1,products!$A$1:$G$1,0))</f>
        <v>7.77</v>
      </c>
      <c r="L348" s="6">
        <f>K348*E348</f>
        <v>23.31</v>
      </c>
      <c r="M348" t="str" cm="1">
        <f t="array" ref="M348">_xlfn.IFS(H348="Rob","Robusta",H348="Exc","Excelsa",H348="Ara","Arabica",H348="Lib","Liberica")</f>
        <v>Arabica</v>
      </c>
      <c r="N348" t="str" cm="1">
        <f t="array" ref="N348">_xlfn.IFS(I348="M","Medium",I348="L","Light",I348="D","Dark")</f>
        <v>Light</v>
      </c>
      <c r="O348" t="str">
        <f>_xlfn.XLOOKUP(Orders[[#This Row],[Customer ID]],customers!$A$2:$A$1001,customers!$I$2:$I$1001,,0)</f>
        <v>Yes</v>
      </c>
    </row>
    <row r="349" spans="1:15" x14ac:dyDescent="0.3">
      <c r="A349" s="2" t="s">
        <v>2446</v>
      </c>
      <c r="B349" s="3">
        <v>44576</v>
      </c>
      <c r="C349" s="2" t="s">
        <v>2447</v>
      </c>
      <c r="D349" t="s">
        <v>6162</v>
      </c>
      <c r="E349" s="2">
        <v>3</v>
      </c>
      <c r="F349" s="2" t="str">
        <f>_xlfn.XLOOKUP(C349,customers!$A$2:$A$1001,customers!$B$2:$B$1001,,0)</f>
        <v>Lewes Danes</v>
      </c>
      <c r="G349" s="2" t="str">
        <f>_xlfn.XLOOKUP(C349,customers!$A$2:$A$1001,customers!$G$2:$G$1001,,0)</f>
        <v>United States</v>
      </c>
      <c r="H349" t="str">
        <f>INDEX(products!$A$1:$G$49,MATCH(orders!$D349,products!$A$1:$A$49,0),MATCH(orders!H$1,products!$A$1:$G$1,0))</f>
        <v>Lib</v>
      </c>
      <c r="I349" t="str">
        <f>INDEX(products!$A$1:$G$49,MATCH(orders!$D349,products!$A$1:$A$49,0),MATCH(orders!I$1,products!$A$1:$G$1,0))</f>
        <v>M</v>
      </c>
      <c r="J349" s="5">
        <f>INDEX(products!$A$1:$G$49,MATCH(orders!$D349,products!$A$1:$A$49,0),MATCH(orders!J$1,products!$A$1:$G$1,0))</f>
        <v>1</v>
      </c>
      <c r="K349" s="6">
        <f>INDEX(products!$A$1:$G$49,MATCH(orders!$D349,products!$A$1:$A$49,0),MATCH(orders!K$1,products!$A$1:$G$1,0))</f>
        <v>14.55</v>
      </c>
      <c r="L349" s="6">
        <f>K349*E349</f>
        <v>43.650000000000006</v>
      </c>
      <c r="M349" t="str" cm="1">
        <f t="array" ref="M349">_xlfn.IFS(H349="Rob","Robusta",H349="Exc","Excelsa",H349="Ara","Arabica",H349="Lib","Liberica")</f>
        <v>Liberica</v>
      </c>
      <c r="N349" t="str" cm="1">
        <f t="array" ref="N349">_xlfn.IFS(I349="M","Medium",I349="L","Light",I349="D","Dark")</f>
        <v>Medium</v>
      </c>
      <c r="O349" t="str">
        <f>_xlfn.XLOOKUP(Orders[[#This Row],[Customer ID]],customers!$A$2:$A$1001,customers!$I$2:$I$1001,,0)</f>
        <v>No</v>
      </c>
    </row>
    <row r="350" spans="1:15" x14ac:dyDescent="0.3">
      <c r="A350" s="2" t="s">
        <v>2452</v>
      </c>
      <c r="B350" s="3">
        <v>43803</v>
      </c>
      <c r="C350" s="2" t="s">
        <v>2453</v>
      </c>
      <c r="D350" t="s">
        <v>6148</v>
      </c>
      <c r="E350" s="2">
        <v>6</v>
      </c>
      <c r="F350" s="2" t="str">
        <f>_xlfn.XLOOKUP(C350,customers!$A$2:$A$1001,customers!$B$2:$B$1001,,0)</f>
        <v>Shelli Keynd</v>
      </c>
      <c r="G350" s="2" t="str">
        <f>_xlfn.XLOOKUP(C350,customers!$A$2:$A$1001,customers!$G$2:$G$1001,,0)</f>
        <v>United States</v>
      </c>
      <c r="H350" t="str">
        <f>INDEX(products!$A$1:$G$49,MATCH(orders!$D350,products!$A$1:$A$49,0),MATCH(orders!H$1,products!$A$1:$G$1,0))</f>
        <v>Exc</v>
      </c>
      <c r="I350" t="str">
        <f>INDEX(products!$A$1:$G$49,MATCH(orders!$D350,products!$A$1:$A$49,0),MATCH(orders!I$1,products!$A$1:$G$1,0))</f>
        <v>L</v>
      </c>
      <c r="J350" s="5">
        <f>INDEX(products!$A$1:$G$49,MATCH(orders!$D350,products!$A$1:$A$49,0),MATCH(orders!J$1,products!$A$1:$G$1,0))</f>
        <v>2.5</v>
      </c>
      <c r="K350" s="6">
        <f>INDEX(products!$A$1:$G$49,MATCH(orders!$D350,products!$A$1:$A$49,0),MATCH(orders!K$1,products!$A$1:$G$1,0))</f>
        <v>34.154999999999994</v>
      </c>
      <c r="L350" s="6">
        <f>K350*E350</f>
        <v>204.92999999999995</v>
      </c>
      <c r="M350" t="str" cm="1">
        <f t="array" ref="M350">_xlfn.IFS(H350="Rob","Robusta",H350="Exc","Excelsa",H350="Ara","Arabica",H350="Lib","Liberica")</f>
        <v>Excelsa</v>
      </c>
      <c r="N350" t="str" cm="1">
        <f t="array" ref="N350">_xlfn.IFS(I350="M","Medium",I350="L","Light",I350="D","Dark")</f>
        <v>Light</v>
      </c>
      <c r="O350" t="str">
        <f>_xlfn.XLOOKUP(Orders[[#This Row],[Customer ID]],customers!$A$2:$A$1001,customers!$I$2:$I$1001,,0)</f>
        <v>No</v>
      </c>
    </row>
    <row r="351" spans="1:15" x14ac:dyDescent="0.3">
      <c r="A351" s="2" t="s">
        <v>2458</v>
      </c>
      <c r="B351" s="3">
        <v>44743</v>
      </c>
      <c r="C351" s="2" t="s">
        <v>2459</v>
      </c>
      <c r="D351" t="s">
        <v>6178</v>
      </c>
      <c r="E351" s="2">
        <v>4</v>
      </c>
      <c r="F351" s="2" t="str">
        <f>_xlfn.XLOOKUP(C351,customers!$A$2:$A$1001,customers!$B$2:$B$1001,,0)</f>
        <v>Dell Daveridge</v>
      </c>
      <c r="G351" s="2" t="str">
        <f>_xlfn.XLOOKUP(C351,customers!$A$2:$A$1001,customers!$G$2:$G$1001,,0)</f>
        <v>United States</v>
      </c>
      <c r="H351" t="str">
        <f>INDEX(products!$A$1:$G$49,MATCH(orders!$D351,products!$A$1:$A$49,0),MATCH(orders!H$1,products!$A$1:$G$1,0))</f>
        <v>Rob</v>
      </c>
      <c r="I351" t="str">
        <f>INDEX(products!$A$1:$G$49,MATCH(orders!$D351,products!$A$1:$A$49,0),MATCH(orders!I$1,products!$A$1:$G$1,0))</f>
        <v>L</v>
      </c>
      <c r="J351" s="5">
        <f>INDEX(products!$A$1:$G$49,MATCH(orders!$D351,products!$A$1:$A$49,0),MATCH(orders!J$1,products!$A$1:$G$1,0))</f>
        <v>0.2</v>
      </c>
      <c r="K351" s="6">
        <f>INDEX(products!$A$1:$G$49,MATCH(orders!$D351,products!$A$1:$A$49,0),MATCH(orders!K$1,products!$A$1:$G$1,0))</f>
        <v>3.5849999999999995</v>
      </c>
      <c r="L351" s="6">
        <f>K351*E351</f>
        <v>14.339999999999998</v>
      </c>
      <c r="M351" t="str" cm="1">
        <f t="array" ref="M351">_xlfn.IFS(H351="Rob","Robusta",H351="Exc","Excelsa",H351="Ara","Arabica",H351="Lib","Liberica")</f>
        <v>Robusta</v>
      </c>
      <c r="N351" t="str" cm="1">
        <f t="array" ref="N351">_xlfn.IFS(I351="M","Medium",I351="L","Light",I351="D","Dark")</f>
        <v>Light</v>
      </c>
      <c r="O351" t="str">
        <f>_xlfn.XLOOKUP(Orders[[#This Row],[Customer ID]],customers!$A$2:$A$1001,customers!$I$2:$I$1001,,0)</f>
        <v>No</v>
      </c>
    </row>
    <row r="352" spans="1:15" x14ac:dyDescent="0.3">
      <c r="A352" s="2" t="s">
        <v>2464</v>
      </c>
      <c r="B352" s="3">
        <v>43592</v>
      </c>
      <c r="C352" s="2" t="s">
        <v>2465</v>
      </c>
      <c r="D352" t="s">
        <v>6158</v>
      </c>
      <c r="E352" s="2">
        <v>4</v>
      </c>
      <c r="F352" s="2" t="str">
        <f>_xlfn.XLOOKUP(C352,customers!$A$2:$A$1001,customers!$B$2:$B$1001,,0)</f>
        <v>Joshuah Awdry</v>
      </c>
      <c r="G352" s="2" t="str">
        <f>_xlfn.XLOOKUP(C352,customers!$A$2:$A$1001,customers!$G$2:$G$1001,,0)</f>
        <v>United States</v>
      </c>
      <c r="H352" t="str">
        <f>INDEX(products!$A$1:$G$49,MATCH(orders!$D352,products!$A$1:$A$49,0),MATCH(orders!H$1,products!$A$1:$G$1,0))</f>
        <v>Ara</v>
      </c>
      <c r="I352" t="str">
        <f>INDEX(products!$A$1:$G$49,MATCH(orders!$D352,products!$A$1:$A$49,0),MATCH(orders!I$1,products!$A$1:$G$1,0))</f>
        <v>D</v>
      </c>
      <c r="J352" s="5">
        <f>INDEX(products!$A$1:$G$49,MATCH(orders!$D352,products!$A$1:$A$49,0),MATCH(orders!J$1,products!$A$1:$G$1,0))</f>
        <v>0.5</v>
      </c>
      <c r="K352" s="6">
        <f>INDEX(products!$A$1:$G$49,MATCH(orders!$D352,products!$A$1:$A$49,0),MATCH(orders!K$1,products!$A$1:$G$1,0))</f>
        <v>5.97</v>
      </c>
      <c r="L352" s="6">
        <f>K352*E352</f>
        <v>23.88</v>
      </c>
      <c r="M352" t="str" cm="1">
        <f t="array" ref="M352">_xlfn.IFS(H352="Rob","Robusta",H352="Exc","Excelsa",H352="Ara","Arabica",H352="Lib","Liberica")</f>
        <v>Arabica</v>
      </c>
      <c r="N352" t="str" cm="1">
        <f t="array" ref="N352">_xlfn.IFS(I352="M","Medium",I352="L","Light",I352="D","Dark")</f>
        <v>Dark</v>
      </c>
      <c r="O352" t="str">
        <f>_xlfn.XLOOKUP(Orders[[#This Row],[Customer ID]],customers!$A$2:$A$1001,customers!$I$2:$I$1001,,0)</f>
        <v>No</v>
      </c>
    </row>
    <row r="353" spans="1:15" x14ac:dyDescent="0.3">
      <c r="A353" s="2" t="s">
        <v>2470</v>
      </c>
      <c r="B353" s="3">
        <v>44066</v>
      </c>
      <c r="C353" s="2" t="s">
        <v>2471</v>
      </c>
      <c r="D353" t="s">
        <v>6155</v>
      </c>
      <c r="E353" s="2">
        <v>2</v>
      </c>
      <c r="F353" s="2" t="str">
        <f>_xlfn.XLOOKUP(C353,customers!$A$2:$A$1001,customers!$B$2:$B$1001,,0)</f>
        <v>Ethel Ryles</v>
      </c>
      <c r="G353" s="2" t="str">
        <f>_xlfn.XLOOKUP(C353,customers!$A$2:$A$1001,customers!$G$2:$G$1001,,0)</f>
        <v>United States</v>
      </c>
      <c r="H353" t="str">
        <f>INDEX(products!$A$1:$G$49,MATCH(orders!$D353,products!$A$1:$A$49,0),MATCH(orders!H$1,products!$A$1:$G$1,0))</f>
        <v>Ara</v>
      </c>
      <c r="I353" t="str">
        <f>INDEX(products!$A$1:$G$49,MATCH(orders!$D353,products!$A$1:$A$49,0),MATCH(orders!I$1,products!$A$1:$G$1,0))</f>
        <v>M</v>
      </c>
      <c r="J353" s="5">
        <f>INDEX(products!$A$1:$G$49,MATCH(orders!$D353,products!$A$1:$A$49,0),MATCH(orders!J$1,products!$A$1:$G$1,0))</f>
        <v>1</v>
      </c>
      <c r="K353" s="6">
        <f>INDEX(products!$A$1:$G$49,MATCH(orders!$D353,products!$A$1:$A$49,0),MATCH(orders!K$1,products!$A$1:$G$1,0))</f>
        <v>11.25</v>
      </c>
      <c r="L353" s="6">
        <f>K353*E353</f>
        <v>22.5</v>
      </c>
      <c r="M353" t="str" cm="1">
        <f t="array" ref="M353">_xlfn.IFS(H353="Rob","Robusta",H353="Exc","Excelsa",H353="Ara","Arabica",H353="Lib","Liberica")</f>
        <v>Arabica</v>
      </c>
      <c r="N353" t="str" cm="1">
        <f t="array" ref="N353">_xlfn.IFS(I353="M","Medium",I353="L","Light",I353="D","Dark")</f>
        <v>Medium</v>
      </c>
      <c r="O353" t="str">
        <f>_xlfn.XLOOKUP(Orders[[#This Row],[Customer ID]],customers!$A$2:$A$1001,customers!$I$2:$I$1001,,0)</f>
        <v>No</v>
      </c>
    </row>
    <row r="354" spans="1:15" x14ac:dyDescent="0.3">
      <c r="A354" s="2" t="s">
        <v>2476</v>
      </c>
      <c r="B354" s="3">
        <v>43984</v>
      </c>
      <c r="C354" s="2" t="s">
        <v>2331</v>
      </c>
      <c r="D354" t="s">
        <v>6144</v>
      </c>
      <c r="E354" s="2">
        <v>5</v>
      </c>
      <c r="F354" s="2" t="str">
        <f>_xlfn.XLOOKUP(C354,customers!$A$2:$A$1001,customers!$B$2:$B$1001,,0)</f>
        <v>Flynn Antony</v>
      </c>
      <c r="G354" s="2" t="str">
        <f>_xlfn.XLOOKUP(C354,customers!$A$2:$A$1001,customers!$G$2:$G$1001,,0)</f>
        <v>United States</v>
      </c>
      <c r="H354" t="str">
        <f>INDEX(products!$A$1:$G$49,MATCH(orders!$D354,products!$A$1:$A$49,0),MATCH(orders!H$1,products!$A$1:$G$1,0))</f>
        <v>Exc</v>
      </c>
      <c r="I354" t="str">
        <f>INDEX(products!$A$1:$G$49,MATCH(orders!$D354,products!$A$1:$A$49,0),MATCH(orders!I$1,products!$A$1:$G$1,0))</f>
        <v>D</v>
      </c>
      <c r="J354" s="5">
        <f>INDEX(products!$A$1:$G$49,MATCH(orders!$D354,products!$A$1:$A$49,0),MATCH(orders!J$1,products!$A$1:$G$1,0))</f>
        <v>0.5</v>
      </c>
      <c r="K354" s="6">
        <f>INDEX(products!$A$1:$G$49,MATCH(orders!$D354,products!$A$1:$A$49,0),MATCH(orders!K$1,products!$A$1:$G$1,0))</f>
        <v>7.29</v>
      </c>
      <c r="L354" s="6">
        <f>K354*E354</f>
        <v>36.450000000000003</v>
      </c>
      <c r="M354" t="str" cm="1">
        <f t="array" ref="M354">_xlfn.IFS(H354="Rob","Robusta",H354="Exc","Excelsa",H354="Ara","Arabica",H354="Lib","Liberica")</f>
        <v>Excelsa</v>
      </c>
      <c r="N354" t="str" cm="1">
        <f t="array" ref="N354">_xlfn.IFS(I354="M","Medium",I354="L","Light",I354="D","Dark")</f>
        <v>Dark</v>
      </c>
      <c r="O354" t="str">
        <f>_xlfn.XLOOKUP(Orders[[#This Row],[Customer ID]],customers!$A$2:$A$1001,customers!$I$2:$I$1001,,0)</f>
        <v>No</v>
      </c>
    </row>
    <row r="355" spans="1:15" x14ac:dyDescent="0.3">
      <c r="A355" s="2" t="s">
        <v>2482</v>
      </c>
      <c r="B355" s="3">
        <v>43860</v>
      </c>
      <c r="C355" s="2" t="s">
        <v>2483</v>
      </c>
      <c r="D355" t="s">
        <v>6157</v>
      </c>
      <c r="E355" s="2">
        <v>4</v>
      </c>
      <c r="F355" s="2" t="str">
        <f>_xlfn.XLOOKUP(C355,customers!$A$2:$A$1001,customers!$B$2:$B$1001,,0)</f>
        <v>Maitilde Boxill</v>
      </c>
      <c r="G355" s="2" t="str">
        <f>_xlfn.XLOOKUP(C355,customers!$A$2:$A$1001,customers!$G$2:$G$1001,,0)</f>
        <v>United States</v>
      </c>
      <c r="H355" t="str">
        <f>INDEX(products!$A$1:$G$49,MATCH(orders!$D355,products!$A$1:$A$49,0),MATCH(orders!H$1,products!$A$1:$G$1,0))</f>
        <v>Ara</v>
      </c>
      <c r="I355" t="str">
        <f>INDEX(products!$A$1:$G$49,MATCH(orders!$D355,products!$A$1:$A$49,0),MATCH(orders!I$1,products!$A$1:$G$1,0))</f>
        <v>M</v>
      </c>
      <c r="J355" s="5">
        <f>INDEX(products!$A$1:$G$49,MATCH(orders!$D355,products!$A$1:$A$49,0),MATCH(orders!J$1,products!$A$1:$G$1,0))</f>
        <v>0.5</v>
      </c>
      <c r="K355" s="6">
        <f>INDEX(products!$A$1:$G$49,MATCH(orders!$D355,products!$A$1:$A$49,0),MATCH(orders!K$1,products!$A$1:$G$1,0))</f>
        <v>6.75</v>
      </c>
      <c r="L355" s="6">
        <f>K355*E355</f>
        <v>27</v>
      </c>
      <c r="M355" t="str" cm="1">
        <f t="array" ref="M355">_xlfn.IFS(H355="Rob","Robusta",H355="Exc","Excelsa",H355="Ara","Arabica",H355="Lib","Liberica")</f>
        <v>Arabica</v>
      </c>
      <c r="N355" t="str" cm="1">
        <f t="array" ref="N355">_xlfn.IFS(I355="M","Medium",I355="L","Light",I355="D","Dark")</f>
        <v>Medium</v>
      </c>
      <c r="O355" t="str">
        <f>_xlfn.XLOOKUP(Orders[[#This Row],[Customer ID]],customers!$A$2:$A$1001,customers!$I$2:$I$1001,,0)</f>
        <v>Yes</v>
      </c>
    </row>
    <row r="356" spans="1:15" x14ac:dyDescent="0.3">
      <c r="A356" s="2" t="s">
        <v>2487</v>
      </c>
      <c r="B356" s="3">
        <v>43876</v>
      </c>
      <c r="C356" s="2" t="s">
        <v>2488</v>
      </c>
      <c r="D356" t="s">
        <v>6175</v>
      </c>
      <c r="E356" s="2">
        <v>6</v>
      </c>
      <c r="F356" s="2" t="str">
        <f>_xlfn.XLOOKUP(C356,customers!$A$2:$A$1001,customers!$B$2:$B$1001,,0)</f>
        <v>Jodee Caldicott</v>
      </c>
      <c r="G356" s="2" t="str">
        <f>_xlfn.XLOOKUP(C356,customers!$A$2:$A$1001,customers!$G$2:$G$1001,,0)</f>
        <v>United States</v>
      </c>
      <c r="H356" t="str">
        <f>INDEX(products!$A$1:$G$49,MATCH(orders!$D356,products!$A$1:$A$49,0),MATCH(orders!H$1,products!$A$1:$G$1,0))</f>
        <v>Ara</v>
      </c>
      <c r="I356" t="str">
        <f>INDEX(products!$A$1:$G$49,MATCH(orders!$D356,products!$A$1:$A$49,0),MATCH(orders!I$1,products!$A$1:$G$1,0))</f>
        <v>M</v>
      </c>
      <c r="J356" s="5">
        <f>INDEX(products!$A$1:$G$49,MATCH(orders!$D356,products!$A$1:$A$49,0),MATCH(orders!J$1,products!$A$1:$G$1,0))</f>
        <v>2.5</v>
      </c>
      <c r="K356" s="6">
        <f>INDEX(products!$A$1:$G$49,MATCH(orders!$D356,products!$A$1:$A$49,0),MATCH(orders!K$1,products!$A$1:$G$1,0))</f>
        <v>25.874999999999996</v>
      </c>
      <c r="L356" s="6">
        <f>K356*E356</f>
        <v>155.24999999999997</v>
      </c>
      <c r="M356" t="str" cm="1">
        <f t="array" ref="M356">_xlfn.IFS(H356="Rob","Robusta",H356="Exc","Excelsa",H356="Ara","Arabica",H356="Lib","Liberica")</f>
        <v>Arabica</v>
      </c>
      <c r="N356" t="str" cm="1">
        <f t="array" ref="N356">_xlfn.IFS(I356="M","Medium",I356="L","Light",I356="D","Dark")</f>
        <v>Medium</v>
      </c>
      <c r="O356" t="str">
        <f>_xlfn.XLOOKUP(Orders[[#This Row],[Customer ID]],customers!$A$2:$A$1001,customers!$I$2:$I$1001,,0)</f>
        <v>No</v>
      </c>
    </row>
    <row r="357" spans="1:15" x14ac:dyDescent="0.3">
      <c r="A357" s="2" t="s">
        <v>2492</v>
      </c>
      <c r="B357" s="3">
        <v>44358</v>
      </c>
      <c r="C357" s="2" t="s">
        <v>2493</v>
      </c>
      <c r="D357" t="s">
        <v>6168</v>
      </c>
      <c r="E357" s="2">
        <v>5</v>
      </c>
      <c r="F357" s="2" t="str">
        <f>_xlfn.XLOOKUP(C357,customers!$A$2:$A$1001,customers!$B$2:$B$1001,,0)</f>
        <v>Marianna Vedmore</v>
      </c>
      <c r="G357" s="2" t="str">
        <f>_xlfn.XLOOKUP(C357,customers!$A$2:$A$1001,customers!$G$2:$G$1001,,0)</f>
        <v>United States</v>
      </c>
      <c r="H357" t="str">
        <f>INDEX(products!$A$1:$G$49,MATCH(orders!$D357,products!$A$1:$A$49,0),MATCH(orders!H$1,products!$A$1:$G$1,0))</f>
        <v>Ara</v>
      </c>
      <c r="I357" t="str">
        <f>INDEX(products!$A$1:$G$49,MATCH(orders!$D357,products!$A$1:$A$49,0),MATCH(orders!I$1,products!$A$1:$G$1,0))</f>
        <v>D</v>
      </c>
      <c r="J357" s="5">
        <f>INDEX(products!$A$1:$G$49,MATCH(orders!$D357,products!$A$1:$A$49,0),MATCH(orders!J$1,products!$A$1:$G$1,0))</f>
        <v>2.5</v>
      </c>
      <c r="K357" s="6">
        <f>INDEX(products!$A$1:$G$49,MATCH(orders!$D357,products!$A$1:$A$49,0),MATCH(orders!K$1,products!$A$1:$G$1,0))</f>
        <v>22.884999999999998</v>
      </c>
      <c r="L357" s="6">
        <f>K357*E357</f>
        <v>114.42499999999998</v>
      </c>
      <c r="M357" t="str" cm="1">
        <f t="array" ref="M357">_xlfn.IFS(H357="Rob","Robusta",H357="Exc","Excelsa",H357="Ara","Arabica",H357="Lib","Liberica")</f>
        <v>Arabica</v>
      </c>
      <c r="N357" t="str" cm="1">
        <f t="array" ref="N357">_xlfn.IFS(I357="M","Medium",I357="L","Light",I357="D","Dark")</f>
        <v>Dark</v>
      </c>
      <c r="O357" t="str">
        <f>_xlfn.XLOOKUP(Orders[[#This Row],[Customer ID]],customers!$A$2:$A$1001,customers!$I$2:$I$1001,,0)</f>
        <v>Yes</v>
      </c>
    </row>
    <row r="358" spans="1:15" x14ac:dyDescent="0.3">
      <c r="A358" s="2" t="s">
        <v>2498</v>
      </c>
      <c r="B358" s="3">
        <v>44631</v>
      </c>
      <c r="C358" s="2" t="s">
        <v>2499</v>
      </c>
      <c r="D358" t="s">
        <v>6143</v>
      </c>
      <c r="E358" s="2">
        <v>4</v>
      </c>
      <c r="F358" s="2" t="str">
        <f>_xlfn.XLOOKUP(C358,customers!$A$2:$A$1001,customers!$B$2:$B$1001,,0)</f>
        <v>Willey Romao</v>
      </c>
      <c r="G358" s="2" t="str">
        <f>_xlfn.XLOOKUP(C358,customers!$A$2:$A$1001,customers!$G$2:$G$1001,,0)</f>
        <v>United States</v>
      </c>
      <c r="H358" t="str">
        <f>INDEX(products!$A$1:$G$49,MATCH(orders!$D358,products!$A$1:$A$49,0),MATCH(orders!H$1,products!$A$1:$G$1,0))</f>
        <v>Lib</v>
      </c>
      <c r="I358" t="str">
        <f>INDEX(products!$A$1:$G$49,MATCH(orders!$D358,products!$A$1:$A$49,0),MATCH(orders!I$1,products!$A$1:$G$1,0))</f>
        <v>D</v>
      </c>
      <c r="J358" s="5">
        <f>INDEX(products!$A$1:$G$49,MATCH(orders!$D358,products!$A$1:$A$49,0),MATCH(orders!J$1,products!$A$1:$G$1,0))</f>
        <v>1</v>
      </c>
      <c r="K358" s="6">
        <f>INDEX(products!$A$1:$G$49,MATCH(orders!$D358,products!$A$1:$A$49,0),MATCH(orders!K$1,products!$A$1:$G$1,0))</f>
        <v>12.95</v>
      </c>
      <c r="L358" s="6">
        <f>K358*E358</f>
        <v>51.8</v>
      </c>
      <c r="M358" t="str" cm="1">
        <f t="array" ref="M358">_xlfn.IFS(H358="Rob","Robusta",H358="Exc","Excelsa",H358="Ara","Arabica",H358="Lib","Liberica")</f>
        <v>Liberica</v>
      </c>
      <c r="N358" t="str" cm="1">
        <f t="array" ref="N358">_xlfn.IFS(I358="M","Medium",I358="L","Light",I358="D","Dark")</f>
        <v>Dark</v>
      </c>
      <c r="O358" t="str">
        <f>_xlfn.XLOOKUP(Orders[[#This Row],[Customer ID]],customers!$A$2:$A$1001,customers!$I$2:$I$1001,,0)</f>
        <v>Yes</v>
      </c>
    </row>
    <row r="359" spans="1:15" x14ac:dyDescent="0.3">
      <c r="A359" s="2" t="s">
        <v>2504</v>
      </c>
      <c r="B359" s="3">
        <v>44448</v>
      </c>
      <c r="C359" s="2" t="s">
        <v>2505</v>
      </c>
      <c r="D359" t="s">
        <v>6175</v>
      </c>
      <c r="E359" s="2">
        <v>6</v>
      </c>
      <c r="F359" s="2" t="str">
        <f>_xlfn.XLOOKUP(C359,customers!$A$2:$A$1001,customers!$B$2:$B$1001,,0)</f>
        <v>Enriqueta Ixor</v>
      </c>
      <c r="G359" s="2" t="str">
        <f>_xlfn.XLOOKUP(C359,customers!$A$2:$A$1001,customers!$G$2:$G$1001,,0)</f>
        <v>United States</v>
      </c>
      <c r="H359" t="str">
        <f>INDEX(products!$A$1:$G$49,MATCH(orders!$D359,products!$A$1:$A$49,0),MATCH(orders!H$1,products!$A$1:$G$1,0))</f>
        <v>Ara</v>
      </c>
      <c r="I359" t="str">
        <f>INDEX(products!$A$1:$G$49,MATCH(orders!$D359,products!$A$1:$A$49,0),MATCH(orders!I$1,products!$A$1:$G$1,0))</f>
        <v>M</v>
      </c>
      <c r="J359" s="5">
        <f>INDEX(products!$A$1:$G$49,MATCH(orders!$D359,products!$A$1:$A$49,0),MATCH(orders!J$1,products!$A$1:$G$1,0))</f>
        <v>2.5</v>
      </c>
      <c r="K359" s="6">
        <f>INDEX(products!$A$1:$G$49,MATCH(orders!$D359,products!$A$1:$A$49,0),MATCH(orders!K$1,products!$A$1:$G$1,0))</f>
        <v>25.874999999999996</v>
      </c>
      <c r="L359" s="6">
        <f>K359*E359</f>
        <v>155.24999999999997</v>
      </c>
      <c r="M359" t="str" cm="1">
        <f t="array" ref="M359">_xlfn.IFS(H359="Rob","Robusta",H359="Exc","Excelsa",H359="Ara","Arabica",H359="Lib","Liberica")</f>
        <v>Arabica</v>
      </c>
      <c r="N359" t="str" cm="1">
        <f t="array" ref="N359">_xlfn.IFS(I359="M","Medium",I359="L","Light",I359="D","Dark")</f>
        <v>Medium</v>
      </c>
      <c r="O359" t="str">
        <f>_xlfn.XLOOKUP(Orders[[#This Row],[Customer ID]],customers!$A$2:$A$1001,customers!$I$2:$I$1001,,0)</f>
        <v>No</v>
      </c>
    </row>
    <row r="360" spans="1:15" x14ac:dyDescent="0.3">
      <c r="A360" s="2" t="s">
        <v>2509</v>
      </c>
      <c r="B360" s="3">
        <v>43599</v>
      </c>
      <c r="C360" s="2" t="s">
        <v>2510</v>
      </c>
      <c r="D360" t="s">
        <v>6182</v>
      </c>
      <c r="E360" s="2">
        <v>1</v>
      </c>
      <c r="F360" s="2" t="str">
        <f>_xlfn.XLOOKUP(C360,customers!$A$2:$A$1001,customers!$B$2:$B$1001,,0)</f>
        <v>Tomasina Cotmore</v>
      </c>
      <c r="G360" s="2" t="str">
        <f>_xlfn.XLOOKUP(C360,customers!$A$2:$A$1001,customers!$G$2:$G$1001,,0)</f>
        <v>United States</v>
      </c>
      <c r="H360" t="str">
        <f>INDEX(products!$A$1:$G$49,MATCH(orders!$D360,products!$A$1:$A$49,0),MATCH(orders!H$1,products!$A$1:$G$1,0))</f>
        <v>Ara</v>
      </c>
      <c r="I360" t="str">
        <f>INDEX(products!$A$1:$G$49,MATCH(orders!$D360,products!$A$1:$A$49,0),MATCH(orders!I$1,products!$A$1:$G$1,0))</f>
        <v>L</v>
      </c>
      <c r="J360" s="5">
        <f>INDEX(products!$A$1:$G$49,MATCH(orders!$D360,products!$A$1:$A$49,0),MATCH(orders!J$1,products!$A$1:$G$1,0))</f>
        <v>2.5</v>
      </c>
      <c r="K360" s="6">
        <f>INDEX(products!$A$1:$G$49,MATCH(orders!$D360,products!$A$1:$A$49,0),MATCH(orders!K$1,products!$A$1:$G$1,0))</f>
        <v>29.784999999999997</v>
      </c>
      <c r="L360" s="6">
        <f>K360*E360</f>
        <v>29.784999999999997</v>
      </c>
      <c r="M360" t="str" cm="1">
        <f t="array" ref="M360">_xlfn.IFS(H360="Rob","Robusta",H360="Exc","Excelsa",H360="Ara","Arabica",H360="Lib","Liberica")</f>
        <v>Arabica</v>
      </c>
      <c r="N360" t="str" cm="1">
        <f t="array" ref="N360">_xlfn.IFS(I360="M","Medium",I360="L","Light",I360="D","Dark")</f>
        <v>Light</v>
      </c>
      <c r="O360" t="str">
        <f>_xlfn.XLOOKUP(Orders[[#This Row],[Customer ID]],customers!$A$2:$A$1001,customers!$I$2:$I$1001,,0)</f>
        <v>No</v>
      </c>
    </row>
    <row r="361" spans="1:15" x14ac:dyDescent="0.3">
      <c r="A361" s="2" t="s">
        <v>2515</v>
      </c>
      <c r="B361" s="3">
        <v>43563</v>
      </c>
      <c r="C361" s="2" t="s">
        <v>2516</v>
      </c>
      <c r="D361" t="s">
        <v>6178</v>
      </c>
      <c r="E361" s="2">
        <v>6</v>
      </c>
      <c r="F361" s="2" t="str">
        <f>_xlfn.XLOOKUP(C361,customers!$A$2:$A$1001,customers!$B$2:$B$1001,,0)</f>
        <v>Yuma Skipsey</v>
      </c>
      <c r="G361" s="2" t="str">
        <f>_xlfn.XLOOKUP(C361,customers!$A$2:$A$1001,customers!$G$2:$G$1001,,0)</f>
        <v>United Kingdom</v>
      </c>
      <c r="H361" t="str">
        <f>INDEX(products!$A$1:$G$49,MATCH(orders!$D361,products!$A$1:$A$49,0),MATCH(orders!H$1,products!$A$1:$G$1,0))</f>
        <v>Rob</v>
      </c>
      <c r="I361" t="str">
        <f>INDEX(products!$A$1:$G$49,MATCH(orders!$D361,products!$A$1:$A$49,0),MATCH(orders!I$1,products!$A$1:$G$1,0))</f>
        <v>L</v>
      </c>
      <c r="J361" s="5">
        <f>INDEX(products!$A$1:$G$49,MATCH(orders!$D361,products!$A$1:$A$49,0),MATCH(orders!J$1,products!$A$1:$G$1,0))</f>
        <v>0.2</v>
      </c>
      <c r="K361" s="6">
        <f>INDEX(products!$A$1:$G$49,MATCH(orders!$D361,products!$A$1:$A$49,0),MATCH(orders!K$1,products!$A$1:$G$1,0))</f>
        <v>3.5849999999999995</v>
      </c>
      <c r="L361" s="6">
        <f>K361*E361</f>
        <v>21.509999999999998</v>
      </c>
      <c r="M361" t="str" cm="1">
        <f t="array" ref="M361">_xlfn.IFS(H361="Rob","Robusta",H361="Exc","Excelsa",H361="Ara","Arabica",H361="Lib","Liberica")</f>
        <v>Robusta</v>
      </c>
      <c r="N361" t="str" cm="1">
        <f t="array" ref="N361">_xlfn.IFS(I361="M","Medium",I361="L","Light",I361="D","Dark")</f>
        <v>Light</v>
      </c>
      <c r="O361" t="str">
        <f>_xlfn.XLOOKUP(Orders[[#This Row],[Customer ID]],customers!$A$2:$A$1001,customers!$I$2:$I$1001,,0)</f>
        <v>No</v>
      </c>
    </row>
    <row r="362" spans="1:15" x14ac:dyDescent="0.3">
      <c r="A362" s="2" t="s">
        <v>2521</v>
      </c>
      <c r="B362" s="3">
        <v>44058</v>
      </c>
      <c r="C362" s="2" t="s">
        <v>2522</v>
      </c>
      <c r="D362" t="s">
        <v>6149</v>
      </c>
      <c r="E362" s="2">
        <v>2</v>
      </c>
      <c r="F362" s="2" t="str">
        <f>_xlfn.XLOOKUP(C362,customers!$A$2:$A$1001,customers!$B$2:$B$1001,,0)</f>
        <v>Nicko Corps</v>
      </c>
      <c r="G362" s="2" t="str">
        <f>_xlfn.XLOOKUP(C362,customers!$A$2:$A$1001,customers!$G$2:$G$1001,,0)</f>
        <v>United States</v>
      </c>
      <c r="H362" t="str">
        <f>INDEX(products!$A$1:$G$49,MATCH(orders!$D362,products!$A$1:$A$49,0),MATCH(orders!H$1,products!$A$1:$G$1,0))</f>
        <v>Rob</v>
      </c>
      <c r="I362" t="str">
        <f>INDEX(products!$A$1:$G$49,MATCH(orders!$D362,products!$A$1:$A$49,0),MATCH(orders!I$1,products!$A$1:$G$1,0))</f>
        <v>D</v>
      </c>
      <c r="J362" s="5">
        <f>INDEX(products!$A$1:$G$49,MATCH(orders!$D362,products!$A$1:$A$49,0),MATCH(orders!J$1,products!$A$1:$G$1,0))</f>
        <v>2.5</v>
      </c>
      <c r="K362" s="6">
        <f>INDEX(products!$A$1:$G$49,MATCH(orders!$D362,products!$A$1:$A$49,0),MATCH(orders!K$1,products!$A$1:$G$1,0))</f>
        <v>20.584999999999997</v>
      </c>
      <c r="L362" s="6">
        <f>K362*E362</f>
        <v>41.169999999999995</v>
      </c>
      <c r="M362" t="str" cm="1">
        <f t="array" ref="M362">_xlfn.IFS(H362="Rob","Robusta",H362="Exc","Excelsa",H362="Ara","Arabica",H362="Lib","Liberica")</f>
        <v>Robusta</v>
      </c>
      <c r="N362" t="str" cm="1">
        <f t="array" ref="N362">_xlfn.IFS(I362="M","Medium",I362="L","Light",I362="D","Dark")</f>
        <v>Dark</v>
      </c>
      <c r="O362" t="str">
        <f>_xlfn.XLOOKUP(Orders[[#This Row],[Customer ID]],customers!$A$2:$A$1001,customers!$I$2:$I$1001,,0)</f>
        <v>No</v>
      </c>
    </row>
    <row r="363" spans="1:15" x14ac:dyDescent="0.3">
      <c r="A363" s="2" t="s">
        <v>2521</v>
      </c>
      <c r="B363" s="3">
        <v>44058</v>
      </c>
      <c r="C363" s="2" t="s">
        <v>2522</v>
      </c>
      <c r="D363" t="s">
        <v>6146</v>
      </c>
      <c r="E363" s="2">
        <v>1</v>
      </c>
      <c r="F363" s="2" t="str">
        <f>_xlfn.XLOOKUP(C363,customers!$A$2:$A$1001,customers!$B$2:$B$1001,,0)</f>
        <v>Nicko Corps</v>
      </c>
      <c r="G363" s="2" t="str">
        <f>_xlfn.XLOOKUP(C363,customers!$A$2:$A$1001,customers!$G$2:$G$1001,,0)</f>
        <v>United States</v>
      </c>
      <c r="H363" t="str">
        <f>INDEX(products!$A$1:$G$49,MATCH(orders!$D363,products!$A$1:$A$49,0),MATCH(orders!H$1,products!$A$1:$G$1,0))</f>
        <v>Rob</v>
      </c>
      <c r="I363" t="str">
        <f>INDEX(products!$A$1:$G$49,MATCH(orders!$D363,products!$A$1:$A$49,0),MATCH(orders!I$1,products!$A$1:$G$1,0))</f>
        <v>M</v>
      </c>
      <c r="J363" s="5">
        <f>INDEX(products!$A$1:$G$49,MATCH(orders!$D363,products!$A$1:$A$49,0),MATCH(orders!J$1,products!$A$1:$G$1,0))</f>
        <v>0.5</v>
      </c>
      <c r="K363" s="6">
        <f>INDEX(products!$A$1:$G$49,MATCH(orders!$D363,products!$A$1:$A$49,0),MATCH(orders!K$1,products!$A$1:$G$1,0))</f>
        <v>5.97</v>
      </c>
      <c r="L363" s="6">
        <f>K363*E363</f>
        <v>5.97</v>
      </c>
      <c r="M363" t="str" cm="1">
        <f t="array" ref="M363">_xlfn.IFS(H363="Rob","Robusta",H363="Exc","Excelsa",H363="Ara","Arabica",H363="Lib","Liberica")</f>
        <v>Robusta</v>
      </c>
      <c r="N363" t="str" cm="1">
        <f t="array" ref="N363">_xlfn.IFS(I363="M","Medium",I363="L","Light",I363="D","Dark")</f>
        <v>Medium</v>
      </c>
      <c r="O363" t="str">
        <f>_xlfn.XLOOKUP(Orders[[#This Row],[Customer ID]],customers!$A$2:$A$1001,customers!$I$2:$I$1001,,0)</f>
        <v>No</v>
      </c>
    </row>
    <row r="364" spans="1:15" x14ac:dyDescent="0.3">
      <c r="A364" s="2" t="s">
        <v>2532</v>
      </c>
      <c r="B364" s="3">
        <v>44686</v>
      </c>
      <c r="C364" s="2" t="s">
        <v>2533</v>
      </c>
      <c r="D364" t="s">
        <v>6171</v>
      </c>
      <c r="E364" s="2">
        <v>5</v>
      </c>
      <c r="F364" s="2" t="str">
        <f>_xlfn.XLOOKUP(C364,customers!$A$2:$A$1001,customers!$B$2:$B$1001,,0)</f>
        <v>Feliks Babber</v>
      </c>
      <c r="G364" s="2" t="str">
        <f>_xlfn.XLOOKUP(C364,customers!$A$2:$A$1001,customers!$G$2:$G$1001,,0)</f>
        <v>United States</v>
      </c>
      <c r="H364" t="str">
        <f>INDEX(products!$A$1:$G$49,MATCH(orders!$D364,products!$A$1:$A$49,0),MATCH(orders!H$1,products!$A$1:$G$1,0))</f>
        <v>Exc</v>
      </c>
      <c r="I364" t="str">
        <f>INDEX(products!$A$1:$G$49,MATCH(orders!$D364,products!$A$1:$A$49,0),MATCH(orders!I$1,products!$A$1:$G$1,0))</f>
        <v>L</v>
      </c>
      <c r="J364" s="5">
        <f>INDEX(products!$A$1:$G$49,MATCH(orders!$D364,products!$A$1:$A$49,0),MATCH(orders!J$1,products!$A$1:$G$1,0))</f>
        <v>1</v>
      </c>
      <c r="K364" s="6">
        <f>INDEX(products!$A$1:$G$49,MATCH(orders!$D364,products!$A$1:$A$49,0),MATCH(orders!K$1,products!$A$1:$G$1,0))</f>
        <v>14.85</v>
      </c>
      <c r="L364" s="6">
        <f>K364*E364</f>
        <v>74.25</v>
      </c>
      <c r="M364" t="str" cm="1">
        <f t="array" ref="M364">_xlfn.IFS(H364="Rob","Robusta",H364="Exc","Excelsa",H364="Ara","Arabica",H364="Lib","Liberica")</f>
        <v>Excelsa</v>
      </c>
      <c r="N364" t="str" cm="1">
        <f t="array" ref="N364">_xlfn.IFS(I364="M","Medium",I364="L","Light",I364="D","Dark")</f>
        <v>Light</v>
      </c>
      <c r="O364" t="str">
        <f>_xlfn.XLOOKUP(Orders[[#This Row],[Customer ID]],customers!$A$2:$A$1001,customers!$I$2:$I$1001,,0)</f>
        <v>Yes</v>
      </c>
    </row>
    <row r="365" spans="1:15" x14ac:dyDescent="0.3">
      <c r="A365" s="2" t="s">
        <v>2538</v>
      </c>
      <c r="B365" s="3">
        <v>44282</v>
      </c>
      <c r="C365" s="2" t="s">
        <v>2539</v>
      </c>
      <c r="D365" t="s">
        <v>6162</v>
      </c>
      <c r="E365" s="2">
        <v>6</v>
      </c>
      <c r="F365" s="2" t="str">
        <f>_xlfn.XLOOKUP(C365,customers!$A$2:$A$1001,customers!$B$2:$B$1001,,0)</f>
        <v>Kaja Loxton</v>
      </c>
      <c r="G365" s="2" t="str">
        <f>_xlfn.XLOOKUP(C365,customers!$A$2:$A$1001,customers!$G$2:$G$1001,,0)</f>
        <v>United States</v>
      </c>
      <c r="H365" t="str">
        <f>INDEX(products!$A$1:$G$49,MATCH(orders!$D365,products!$A$1:$A$49,0),MATCH(orders!H$1,products!$A$1:$G$1,0))</f>
        <v>Lib</v>
      </c>
      <c r="I365" t="str">
        <f>INDEX(products!$A$1:$G$49,MATCH(orders!$D365,products!$A$1:$A$49,0),MATCH(orders!I$1,products!$A$1:$G$1,0))</f>
        <v>M</v>
      </c>
      <c r="J365" s="5">
        <f>INDEX(products!$A$1:$G$49,MATCH(orders!$D365,products!$A$1:$A$49,0),MATCH(orders!J$1,products!$A$1:$G$1,0))</f>
        <v>1</v>
      </c>
      <c r="K365" s="6">
        <f>INDEX(products!$A$1:$G$49,MATCH(orders!$D365,products!$A$1:$A$49,0),MATCH(orders!K$1,products!$A$1:$G$1,0))</f>
        <v>14.55</v>
      </c>
      <c r="L365" s="6">
        <f>K365*E365</f>
        <v>87.300000000000011</v>
      </c>
      <c r="M365" t="str" cm="1">
        <f t="array" ref="M365">_xlfn.IFS(H365="Rob","Robusta",H365="Exc","Excelsa",H365="Ara","Arabica",H365="Lib","Liberica")</f>
        <v>Liberica</v>
      </c>
      <c r="N365" t="str" cm="1">
        <f t="array" ref="N365">_xlfn.IFS(I365="M","Medium",I365="L","Light",I365="D","Dark")</f>
        <v>Medium</v>
      </c>
      <c r="O365" t="str">
        <f>_xlfn.XLOOKUP(Orders[[#This Row],[Customer ID]],customers!$A$2:$A$1001,customers!$I$2:$I$1001,,0)</f>
        <v>No</v>
      </c>
    </row>
    <row r="366" spans="1:15" x14ac:dyDescent="0.3">
      <c r="A366" s="2" t="s">
        <v>2543</v>
      </c>
      <c r="B366" s="3">
        <v>43582</v>
      </c>
      <c r="C366" s="2" t="s">
        <v>2544</v>
      </c>
      <c r="D366" t="s">
        <v>6183</v>
      </c>
      <c r="E366" s="2">
        <v>6</v>
      </c>
      <c r="F366" s="2" t="str">
        <f>_xlfn.XLOOKUP(C366,customers!$A$2:$A$1001,customers!$B$2:$B$1001,,0)</f>
        <v>Parker Tofful</v>
      </c>
      <c r="G366" s="2" t="str">
        <f>_xlfn.XLOOKUP(C366,customers!$A$2:$A$1001,customers!$G$2:$G$1001,,0)</f>
        <v>United States</v>
      </c>
      <c r="H366" t="str">
        <f>INDEX(products!$A$1:$G$49,MATCH(orders!$D366,products!$A$1:$A$49,0),MATCH(orders!H$1,products!$A$1:$G$1,0))</f>
        <v>Exc</v>
      </c>
      <c r="I366" t="str">
        <f>INDEX(products!$A$1:$G$49,MATCH(orders!$D366,products!$A$1:$A$49,0),MATCH(orders!I$1,products!$A$1:$G$1,0))</f>
        <v>D</v>
      </c>
      <c r="J366" s="5">
        <f>INDEX(products!$A$1:$G$49,MATCH(orders!$D366,products!$A$1:$A$49,0),MATCH(orders!J$1,products!$A$1:$G$1,0))</f>
        <v>1</v>
      </c>
      <c r="K366" s="6">
        <f>INDEX(products!$A$1:$G$49,MATCH(orders!$D366,products!$A$1:$A$49,0),MATCH(orders!K$1,products!$A$1:$G$1,0))</f>
        <v>12.15</v>
      </c>
      <c r="L366" s="6">
        <f>K366*E366</f>
        <v>72.900000000000006</v>
      </c>
      <c r="M366" t="str" cm="1">
        <f t="array" ref="M366">_xlfn.IFS(H366="Rob","Robusta",H366="Exc","Excelsa",H366="Ara","Arabica",H366="Lib","Liberica")</f>
        <v>Excelsa</v>
      </c>
      <c r="N366" t="str" cm="1">
        <f t="array" ref="N366">_xlfn.IFS(I366="M","Medium",I366="L","Light",I366="D","Dark")</f>
        <v>Dark</v>
      </c>
      <c r="O366" t="str">
        <f>_xlfn.XLOOKUP(Orders[[#This Row],[Customer ID]],customers!$A$2:$A$1001,customers!$I$2:$I$1001,,0)</f>
        <v>Yes</v>
      </c>
    </row>
    <row r="367" spans="1:15" x14ac:dyDescent="0.3">
      <c r="A367" s="2" t="s">
        <v>2549</v>
      </c>
      <c r="B367" s="3">
        <v>44464</v>
      </c>
      <c r="C367" s="2" t="s">
        <v>2550</v>
      </c>
      <c r="D367" t="s">
        <v>6169</v>
      </c>
      <c r="E367" s="2">
        <v>1</v>
      </c>
      <c r="F367" s="2" t="str">
        <f>_xlfn.XLOOKUP(C367,customers!$A$2:$A$1001,customers!$B$2:$B$1001,,0)</f>
        <v>Casi Gwinnett</v>
      </c>
      <c r="G367" s="2" t="str">
        <f>_xlfn.XLOOKUP(C367,customers!$A$2:$A$1001,customers!$G$2:$G$1001,,0)</f>
        <v>United States</v>
      </c>
      <c r="H367" t="str">
        <f>INDEX(products!$A$1:$G$49,MATCH(orders!$D367,products!$A$1:$A$49,0),MATCH(orders!H$1,products!$A$1:$G$1,0))</f>
        <v>Lib</v>
      </c>
      <c r="I367" t="str">
        <f>INDEX(products!$A$1:$G$49,MATCH(orders!$D367,products!$A$1:$A$49,0),MATCH(orders!I$1,products!$A$1:$G$1,0))</f>
        <v>D</v>
      </c>
      <c r="J367" s="5">
        <f>INDEX(products!$A$1:$G$49,MATCH(orders!$D367,products!$A$1:$A$49,0),MATCH(orders!J$1,products!$A$1:$G$1,0))</f>
        <v>0.5</v>
      </c>
      <c r="K367" s="6">
        <f>INDEX(products!$A$1:$G$49,MATCH(orders!$D367,products!$A$1:$A$49,0),MATCH(orders!K$1,products!$A$1:$G$1,0))</f>
        <v>7.77</v>
      </c>
      <c r="L367" s="6">
        <f>K367*E367</f>
        <v>7.77</v>
      </c>
      <c r="M367" t="str" cm="1">
        <f t="array" ref="M367">_xlfn.IFS(H367="Rob","Robusta",H367="Exc","Excelsa",H367="Ara","Arabica",H367="Lib","Liberica")</f>
        <v>Liberica</v>
      </c>
      <c r="N367" t="str" cm="1">
        <f t="array" ref="N367">_xlfn.IFS(I367="M","Medium",I367="L","Light",I367="D","Dark")</f>
        <v>Dark</v>
      </c>
      <c r="O367" t="str">
        <f>_xlfn.XLOOKUP(Orders[[#This Row],[Customer ID]],customers!$A$2:$A$1001,customers!$I$2:$I$1001,,0)</f>
        <v>No</v>
      </c>
    </row>
    <row r="368" spans="1:15" x14ac:dyDescent="0.3">
      <c r="A368" s="2" t="s">
        <v>2554</v>
      </c>
      <c r="B368" s="3">
        <v>43874</v>
      </c>
      <c r="C368" s="2" t="s">
        <v>2555</v>
      </c>
      <c r="D368" t="s">
        <v>6144</v>
      </c>
      <c r="E368" s="2">
        <v>6</v>
      </c>
      <c r="F368" s="2" t="str">
        <f>_xlfn.XLOOKUP(C368,customers!$A$2:$A$1001,customers!$B$2:$B$1001,,0)</f>
        <v>Saree Ellesworth</v>
      </c>
      <c r="G368" s="2" t="str">
        <f>_xlfn.XLOOKUP(C368,customers!$A$2:$A$1001,customers!$G$2:$G$1001,,0)</f>
        <v>United States</v>
      </c>
      <c r="H368" t="str">
        <f>INDEX(products!$A$1:$G$49,MATCH(orders!$D368,products!$A$1:$A$49,0),MATCH(orders!H$1,products!$A$1:$G$1,0))</f>
        <v>Exc</v>
      </c>
      <c r="I368" t="str">
        <f>INDEX(products!$A$1:$G$49,MATCH(orders!$D368,products!$A$1:$A$49,0),MATCH(orders!I$1,products!$A$1:$G$1,0))</f>
        <v>D</v>
      </c>
      <c r="J368" s="5">
        <f>INDEX(products!$A$1:$G$49,MATCH(orders!$D368,products!$A$1:$A$49,0),MATCH(orders!J$1,products!$A$1:$G$1,0))</f>
        <v>0.5</v>
      </c>
      <c r="K368" s="6">
        <f>INDEX(products!$A$1:$G$49,MATCH(orders!$D368,products!$A$1:$A$49,0),MATCH(orders!K$1,products!$A$1:$G$1,0))</f>
        <v>7.29</v>
      </c>
      <c r="L368" s="6">
        <f>K368*E368</f>
        <v>43.74</v>
      </c>
      <c r="M368" t="str" cm="1">
        <f t="array" ref="M368">_xlfn.IFS(H368="Rob","Robusta",H368="Exc","Excelsa",H368="Ara","Arabica",H368="Lib","Liberica")</f>
        <v>Excelsa</v>
      </c>
      <c r="N368" t="str" cm="1">
        <f t="array" ref="N368">_xlfn.IFS(I368="M","Medium",I368="L","Light",I368="D","Dark")</f>
        <v>Dark</v>
      </c>
      <c r="O368" t="str">
        <f>_xlfn.XLOOKUP(Orders[[#This Row],[Customer ID]],customers!$A$2:$A$1001,customers!$I$2:$I$1001,,0)</f>
        <v>No</v>
      </c>
    </row>
    <row r="369" spans="1:15" x14ac:dyDescent="0.3">
      <c r="A369" s="2" t="s">
        <v>2559</v>
      </c>
      <c r="B369" s="3">
        <v>44393</v>
      </c>
      <c r="C369" s="2" t="s">
        <v>2560</v>
      </c>
      <c r="D369" t="s">
        <v>6159</v>
      </c>
      <c r="E369" s="2">
        <v>2</v>
      </c>
      <c r="F369" s="2" t="str">
        <f>_xlfn.XLOOKUP(C369,customers!$A$2:$A$1001,customers!$B$2:$B$1001,,0)</f>
        <v>Silvio Iorizzi</v>
      </c>
      <c r="G369" s="2" t="str">
        <f>_xlfn.XLOOKUP(C369,customers!$A$2:$A$1001,customers!$G$2:$G$1001,,0)</f>
        <v>United States</v>
      </c>
      <c r="H369" t="str">
        <f>INDEX(products!$A$1:$G$49,MATCH(orders!$D369,products!$A$1:$A$49,0),MATCH(orders!H$1,products!$A$1:$G$1,0))</f>
        <v>Lib</v>
      </c>
      <c r="I369" t="str">
        <f>INDEX(products!$A$1:$G$49,MATCH(orders!$D369,products!$A$1:$A$49,0),MATCH(orders!I$1,products!$A$1:$G$1,0))</f>
        <v>M</v>
      </c>
      <c r="J369" s="5">
        <f>INDEX(products!$A$1:$G$49,MATCH(orders!$D369,products!$A$1:$A$49,0),MATCH(orders!J$1,products!$A$1:$G$1,0))</f>
        <v>0.2</v>
      </c>
      <c r="K369" s="6">
        <f>INDEX(products!$A$1:$G$49,MATCH(orders!$D369,products!$A$1:$A$49,0),MATCH(orders!K$1,products!$A$1:$G$1,0))</f>
        <v>4.3650000000000002</v>
      </c>
      <c r="L369" s="6">
        <f>K369*E369</f>
        <v>8.73</v>
      </c>
      <c r="M369" t="str" cm="1">
        <f t="array" ref="M369">_xlfn.IFS(H369="Rob","Robusta",H369="Exc","Excelsa",H369="Ara","Arabica",H369="Lib","Liberica")</f>
        <v>Liberica</v>
      </c>
      <c r="N369" t="str" cm="1">
        <f t="array" ref="N369">_xlfn.IFS(I369="M","Medium",I369="L","Light",I369="D","Dark")</f>
        <v>Medium</v>
      </c>
      <c r="O369" t="str">
        <f>_xlfn.XLOOKUP(Orders[[#This Row],[Customer ID]],customers!$A$2:$A$1001,customers!$I$2:$I$1001,,0)</f>
        <v>Yes</v>
      </c>
    </row>
    <row r="370" spans="1:15" x14ac:dyDescent="0.3">
      <c r="A370" s="2" t="s">
        <v>2563</v>
      </c>
      <c r="B370" s="3">
        <v>44692</v>
      </c>
      <c r="C370" s="2" t="s">
        <v>2564</v>
      </c>
      <c r="D370" t="s">
        <v>6166</v>
      </c>
      <c r="E370" s="2">
        <v>2</v>
      </c>
      <c r="F370" s="2" t="str">
        <f>_xlfn.XLOOKUP(C370,customers!$A$2:$A$1001,customers!$B$2:$B$1001,,0)</f>
        <v>Leesa Flaonier</v>
      </c>
      <c r="G370" s="2" t="str">
        <f>_xlfn.XLOOKUP(C370,customers!$A$2:$A$1001,customers!$G$2:$G$1001,,0)</f>
        <v>United States</v>
      </c>
      <c r="H370" t="str">
        <f>INDEX(products!$A$1:$G$49,MATCH(orders!$D370,products!$A$1:$A$49,0),MATCH(orders!H$1,products!$A$1:$G$1,0))</f>
        <v>Exc</v>
      </c>
      <c r="I370" t="str">
        <f>INDEX(products!$A$1:$G$49,MATCH(orders!$D370,products!$A$1:$A$49,0),MATCH(orders!I$1,products!$A$1:$G$1,0))</f>
        <v>M</v>
      </c>
      <c r="J370" s="5">
        <f>INDEX(products!$A$1:$G$49,MATCH(orders!$D370,products!$A$1:$A$49,0),MATCH(orders!J$1,products!$A$1:$G$1,0))</f>
        <v>2.5</v>
      </c>
      <c r="K370" s="6">
        <f>INDEX(products!$A$1:$G$49,MATCH(orders!$D370,products!$A$1:$A$49,0),MATCH(orders!K$1,products!$A$1:$G$1,0))</f>
        <v>31.624999999999996</v>
      </c>
      <c r="L370" s="6">
        <f>K370*E370</f>
        <v>63.249999999999993</v>
      </c>
      <c r="M370" t="str" cm="1">
        <f t="array" ref="M370">_xlfn.IFS(H370="Rob","Robusta",H370="Exc","Excelsa",H370="Ara","Arabica",H370="Lib","Liberica")</f>
        <v>Excelsa</v>
      </c>
      <c r="N370" t="str" cm="1">
        <f t="array" ref="N370">_xlfn.IFS(I370="M","Medium",I370="L","Light",I370="D","Dark")</f>
        <v>Medium</v>
      </c>
      <c r="O370" t="str">
        <f>_xlfn.XLOOKUP(Orders[[#This Row],[Customer ID]],customers!$A$2:$A$1001,customers!$I$2:$I$1001,,0)</f>
        <v>No</v>
      </c>
    </row>
    <row r="371" spans="1:15" x14ac:dyDescent="0.3">
      <c r="A371" s="2" t="s">
        <v>2569</v>
      </c>
      <c r="B371" s="3">
        <v>43500</v>
      </c>
      <c r="C371" s="2" t="s">
        <v>2570</v>
      </c>
      <c r="D371" t="s">
        <v>6176</v>
      </c>
      <c r="E371" s="2">
        <v>1</v>
      </c>
      <c r="F371" s="2" t="str">
        <f>_xlfn.XLOOKUP(C371,customers!$A$2:$A$1001,customers!$B$2:$B$1001,,0)</f>
        <v>Abba Pummell</v>
      </c>
      <c r="G371" s="2" t="str">
        <f>_xlfn.XLOOKUP(C371,customers!$A$2:$A$1001,customers!$G$2:$G$1001,,0)</f>
        <v>United States</v>
      </c>
      <c r="H371" t="str">
        <f>INDEX(products!$A$1:$G$49,MATCH(orders!$D371,products!$A$1:$A$49,0),MATCH(orders!H$1,products!$A$1:$G$1,0))</f>
        <v>Exc</v>
      </c>
      <c r="I371" t="str">
        <f>INDEX(products!$A$1:$G$49,MATCH(orders!$D371,products!$A$1:$A$49,0),MATCH(orders!I$1,products!$A$1:$G$1,0))</f>
        <v>L</v>
      </c>
      <c r="J371" s="5">
        <f>INDEX(products!$A$1:$G$49,MATCH(orders!$D371,products!$A$1:$A$49,0),MATCH(orders!J$1,products!$A$1:$G$1,0))</f>
        <v>0.5</v>
      </c>
      <c r="K371" s="6">
        <f>INDEX(products!$A$1:$G$49,MATCH(orders!$D371,products!$A$1:$A$49,0),MATCH(orders!K$1,products!$A$1:$G$1,0))</f>
        <v>8.91</v>
      </c>
      <c r="L371" s="6">
        <f>K371*E371</f>
        <v>8.91</v>
      </c>
      <c r="M371" t="str" cm="1">
        <f t="array" ref="M371">_xlfn.IFS(H371="Rob","Robusta",H371="Exc","Excelsa",H371="Ara","Arabica",H371="Lib","Liberica")</f>
        <v>Excelsa</v>
      </c>
      <c r="N371" t="str" cm="1">
        <f t="array" ref="N371">_xlfn.IFS(I371="M","Medium",I371="L","Light",I371="D","Dark")</f>
        <v>Light</v>
      </c>
      <c r="O371" t="str">
        <f>_xlfn.XLOOKUP(Orders[[#This Row],[Customer ID]],customers!$A$2:$A$1001,customers!$I$2:$I$1001,,0)</f>
        <v>Yes</v>
      </c>
    </row>
    <row r="372" spans="1:15" x14ac:dyDescent="0.3">
      <c r="A372" s="2" t="s">
        <v>2573</v>
      </c>
      <c r="B372" s="3">
        <v>43501</v>
      </c>
      <c r="C372" s="2" t="s">
        <v>2574</v>
      </c>
      <c r="D372" t="s">
        <v>6183</v>
      </c>
      <c r="E372" s="2">
        <v>2</v>
      </c>
      <c r="F372" s="2" t="str">
        <f>_xlfn.XLOOKUP(C372,customers!$A$2:$A$1001,customers!$B$2:$B$1001,,0)</f>
        <v>Corinna Catcheside</v>
      </c>
      <c r="G372" s="2" t="str">
        <f>_xlfn.XLOOKUP(C372,customers!$A$2:$A$1001,customers!$G$2:$G$1001,,0)</f>
        <v>United States</v>
      </c>
      <c r="H372" t="str">
        <f>INDEX(products!$A$1:$G$49,MATCH(orders!$D372,products!$A$1:$A$49,0),MATCH(orders!H$1,products!$A$1:$G$1,0))</f>
        <v>Exc</v>
      </c>
      <c r="I372" t="str">
        <f>INDEX(products!$A$1:$G$49,MATCH(orders!$D372,products!$A$1:$A$49,0),MATCH(orders!I$1,products!$A$1:$G$1,0))</f>
        <v>D</v>
      </c>
      <c r="J372" s="5">
        <f>INDEX(products!$A$1:$G$49,MATCH(orders!$D372,products!$A$1:$A$49,0),MATCH(orders!J$1,products!$A$1:$G$1,0))</f>
        <v>1</v>
      </c>
      <c r="K372" s="6">
        <f>INDEX(products!$A$1:$G$49,MATCH(orders!$D372,products!$A$1:$A$49,0),MATCH(orders!K$1,products!$A$1:$G$1,0))</f>
        <v>12.15</v>
      </c>
      <c r="L372" s="6">
        <f>K372*E372</f>
        <v>24.3</v>
      </c>
      <c r="M372" t="str" cm="1">
        <f t="array" ref="M372">_xlfn.IFS(H372="Rob","Robusta",H372="Exc","Excelsa",H372="Ara","Arabica",H372="Lib","Liberica")</f>
        <v>Excelsa</v>
      </c>
      <c r="N372" t="str" cm="1">
        <f t="array" ref="N372">_xlfn.IFS(I372="M","Medium",I372="L","Light",I372="D","Dark")</f>
        <v>Dark</v>
      </c>
      <c r="O372" t="str">
        <f>_xlfn.XLOOKUP(Orders[[#This Row],[Customer ID]],customers!$A$2:$A$1001,customers!$I$2:$I$1001,,0)</f>
        <v>Yes</v>
      </c>
    </row>
    <row r="373" spans="1:15" x14ac:dyDescent="0.3">
      <c r="A373" s="2" t="s">
        <v>2579</v>
      </c>
      <c r="B373" s="3">
        <v>44705</v>
      </c>
      <c r="C373" s="2" t="s">
        <v>2580</v>
      </c>
      <c r="D373" t="s">
        <v>6180</v>
      </c>
      <c r="E373" s="2">
        <v>6</v>
      </c>
      <c r="F373" s="2" t="str">
        <f>_xlfn.XLOOKUP(C373,customers!$A$2:$A$1001,customers!$B$2:$B$1001,,0)</f>
        <v>Cortney Gibbonson</v>
      </c>
      <c r="G373" s="2" t="str">
        <f>_xlfn.XLOOKUP(C373,customers!$A$2:$A$1001,customers!$G$2:$G$1001,,0)</f>
        <v>United States</v>
      </c>
      <c r="H373" t="str">
        <f>INDEX(products!$A$1:$G$49,MATCH(orders!$D373,products!$A$1:$A$49,0),MATCH(orders!H$1,products!$A$1:$G$1,0))</f>
        <v>Ara</v>
      </c>
      <c r="I373" t="str">
        <f>INDEX(products!$A$1:$G$49,MATCH(orders!$D373,products!$A$1:$A$49,0),MATCH(orders!I$1,products!$A$1:$G$1,0))</f>
        <v>L</v>
      </c>
      <c r="J373" s="5">
        <f>INDEX(products!$A$1:$G$49,MATCH(orders!$D373,products!$A$1:$A$49,0),MATCH(orders!J$1,products!$A$1:$G$1,0))</f>
        <v>0.5</v>
      </c>
      <c r="K373" s="6">
        <f>INDEX(products!$A$1:$G$49,MATCH(orders!$D373,products!$A$1:$A$49,0),MATCH(orders!K$1,products!$A$1:$G$1,0))</f>
        <v>7.77</v>
      </c>
      <c r="L373" s="6">
        <f>K373*E373</f>
        <v>46.62</v>
      </c>
      <c r="M373" t="str" cm="1">
        <f t="array" ref="M373">_xlfn.IFS(H373="Rob","Robusta",H373="Exc","Excelsa",H373="Ara","Arabica",H373="Lib","Liberica")</f>
        <v>Arabica</v>
      </c>
      <c r="N373" t="str" cm="1">
        <f t="array" ref="N373">_xlfn.IFS(I373="M","Medium",I373="L","Light",I373="D","Dark")</f>
        <v>Light</v>
      </c>
      <c r="O373" t="str">
        <f>_xlfn.XLOOKUP(Orders[[#This Row],[Customer ID]],customers!$A$2:$A$1001,customers!$I$2:$I$1001,,0)</f>
        <v>Yes</v>
      </c>
    </row>
    <row r="374" spans="1:15" x14ac:dyDescent="0.3">
      <c r="A374" s="2" t="s">
        <v>2585</v>
      </c>
      <c r="B374" s="3">
        <v>44108</v>
      </c>
      <c r="C374" s="2" t="s">
        <v>2586</v>
      </c>
      <c r="D374" t="s">
        <v>6173</v>
      </c>
      <c r="E374" s="2">
        <v>6</v>
      </c>
      <c r="F374" s="2" t="str">
        <f>_xlfn.XLOOKUP(C374,customers!$A$2:$A$1001,customers!$B$2:$B$1001,,0)</f>
        <v>Terri Farra</v>
      </c>
      <c r="G374" s="2" t="str">
        <f>_xlfn.XLOOKUP(C374,customers!$A$2:$A$1001,customers!$G$2:$G$1001,,0)</f>
        <v>United States</v>
      </c>
      <c r="H374" t="str">
        <f>INDEX(products!$A$1:$G$49,MATCH(orders!$D374,products!$A$1:$A$49,0),MATCH(orders!H$1,products!$A$1:$G$1,0))</f>
        <v>Rob</v>
      </c>
      <c r="I374" t="str">
        <f>INDEX(products!$A$1:$G$49,MATCH(orders!$D374,products!$A$1:$A$49,0),MATCH(orders!I$1,products!$A$1:$G$1,0))</f>
        <v>L</v>
      </c>
      <c r="J374" s="5">
        <f>INDEX(products!$A$1:$G$49,MATCH(orders!$D374,products!$A$1:$A$49,0),MATCH(orders!J$1,products!$A$1:$G$1,0))</f>
        <v>0.5</v>
      </c>
      <c r="K374" s="6">
        <f>INDEX(products!$A$1:$G$49,MATCH(orders!$D374,products!$A$1:$A$49,0),MATCH(orders!K$1,products!$A$1:$G$1,0))</f>
        <v>7.169999999999999</v>
      </c>
      <c r="L374" s="6">
        <f>K374*E374</f>
        <v>43.019999999999996</v>
      </c>
      <c r="M374" t="str" cm="1">
        <f t="array" ref="M374">_xlfn.IFS(H374="Rob","Robusta",H374="Exc","Excelsa",H374="Ara","Arabica",H374="Lib","Liberica")</f>
        <v>Robusta</v>
      </c>
      <c r="N374" t="str" cm="1">
        <f t="array" ref="N374">_xlfn.IFS(I374="M","Medium",I374="L","Light",I374="D","Dark")</f>
        <v>Light</v>
      </c>
      <c r="O374" t="str">
        <f>_xlfn.XLOOKUP(Orders[[#This Row],[Customer ID]],customers!$A$2:$A$1001,customers!$I$2:$I$1001,,0)</f>
        <v>No</v>
      </c>
    </row>
    <row r="375" spans="1:15" x14ac:dyDescent="0.3">
      <c r="A375" s="2" t="s">
        <v>2591</v>
      </c>
      <c r="B375" s="3">
        <v>44742</v>
      </c>
      <c r="C375" s="2" t="s">
        <v>2592</v>
      </c>
      <c r="D375" t="s">
        <v>6158</v>
      </c>
      <c r="E375" s="2">
        <v>3</v>
      </c>
      <c r="F375" s="2" t="str">
        <f>_xlfn.XLOOKUP(C375,customers!$A$2:$A$1001,customers!$B$2:$B$1001,,0)</f>
        <v>Corney Curme</v>
      </c>
      <c r="G375" s="2" t="str">
        <f>_xlfn.XLOOKUP(C375,customers!$A$2:$A$1001,customers!$G$2:$G$1001,,0)</f>
        <v>Ireland</v>
      </c>
      <c r="H375" t="str">
        <f>INDEX(products!$A$1:$G$49,MATCH(orders!$D375,products!$A$1:$A$49,0),MATCH(orders!H$1,products!$A$1:$G$1,0))</f>
        <v>Ara</v>
      </c>
      <c r="I375" t="str">
        <f>INDEX(products!$A$1:$G$49,MATCH(orders!$D375,products!$A$1:$A$49,0),MATCH(orders!I$1,products!$A$1:$G$1,0))</f>
        <v>D</v>
      </c>
      <c r="J375" s="5">
        <f>INDEX(products!$A$1:$G$49,MATCH(orders!$D375,products!$A$1:$A$49,0),MATCH(orders!J$1,products!$A$1:$G$1,0))</f>
        <v>0.5</v>
      </c>
      <c r="K375" s="6">
        <f>INDEX(products!$A$1:$G$49,MATCH(orders!$D375,products!$A$1:$A$49,0),MATCH(orders!K$1,products!$A$1:$G$1,0))</f>
        <v>5.97</v>
      </c>
      <c r="L375" s="6">
        <f>K375*E375</f>
        <v>17.91</v>
      </c>
      <c r="M375" t="str" cm="1">
        <f t="array" ref="M375">_xlfn.IFS(H375="Rob","Robusta",H375="Exc","Excelsa",H375="Ara","Arabica",H375="Lib","Liberica")</f>
        <v>Arabica</v>
      </c>
      <c r="N375" t="str" cm="1">
        <f t="array" ref="N375">_xlfn.IFS(I375="M","Medium",I375="L","Light",I375="D","Dark")</f>
        <v>Dark</v>
      </c>
      <c r="O375" t="str">
        <f>_xlfn.XLOOKUP(Orders[[#This Row],[Customer ID]],customers!$A$2:$A$1001,customers!$I$2:$I$1001,,0)</f>
        <v>Yes</v>
      </c>
    </row>
    <row r="376" spans="1:15" x14ac:dyDescent="0.3">
      <c r="A376" s="2" t="s">
        <v>2597</v>
      </c>
      <c r="B376" s="3">
        <v>44125</v>
      </c>
      <c r="C376" s="2" t="s">
        <v>2598</v>
      </c>
      <c r="D376" t="s">
        <v>6161</v>
      </c>
      <c r="E376" s="2">
        <v>4</v>
      </c>
      <c r="F376" s="2" t="str">
        <f>_xlfn.XLOOKUP(C376,customers!$A$2:$A$1001,customers!$B$2:$B$1001,,0)</f>
        <v>Gothart Bamfield</v>
      </c>
      <c r="G376" s="2" t="str">
        <f>_xlfn.XLOOKUP(C376,customers!$A$2:$A$1001,customers!$G$2:$G$1001,,0)</f>
        <v>United States</v>
      </c>
      <c r="H376" t="str">
        <f>INDEX(products!$A$1:$G$49,MATCH(orders!$D376,products!$A$1:$A$49,0),MATCH(orders!H$1,products!$A$1:$G$1,0))</f>
        <v>Lib</v>
      </c>
      <c r="I376" t="str">
        <f>INDEX(products!$A$1:$G$49,MATCH(orders!$D376,products!$A$1:$A$49,0),MATCH(orders!I$1,products!$A$1:$G$1,0))</f>
        <v>L</v>
      </c>
      <c r="J376" s="5">
        <f>INDEX(products!$A$1:$G$49,MATCH(orders!$D376,products!$A$1:$A$49,0),MATCH(orders!J$1,products!$A$1:$G$1,0))</f>
        <v>0.5</v>
      </c>
      <c r="K376" s="6">
        <f>INDEX(products!$A$1:$G$49,MATCH(orders!$D376,products!$A$1:$A$49,0),MATCH(orders!K$1,products!$A$1:$G$1,0))</f>
        <v>9.51</v>
      </c>
      <c r="L376" s="6">
        <f>K376*E376</f>
        <v>38.04</v>
      </c>
      <c r="M376" t="str" cm="1">
        <f t="array" ref="M376">_xlfn.IFS(H376="Rob","Robusta",H376="Exc","Excelsa",H376="Ara","Arabica",H376="Lib","Liberica")</f>
        <v>Liberica</v>
      </c>
      <c r="N376" t="str" cm="1">
        <f t="array" ref="N376">_xlfn.IFS(I376="M","Medium",I376="L","Light",I376="D","Dark")</f>
        <v>Light</v>
      </c>
      <c r="O376" t="str">
        <f>_xlfn.XLOOKUP(Orders[[#This Row],[Customer ID]],customers!$A$2:$A$1001,customers!$I$2:$I$1001,,0)</f>
        <v>Yes</v>
      </c>
    </row>
    <row r="377" spans="1:15" x14ac:dyDescent="0.3">
      <c r="A377" s="2" t="s">
        <v>2603</v>
      </c>
      <c r="B377" s="3">
        <v>44120</v>
      </c>
      <c r="C377" s="2" t="s">
        <v>2604</v>
      </c>
      <c r="D377" t="s">
        <v>6152</v>
      </c>
      <c r="E377" s="2">
        <v>2</v>
      </c>
      <c r="F377" s="2" t="str">
        <f>_xlfn.XLOOKUP(C377,customers!$A$2:$A$1001,customers!$B$2:$B$1001,,0)</f>
        <v>Waylin Hollingdale</v>
      </c>
      <c r="G377" s="2" t="str">
        <f>_xlfn.XLOOKUP(C377,customers!$A$2:$A$1001,customers!$G$2:$G$1001,,0)</f>
        <v>United States</v>
      </c>
      <c r="H377" t="str">
        <f>INDEX(products!$A$1:$G$49,MATCH(orders!$D377,products!$A$1:$A$49,0),MATCH(orders!H$1,products!$A$1:$G$1,0))</f>
        <v>Ara</v>
      </c>
      <c r="I377" t="str">
        <f>INDEX(products!$A$1:$G$49,MATCH(orders!$D377,products!$A$1:$A$49,0),MATCH(orders!I$1,products!$A$1:$G$1,0))</f>
        <v>M</v>
      </c>
      <c r="J377" s="5">
        <f>INDEX(products!$A$1:$G$49,MATCH(orders!$D377,products!$A$1:$A$49,0),MATCH(orders!J$1,products!$A$1:$G$1,0))</f>
        <v>0.2</v>
      </c>
      <c r="K377" s="6">
        <f>INDEX(products!$A$1:$G$49,MATCH(orders!$D377,products!$A$1:$A$49,0),MATCH(orders!K$1,products!$A$1:$G$1,0))</f>
        <v>3.375</v>
      </c>
      <c r="L377" s="6">
        <f>K377*E377</f>
        <v>6.75</v>
      </c>
      <c r="M377" t="str" cm="1">
        <f t="array" ref="M377">_xlfn.IFS(H377="Rob","Robusta",H377="Exc","Excelsa",H377="Ara","Arabica",H377="Lib","Liberica")</f>
        <v>Arabica</v>
      </c>
      <c r="N377" t="str" cm="1">
        <f t="array" ref="N377">_xlfn.IFS(I377="M","Medium",I377="L","Light",I377="D","Dark")</f>
        <v>Medium</v>
      </c>
      <c r="O377" t="str">
        <f>_xlfn.XLOOKUP(Orders[[#This Row],[Customer ID]],customers!$A$2:$A$1001,customers!$I$2:$I$1001,,0)</f>
        <v>Yes</v>
      </c>
    </row>
    <row r="378" spans="1:15" x14ac:dyDescent="0.3">
      <c r="A378" s="2" t="s">
        <v>2609</v>
      </c>
      <c r="B378" s="3">
        <v>44097</v>
      </c>
      <c r="C378" s="2" t="s">
        <v>2610</v>
      </c>
      <c r="D378" t="s">
        <v>6146</v>
      </c>
      <c r="E378" s="2">
        <v>1</v>
      </c>
      <c r="F378" s="2" t="str">
        <f>_xlfn.XLOOKUP(C378,customers!$A$2:$A$1001,customers!$B$2:$B$1001,,0)</f>
        <v>Judd De Leek</v>
      </c>
      <c r="G378" s="2" t="str">
        <f>_xlfn.XLOOKUP(C378,customers!$A$2:$A$1001,customers!$G$2:$G$1001,,0)</f>
        <v>United States</v>
      </c>
      <c r="H378" t="str">
        <f>INDEX(products!$A$1:$G$49,MATCH(orders!$D378,products!$A$1:$A$49,0),MATCH(orders!H$1,products!$A$1:$G$1,0))</f>
        <v>Rob</v>
      </c>
      <c r="I378" t="str">
        <f>INDEX(products!$A$1:$G$49,MATCH(orders!$D378,products!$A$1:$A$49,0),MATCH(orders!I$1,products!$A$1:$G$1,0))</f>
        <v>M</v>
      </c>
      <c r="J378" s="5">
        <f>INDEX(products!$A$1:$G$49,MATCH(orders!$D378,products!$A$1:$A$49,0),MATCH(orders!J$1,products!$A$1:$G$1,0))</f>
        <v>0.5</v>
      </c>
      <c r="K378" s="6">
        <f>INDEX(products!$A$1:$G$49,MATCH(orders!$D378,products!$A$1:$A$49,0),MATCH(orders!K$1,products!$A$1:$G$1,0))</f>
        <v>5.97</v>
      </c>
      <c r="L378" s="6">
        <f>K378*E378</f>
        <v>5.97</v>
      </c>
      <c r="M378" t="str" cm="1">
        <f t="array" ref="M378">_xlfn.IFS(H378="Rob","Robusta",H378="Exc","Excelsa",H378="Ara","Arabica",H378="Lib","Liberica")</f>
        <v>Robusta</v>
      </c>
      <c r="N378" t="str" cm="1">
        <f t="array" ref="N378">_xlfn.IFS(I378="M","Medium",I378="L","Light",I378="D","Dark")</f>
        <v>Medium</v>
      </c>
      <c r="O378" t="str">
        <f>_xlfn.XLOOKUP(Orders[[#This Row],[Customer ID]],customers!$A$2:$A$1001,customers!$I$2:$I$1001,,0)</f>
        <v>Yes</v>
      </c>
    </row>
    <row r="379" spans="1:15" x14ac:dyDescent="0.3">
      <c r="A379" s="2" t="s">
        <v>2615</v>
      </c>
      <c r="B379" s="3">
        <v>43532</v>
      </c>
      <c r="C379" s="2" t="s">
        <v>2616</v>
      </c>
      <c r="D379" t="s">
        <v>6163</v>
      </c>
      <c r="E379" s="2">
        <v>3</v>
      </c>
      <c r="F379" s="2" t="str">
        <f>_xlfn.XLOOKUP(C379,customers!$A$2:$A$1001,customers!$B$2:$B$1001,,0)</f>
        <v>Vanya Skullet</v>
      </c>
      <c r="G379" s="2" t="str">
        <f>_xlfn.XLOOKUP(C379,customers!$A$2:$A$1001,customers!$G$2:$G$1001,,0)</f>
        <v>Ireland</v>
      </c>
      <c r="H379" t="str">
        <f>INDEX(products!$A$1:$G$49,MATCH(orders!$D379,products!$A$1:$A$49,0),MATCH(orders!H$1,products!$A$1:$G$1,0))</f>
        <v>Rob</v>
      </c>
      <c r="I379" t="str">
        <f>INDEX(products!$A$1:$G$49,MATCH(orders!$D379,products!$A$1:$A$49,0),MATCH(orders!I$1,products!$A$1:$G$1,0))</f>
        <v>D</v>
      </c>
      <c r="J379" s="5">
        <f>INDEX(products!$A$1:$G$49,MATCH(orders!$D379,products!$A$1:$A$49,0),MATCH(orders!J$1,products!$A$1:$G$1,0))</f>
        <v>0.2</v>
      </c>
      <c r="K379" s="6">
        <f>INDEX(products!$A$1:$G$49,MATCH(orders!$D379,products!$A$1:$A$49,0),MATCH(orders!K$1,products!$A$1:$G$1,0))</f>
        <v>2.6849999999999996</v>
      </c>
      <c r="L379" s="6">
        <f>K379*E379</f>
        <v>8.0549999999999997</v>
      </c>
      <c r="M379" t="str" cm="1">
        <f t="array" ref="M379">_xlfn.IFS(H379="Rob","Robusta",H379="Exc","Excelsa",H379="Ara","Arabica",H379="Lib","Liberica")</f>
        <v>Robusta</v>
      </c>
      <c r="N379" t="str" cm="1">
        <f t="array" ref="N379">_xlfn.IFS(I379="M","Medium",I379="L","Light",I379="D","Dark")</f>
        <v>Dark</v>
      </c>
      <c r="O379" t="str">
        <f>_xlfn.XLOOKUP(Orders[[#This Row],[Customer ID]],customers!$A$2:$A$1001,customers!$I$2:$I$1001,,0)</f>
        <v>No</v>
      </c>
    </row>
    <row r="380" spans="1:15" x14ac:dyDescent="0.3">
      <c r="A380" s="2" t="s">
        <v>2621</v>
      </c>
      <c r="B380" s="3">
        <v>44377</v>
      </c>
      <c r="C380" s="2" t="s">
        <v>2622</v>
      </c>
      <c r="D380" t="s">
        <v>6180</v>
      </c>
      <c r="E380" s="2">
        <v>3</v>
      </c>
      <c r="F380" s="2" t="str">
        <f>_xlfn.XLOOKUP(C380,customers!$A$2:$A$1001,customers!$B$2:$B$1001,,0)</f>
        <v>Jany Rudeforth</v>
      </c>
      <c r="G380" s="2" t="str">
        <f>_xlfn.XLOOKUP(C380,customers!$A$2:$A$1001,customers!$G$2:$G$1001,,0)</f>
        <v>Ireland</v>
      </c>
      <c r="H380" t="str">
        <f>INDEX(products!$A$1:$G$49,MATCH(orders!$D380,products!$A$1:$A$49,0),MATCH(orders!H$1,products!$A$1:$G$1,0))</f>
        <v>Ara</v>
      </c>
      <c r="I380" t="str">
        <f>INDEX(products!$A$1:$G$49,MATCH(orders!$D380,products!$A$1:$A$49,0),MATCH(orders!I$1,products!$A$1:$G$1,0))</f>
        <v>L</v>
      </c>
      <c r="J380" s="5">
        <f>INDEX(products!$A$1:$G$49,MATCH(orders!$D380,products!$A$1:$A$49,0),MATCH(orders!J$1,products!$A$1:$G$1,0))</f>
        <v>0.5</v>
      </c>
      <c r="K380" s="6">
        <f>INDEX(products!$A$1:$G$49,MATCH(orders!$D380,products!$A$1:$A$49,0),MATCH(orders!K$1,products!$A$1:$G$1,0))</f>
        <v>7.77</v>
      </c>
      <c r="L380" s="6">
        <f>K380*E380</f>
        <v>23.31</v>
      </c>
      <c r="M380" t="str" cm="1">
        <f t="array" ref="M380">_xlfn.IFS(H380="Rob","Robusta",H380="Exc","Excelsa",H380="Ara","Arabica",H380="Lib","Liberica")</f>
        <v>Arabica</v>
      </c>
      <c r="N380" t="str" cm="1">
        <f t="array" ref="N380">_xlfn.IFS(I380="M","Medium",I380="L","Light",I380="D","Dark")</f>
        <v>Light</v>
      </c>
      <c r="O380" t="str">
        <f>_xlfn.XLOOKUP(Orders[[#This Row],[Customer ID]],customers!$A$2:$A$1001,customers!$I$2:$I$1001,,0)</f>
        <v>Yes</v>
      </c>
    </row>
    <row r="381" spans="1:15" x14ac:dyDescent="0.3">
      <c r="A381" s="2" t="s">
        <v>2627</v>
      </c>
      <c r="B381" s="3">
        <v>43690</v>
      </c>
      <c r="C381" s="2" t="s">
        <v>2628</v>
      </c>
      <c r="D381" t="s">
        <v>6173</v>
      </c>
      <c r="E381" s="2">
        <v>6</v>
      </c>
      <c r="F381" s="2" t="str">
        <f>_xlfn.XLOOKUP(C381,customers!$A$2:$A$1001,customers!$B$2:$B$1001,,0)</f>
        <v>Ashbey Tomaszewski</v>
      </c>
      <c r="G381" s="2" t="str">
        <f>_xlfn.XLOOKUP(C381,customers!$A$2:$A$1001,customers!$G$2:$G$1001,,0)</f>
        <v>United Kingdom</v>
      </c>
      <c r="H381" t="str">
        <f>INDEX(products!$A$1:$G$49,MATCH(orders!$D381,products!$A$1:$A$49,0),MATCH(orders!H$1,products!$A$1:$G$1,0))</f>
        <v>Rob</v>
      </c>
      <c r="I381" t="str">
        <f>INDEX(products!$A$1:$G$49,MATCH(orders!$D381,products!$A$1:$A$49,0),MATCH(orders!I$1,products!$A$1:$G$1,0))</f>
        <v>L</v>
      </c>
      <c r="J381" s="5">
        <f>INDEX(products!$A$1:$G$49,MATCH(orders!$D381,products!$A$1:$A$49,0),MATCH(orders!J$1,products!$A$1:$G$1,0))</f>
        <v>0.5</v>
      </c>
      <c r="K381" s="6">
        <f>INDEX(products!$A$1:$G$49,MATCH(orders!$D381,products!$A$1:$A$49,0),MATCH(orders!K$1,products!$A$1:$G$1,0))</f>
        <v>7.169999999999999</v>
      </c>
      <c r="L381" s="6">
        <f>K381*E381</f>
        <v>43.019999999999996</v>
      </c>
      <c r="M381" t="str" cm="1">
        <f t="array" ref="M381">_xlfn.IFS(H381="Rob","Robusta",H381="Exc","Excelsa",H381="Ara","Arabica",H381="Lib","Liberica")</f>
        <v>Robusta</v>
      </c>
      <c r="N381" t="str" cm="1">
        <f t="array" ref="N381">_xlfn.IFS(I381="M","Medium",I381="L","Light",I381="D","Dark")</f>
        <v>Light</v>
      </c>
      <c r="O381" t="str">
        <f>_xlfn.XLOOKUP(Orders[[#This Row],[Customer ID]],customers!$A$2:$A$1001,customers!$I$2:$I$1001,,0)</f>
        <v>Yes</v>
      </c>
    </row>
    <row r="382" spans="1:15" x14ac:dyDescent="0.3">
      <c r="A382" s="2" t="s">
        <v>2632</v>
      </c>
      <c r="B382" s="3">
        <v>44249</v>
      </c>
      <c r="C382" s="2" t="s">
        <v>2331</v>
      </c>
      <c r="D382" t="s">
        <v>6169</v>
      </c>
      <c r="E382" s="2">
        <v>3</v>
      </c>
      <c r="F382" s="2" t="str">
        <f>_xlfn.XLOOKUP(C382,customers!$A$2:$A$1001,customers!$B$2:$B$1001,,0)</f>
        <v>Flynn Antony</v>
      </c>
      <c r="G382" s="2" t="str">
        <f>_xlfn.XLOOKUP(C382,customers!$A$2:$A$1001,customers!$G$2:$G$1001,,0)</f>
        <v>United States</v>
      </c>
      <c r="H382" t="str">
        <f>INDEX(products!$A$1:$G$49,MATCH(orders!$D382,products!$A$1:$A$49,0),MATCH(orders!H$1,products!$A$1:$G$1,0))</f>
        <v>Lib</v>
      </c>
      <c r="I382" t="str">
        <f>INDEX(products!$A$1:$G$49,MATCH(orders!$D382,products!$A$1:$A$49,0),MATCH(orders!I$1,products!$A$1:$G$1,0))</f>
        <v>D</v>
      </c>
      <c r="J382" s="5">
        <f>INDEX(products!$A$1:$G$49,MATCH(orders!$D382,products!$A$1:$A$49,0),MATCH(orders!J$1,products!$A$1:$G$1,0))</f>
        <v>0.5</v>
      </c>
      <c r="K382" s="6">
        <f>INDEX(products!$A$1:$G$49,MATCH(orders!$D382,products!$A$1:$A$49,0),MATCH(orders!K$1,products!$A$1:$G$1,0))</f>
        <v>7.77</v>
      </c>
      <c r="L382" s="6">
        <f>K382*E382</f>
        <v>23.31</v>
      </c>
      <c r="M382" t="str" cm="1">
        <f t="array" ref="M382">_xlfn.IFS(H382="Rob","Robusta",H382="Exc","Excelsa",H382="Ara","Arabica",H382="Lib","Liberica")</f>
        <v>Liberica</v>
      </c>
      <c r="N382" t="str" cm="1">
        <f t="array" ref="N382">_xlfn.IFS(I382="M","Medium",I382="L","Light",I382="D","Dark")</f>
        <v>Dark</v>
      </c>
      <c r="O382" t="str">
        <f>_xlfn.XLOOKUP(Orders[[#This Row],[Customer ID]],customers!$A$2:$A$1001,customers!$I$2:$I$1001,,0)</f>
        <v>No</v>
      </c>
    </row>
    <row r="383" spans="1:15" x14ac:dyDescent="0.3">
      <c r="A383" s="2" t="s">
        <v>2638</v>
      </c>
      <c r="B383" s="3">
        <v>44646</v>
      </c>
      <c r="C383" s="2" t="s">
        <v>2639</v>
      </c>
      <c r="D383" t="s">
        <v>6154</v>
      </c>
      <c r="E383" s="2">
        <v>5</v>
      </c>
      <c r="F383" s="2" t="str">
        <f>_xlfn.XLOOKUP(C383,customers!$A$2:$A$1001,customers!$B$2:$B$1001,,0)</f>
        <v>Pren Bess</v>
      </c>
      <c r="G383" s="2" t="str">
        <f>_xlfn.XLOOKUP(C383,customers!$A$2:$A$1001,customers!$G$2:$G$1001,,0)</f>
        <v>United States</v>
      </c>
      <c r="H383" t="str">
        <f>INDEX(products!$A$1:$G$49,MATCH(orders!$D383,products!$A$1:$A$49,0),MATCH(orders!H$1,products!$A$1:$G$1,0))</f>
        <v>Ara</v>
      </c>
      <c r="I383" t="str">
        <f>INDEX(products!$A$1:$G$49,MATCH(orders!$D383,products!$A$1:$A$49,0),MATCH(orders!I$1,products!$A$1:$G$1,0))</f>
        <v>D</v>
      </c>
      <c r="J383" s="5">
        <f>INDEX(products!$A$1:$G$49,MATCH(orders!$D383,products!$A$1:$A$49,0),MATCH(orders!J$1,products!$A$1:$G$1,0))</f>
        <v>0.2</v>
      </c>
      <c r="K383" s="6">
        <f>INDEX(products!$A$1:$G$49,MATCH(orders!$D383,products!$A$1:$A$49,0),MATCH(orders!K$1,products!$A$1:$G$1,0))</f>
        <v>2.9849999999999999</v>
      </c>
      <c r="L383" s="6">
        <f>K383*E383</f>
        <v>14.924999999999999</v>
      </c>
      <c r="M383" t="str" cm="1">
        <f t="array" ref="M383">_xlfn.IFS(H383="Rob","Robusta",H383="Exc","Excelsa",H383="Ara","Arabica",H383="Lib","Liberica")</f>
        <v>Arabica</v>
      </c>
      <c r="N383" t="str" cm="1">
        <f t="array" ref="N383">_xlfn.IFS(I383="M","Medium",I383="L","Light",I383="D","Dark")</f>
        <v>Dark</v>
      </c>
      <c r="O383" t="str">
        <f>_xlfn.XLOOKUP(Orders[[#This Row],[Customer ID]],customers!$A$2:$A$1001,customers!$I$2:$I$1001,,0)</f>
        <v>Yes</v>
      </c>
    </row>
    <row r="384" spans="1:15" x14ac:dyDescent="0.3">
      <c r="A384" s="2" t="s">
        <v>2644</v>
      </c>
      <c r="B384" s="3">
        <v>43840</v>
      </c>
      <c r="C384" s="2" t="s">
        <v>2645</v>
      </c>
      <c r="D384" t="s">
        <v>6144</v>
      </c>
      <c r="E384" s="2">
        <v>3</v>
      </c>
      <c r="F384" s="2" t="str">
        <f>_xlfn.XLOOKUP(C384,customers!$A$2:$A$1001,customers!$B$2:$B$1001,,0)</f>
        <v>Elka Windress</v>
      </c>
      <c r="G384" s="2" t="str">
        <f>_xlfn.XLOOKUP(C384,customers!$A$2:$A$1001,customers!$G$2:$G$1001,,0)</f>
        <v>United States</v>
      </c>
      <c r="H384" t="str">
        <f>INDEX(products!$A$1:$G$49,MATCH(orders!$D384,products!$A$1:$A$49,0),MATCH(orders!H$1,products!$A$1:$G$1,0))</f>
        <v>Exc</v>
      </c>
      <c r="I384" t="str">
        <f>INDEX(products!$A$1:$G$49,MATCH(orders!$D384,products!$A$1:$A$49,0),MATCH(orders!I$1,products!$A$1:$G$1,0))</f>
        <v>D</v>
      </c>
      <c r="J384" s="5">
        <f>INDEX(products!$A$1:$G$49,MATCH(orders!$D384,products!$A$1:$A$49,0),MATCH(orders!J$1,products!$A$1:$G$1,0))</f>
        <v>0.5</v>
      </c>
      <c r="K384" s="6">
        <f>INDEX(products!$A$1:$G$49,MATCH(orders!$D384,products!$A$1:$A$49,0),MATCH(orders!K$1,products!$A$1:$G$1,0))</f>
        <v>7.29</v>
      </c>
      <c r="L384" s="6">
        <f>K384*E384</f>
        <v>21.87</v>
      </c>
      <c r="M384" t="str" cm="1">
        <f t="array" ref="M384">_xlfn.IFS(H384="Rob","Robusta",H384="Exc","Excelsa",H384="Ara","Arabica",H384="Lib","Liberica")</f>
        <v>Excelsa</v>
      </c>
      <c r="N384" t="str" cm="1">
        <f t="array" ref="N384">_xlfn.IFS(I384="M","Medium",I384="L","Light",I384="D","Dark")</f>
        <v>Dark</v>
      </c>
      <c r="O384" t="str">
        <f>_xlfn.XLOOKUP(Orders[[#This Row],[Customer ID]],customers!$A$2:$A$1001,customers!$I$2:$I$1001,,0)</f>
        <v>No</v>
      </c>
    </row>
    <row r="385" spans="1:15" x14ac:dyDescent="0.3">
      <c r="A385" s="2" t="s">
        <v>2650</v>
      </c>
      <c r="B385" s="3">
        <v>43586</v>
      </c>
      <c r="C385" s="2" t="s">
        <v>2651</v>
      </c>
      <c r="D385" t="s">
        <v>6176</v>
      </c>
      <c r="E385" s="2">
        <v>6</v>
      </c>
      <c r="F385" s="2" t="str">
        <f>_xlfn.XLOOKUP(C385,customers!$A$2:$A$1001,customers!$B$2:$B$1001,,0)</f>
        <v>Marty Kidstoun</v>
      </c>
      <c r="G385" s="2" t="str">
        <f>_xlfn.XLOOKUP(C385,customers!$A$2:$A$1001,customers!$G$2:$G$1001,,0)</f>
        <v>United States</v>
      </c>
      <c r="H385" t="str">
        <f>INDEX(products!$A$1:$G$49,MATCH(orders!$D385,products!$A$1:$A$49,0),MATCH(orders!H$1,products!$A$1:$G$1,0))</f>
        <v>Exc</v>
      </c>
      <c r="I385" t="str">
        <f>INDEX(products!$A$1:$G$49,MATCH(orders!$D385,products!$A$1:$A$49,0),MATCH(orders!I$1,products!$A$1:$G$1,0))</f>
        <v>L</v>
      </c>
      <c r="J385" s="5">
        <f>INDEX(products!$A$1:$G$49,MATCH(orders!$D385,products!$A$1:$A$49,0),MATCH(orders!J$1,products!$A$1:$G$1,0))</f>
        <v>0.5</v>
      </c>
      <c r="K385" s="6">
        <f>INDEX(products!$A$1:$G$49,MATCH(orders!$D385,products!$A$1:$A$49,0),MATCH(orders!K$1,products!$A$1:$G$1,0))</f>
        <v>8.91</v>
      </c>
      <c r="L385" s="6">
        <f>K385*E385</f>
        <v>53.46</v>
      </c>
      <c r="M385" t="str" cm="1">
        <f t="array" ref="M385">_xlfn.IFS(H385="Rob","Robusta",H385="Exc","Excelsa",H385="Ara","Arabica",H385="Lib","Liberica")</f>
        <v>Excelsa</v>
      </c>
      <c r="N385" t="str" cm="1">
        <f t="array" ref="N385">_xlfn.IFS(I385="M","Medium",I385="L","Light",I385="D","Dark")</f>
        <v>Light</v>
      </c>
      <c r="O385" t="str">
        <f>_xlfn.XLOOKUP(Orders[[#This Row],[Customer ID]],customers!$A$2:$A$1001,customers!$I$2:$I$1001,,0)</f>
        <v>Yes</v>
      </c>
    </row>
    <row r="386" spans="1:15" x14ac:dyDescent="0.3">
      <c r="A386" s="2" t="s">
        <v>2655</v>
      </c>
      <c r="B386" s="3">
        <v>43870</v>
      </c>
      <c r="C386" s="2" t="s">
        <v>2656</v>
      </c>
      <c r="D386" t="s">
        <v>6182</v>
      </c>
      <c r="E386" s="2">
        <v>4</v>
      </c>
      <c r="F386" s="2" t="str">
        <f>_xlfn.XLOOKUP(C386,customers!$A$2:$A$1001,customers!$B$2:$B$1001,,0)</f>
        <v>Nickey Dimbleby</v>
      </c>
      <c r="G386" s="2" t="str">
        <f>_xlfn.XLOOKUP(C386,customers!$A$2:$A$1001,customers!$G$2:$G$1001,,0)</f>
        <v>United States</v>
      </c>
      <c r="H386" t="str">
        <f>INDEX(products!$A$1:$G$49,MATCH(orders!$D386,products!$A$1:$A$49,0),MATCH(orders!H$1,products!$A$1:$G$1,0))</f>
        <v>Ara</v>
      </c>
      <c r="I386" t="str">
        <f>INDEX(products!$A$1:$G$49,MATCH(orders!$D386,products!$A$1:$A$49,0),MATCH(orders!I$1,products!$A$1:$G$1,0))</f>
        <v>L</v>
      </c>
      <c r="J386" s="5">
        <f>INDEX(products!$A$1:$G$49,MATCH(orders!$D386,products!$A$1:$A$49,0),MATCH(orders!J$1,products!$A$1:$G$1,0))</f>
        <v>2.5</v>
      </c>
      <c r="K386" s="6">
        <f>INDEX(products!$A$1:$G$49,MATCH(orders!$D386,products!$A$1:$A$49,0),MATCH(orders!K$1,products!$A$1:$G$1,0))</f>
        <v>29.784999999999997</v>
      </c>
      <c r="L386" s="6">
        <f>K386*E386</f>
        <v>119.13999999999999</v>
      </c>
      <c r="M386" t="str" cm="1">
        <f t="array" ref="M386">_xlfn.IFS(H386="Rob","Robusta",H386="Exc","Excelsa",H386="Ara","Arabica",H386="Lib","Liberica")</f>
        <v>Arabica</v>
      </c>
      <c r="N386" t="str" cm="1">
        <f t="array" ref="N386">_xlfn.IFS(I386="M","Medium",I386="L","Light",I386="D","Dark")</f>
        <v>Light</v>
      </c>
      <c r="O386" t="str">
        <f>_xlfn.XLOOKUP(Orders[[#This Row],[Customer ID]],customers!$A$2:$A$1001,customers!$I$2:$I$1001,,0)</f>
        <v>No</v>
      </c>
    </row>
    <row r="387" spans="1:15" x14ac:dyDescent="0.3">
      <c r="A387" s="2" t="s">
        <v>2660</v>
      </c>
      <c r="B387" s="3">
        <v>44559</v>
      </c>
      <c r="C387" s="2" t="s">
        <v>2661</v>
      </c>
      <c r="D387" t="s">
        <v>6160</v>
      </c>
      <c r="E387" s="2">
        <v>5</v>
      </c>
      <c r="F387" s="2" t="str">
        <f>_xlfn.XLOOKUP(C387,customers!$A$2:$A$1001,customers!$B$2:$B$1001,,0)</f>
        <v>Virgil Baumadier</v>
      </c>
      <c r="G387" s="2" t="str">
        <f>_xlfn.XLOOKUP(C387,customers!$A$2:$A$1001,customers!$G$2:$G$1001,,0)</f>
        <v>United States</v>
      </c>
      <c r="H387" t="str">
        <f>INDEX(products!$A$1:$G$49,MATCH(orders!$D387,products!$A$1:$A$49,0),MATCH(orders!H$1,products!$A$1:$G$1,0))</f>
        <v>Lib</v>
      </c>
      <c r="I387" t="str">
        <f>INDEX(products!$A$1:$G$49,MATCH(orders!$D387,products!$A$1:$A$49,0),MATCH(orders!I$1,products!$A$1:$G$1,0))</f>
        <v>M</v>
      </c>
      <c r="J387" s="5">
        <f>INDEX(products!$A$1:$G$49,MATCH(orders!$D387,products!$A$1:$A$49,0),MATCH(orders!J$1,products!$A$1:$G$1,0))</f>
        <v>0.5</v>
      </c>
      <c r="K387" s="6">
        <f>INDEX(products!$A$1:$G$49,MATCH(orders!$D387,products!$A$1:$A$49,0),MATCH(orders!K$1,products!$A$1:$G$1,0))</f>
        <v>8.73</v>
      </c>
      <c r="L387" s="6">
        <f>K387*E387</f>
        <v>43.650000000000006</v>
      </c>
      <c r="M387" t="str" cm="1">
        <f t="array" ref="M387">_xlfn.IFS(H387="Rob","Robusta",H387="Exc","Excelsa",H387="Ara","Arabica",H387="Lib","Liberica")</f>
        <v>Liberica</v>
      </c>
      <c r="N387" t="str" cm="1">
        <f t="array" ref="N387">_xlfn.IFS(I387="M","Medium",I387="L","Light",I387="D","Dark")</f>
        <v>Medium</v>
      </c>
      <c r="O387" t="str">
        <f>_xlfn.XLOOKUP(Orders[[#This Row],[Customer ID]],customers!$A$2:$A$1001,customers!$I$2:$I$1001,,0)</f>
        <v>Yes</v>
      </c>
    </row>
    <row r="388" spans="1:15" x14ac:dyDescent="0.3">
      <c r="A388" s="2" t="s">
        <v>2666</v>
      </c>
      <c r="B388" s="3">
        <v>44083</v>
      </c>
      <c r="C388" s="2" t="s">
        <v>2667</v>
      </c>
      <c r="D388" t="s">
        <v>6154</v>
      </c>
      <c r="E388" s="2">
        <v>6</v>
      </c>
      <c r="F388" s="2" t="str">
        <f>_xlfn.XLOOKUP(C388,customers!$A$2:$A$1001,customers!$B$2:$B$1001,,0)</f>
        <v>Lenore Messenbird</v>
      </c>
      <c r="G388" s="2" t="str">
        <f>_xlfn.XLOOKUP(C388,customers!$A$2:$A$1001,customers!$G$2:$G$1001,,0)</f>
        <v>United States</v>
      </c>
      <c r="H388" t="str">
        <f>INDEX(products!$A$1:$G$49,MATCH(orders!$D388,products!$A$1:$A$49,0),MATCH(orders!H$1,products!$A$1:$G$1,0))</f>
        <v>Ara</v>
      </c>
      <c r="I388" t="str">
        <f>INDEX(products!$A$1:$G$49,MATCH(orders!$D388,products!$A$1:$A$49,0),MATCH(orders!I$1,products!$A$1:$G$1,0))</f>
        <v>D</v>
      </c>
      <c r="J388" s="5">
        <f>INDEX(products!$A$1:$G$49,MATCH(orders!$D388,products!$A$1:$A$49,0),MATCH(orders!J$1,products!$A$1:$G$1,0))</f>
        <v>0.2</v>
      </c>
      <c r="K388" s="6">
        <f>INDEX(products!$A$1:$G$49,MATCH(orders!$D388,products!$A$1:$A$49,0),MATCH(orders!K$1,products!$A$1:$G$1,0))</f>
        <v>2.9849999999999999</v>
      </c>
      <c r="L388" s="6">
        <f>K388*E388</f>
        <v>17.91</v>
      </c>
      <c r="M388" t="str" cm="1">
        <f t="array" ref="M388">_xlfn.IFS(H388="Rob","Robusta",H388="Exc","Excelsa",H388="Ara","Arabica",H388="Lib","Liberica")</f>
        <v>Arabica</v>
      </c>
      <c r="N388" t="str" cm="1">
        <f t="array" ref="N388">_xlfn.IFS(I388="M","Medium",I388="L","Light",I388="D","Dark")</f>
        <v>Dark</v>
      </c>
      <c r="O388" t="str">
        <f>_xlfn.XLOOKUP(Orders[[#This Row],[Customer ID]],customers!$A$2:$A$1001,customers!$I$2:$I$1001,,0)</f>
        <v>Yes</v>
      </c>
    </row>
    <row r="389" spans="1:15" x14ac:dyDescent="0.3">
      <c r="A389" s="2" t="s">
        <v>2671</v>
      </c>
      <c r="B389" s="3">
        <v>44455</v>
      </c>
      <c r="C389" s="2" t="s">
        <v>2672</v>
      </c>
      <c r="D389" t="s">
        <v>6171</v>
      </c>
      <c r="E389" s="2">
        <v>5</v>
      </c>
      <c r="F389" s="2" t="str">
        <f>_xlfn.XLOOKUP(C389,customers!$A$2:$A$1001,customers!$B$2:$B$1001,,0)</f>
        <v>Shirleen Welds</v>
      </c>
      <c r="G389" s="2" t="str">
        <f>_xlfn.XLOOKUP(C389,customers!$A$2:$A$1001,customers!$G$2:$G$1001,,0)</f>
        <v>United States</v>
      </c>
      <c r="H389" t="str">
        <f>INDEX(products!$A$1:$G$49,MATCH(orders!$D389,products!$A$1:$A$49,0),MATCH(orders!H$1,products!$A$1:$G$1,0))</f>
        <v>Exc</v>
      </c>
      <c r="I389" t="str">
        <f>INDEX(products!$A$1:$G$49,MATCH(orders!$D389,products!$A$1:$A$49,0),MATCH(orders!I$1,products!$A$1:$G$1,0))</f>
        <v>L</v>
      </c>
      <c r="J389" s="5">
        <f>INDEX(products!$A$1:$G$49,MATCH(orders!$D389,products!$A$1:$A$49,0),MATCH(orders!J$1,products!$A$1:$G$1,0))</f>
        <v>1</v>
      </c>
      <c r="K389" s="6">
        <f>INDEX(products!$A$1:$G$49,MATCH(orders!$D389,products!$A$1:$A$49,0),MATCH(orders!K$1,products!$A$1:$G$1,0))</f>
        <v>14.85</v>
      </c>
      <c r="L389" s="6">
        <f>K389*E389</f>
        <v>74.25</v>
      </c>
      <c r="M389" t="str" cm="1">
        <f t="array" ref="M389">_xlfn.IFS(H389="Rob","Robusta",H389="Exc","Excelsa",H389="Ara","Arabica",H389="Lib","Liberica")</f>
        <v>Excelsa</v>
      </c>
      <c r="N389" t="str" cm="1">
        <f t="array" ref="N389">_xlfn.IFS(I389="M","Medium",I389="L","Light",I389="D","Dark")</f>
        <v>Light</v>
      </c>
      <c r="O389" t="str">
        <f>_xlfn.XLOOKUP(Orders[[#This Row],[Customer ID]],customers!$A$2:$A$1001,customers!$I$2:$I$1001,,0)</f>
        <v>Yes</v>
      </c>
    </row>
    <row r="390" spans="1:15" x14ac:dyDescent="0.3">
      <c r="A390" s="2" t="s">
        <v>2677</v>
      </c>
      <c r="B390" s="3">
        <v>44130</v>
      </c>
      <c r="C390" s="2" t="s">
        <v>2678</v>
      </c>
      <c r="D390" t="s">
        <v>6150</v>
      </c>
      <c r="E390" s="2">
        <v>3</v>
      </c>
      <c r="F390" s="2" t="str">
        <f>_xlfn.XLOOKUP(C390,customers!$A$2:$A$1001,customers!$B$2:$B$1001,,0)</f>
        <v>Maisie Sarvar</v>
      </c>
      <c r="G390" s="2" t="str">
        <f>_xlfn.XLOOKUP(C390,customers!$A$2:$A$1001,customers!$G$2:$G$1001,,0)</f>
        <v>United States</v>
      </c>
      <c r="H390" t="str">
        <f>INDEX(products!$A$1:$G$49,MATCH(orders!$D390,products!$A$1:$A$49,0),MATCH(orders!H$1,products!$A$1:$G$1,0))</f>
        <v>Lib</v>
      </c>
      <c r="I390" t="str">
        <f>INDEX(products!$A$1:$G$49,MATCH(orders!$D390,products!$A$1:$A$49,0),MATCH(orders!I$1,products!$A$1:$G$1,0))</f>
        <v>D</v>
      </c>
      <c r="J390" s="5">
        <f>INDEX(products!$A$1:$G$49,MATCH(orders!$D390,products!$A$1:$A$49,0),MATCH(orders!J$1,products!$A$1:$G$1,0))</f>
        <v>0.2</v>
      </c>
      <c r="K390" s="6">
        <f>INDEX(products!$A$1:$G$49,MATCH(orders!$D390,products!$A$1:$A$49,0),MATCH(orders!K$1,products!$A$1:$G$1,0))</f>
        <v>3.8849999999999998</v>
      </c>
      <c r="L390" s="6">
        <f>K390*E390</f>
        <v>11.654999999999999</v>
      </c>
      <c r="M390" t="str" cm="1">
        <f t="array" ref="M390">_xlfn.IFS(H390="Rob","Robusta",H390="Exc","Excelsa",H390="Ara","Arabica",H390="Lib","Liberica")</f>
        <v>Liberica</v>
      </c>
      <c r="N390" t="str" cm="1">
        <f t="array" ref="N390">_xlfn.IFS(I390="M","Medium",I390="L","Light",I390="D","Dark")</f>
        <v>Dark</v>
      </c>
      <c r="O390" t="str">
        <f>_xlfn.XLOOKUP(Orders[[#This Row],[Customer ID]],customers!$A$2:$A$1001,customers!$I$2:$I$1001,,0)</f>
        <v>Yes</v>
      </c>
    </row>
    <row r="391" spans="1:15" x14ac:dyDescent="0.3">
      <c r="A391" s="2" t="s">
        <v>2683</v>
      </c>
      <c r="B391" s="3">
        <v>43536</v>
      </c>
      <c r="C391" s="2" t="s">
        <v>2684</v>
      </c>
      <c r="D391" t="s">
        <v>6169</v>
      </c>
      <c r="E391" s="2">
        <v>3</v>
      </c>
      <c r="F391" s="2" t="str">
        <f>_xlfn.XLOOKUP(C391,customers!$A$2:$A$1001,customers!$B$2:$B$1001,,0)</f>
        <v>Andrej Havick</v>
      </c>
      <c r="G391" s="2" t="str">
        <f>_xlfn.XLOOKUP(C391,customers!$A$2:$A$1001,customers!$G$2:$G$1001,,0)</f>
        <v>United States</v>
      </c>
      <c r="H391" t="str">
        <f>INDEX(products!$A$1:$G$49,MATCH(orders!$D391,products!$A$1:$A$49,0),MATCH(orders!H$1,products!$A$1:$G$1,0))</f>
        <v>Lib</v>
      </c>
      <c r="I391" t="str">
        <f>INDEX(products!$A$1:$G$49,MATCH(orders!$D391,products!$A$1:$A$49,0),MATCH(orders!I$1,products!$A$1:$G$1,0))</f>
        <v>D</v>
      </c>
      <c r="J391" s="5">
        <f>INDEX(products!$A$1:$G$49,MATCH(orders!$D391,products!$A$1:$A$49,0),MATCH(orders!J$1,products!$A$1:$G$1,0))</f>
        <v>0.5</v>
      </c>
      <c r="K391" s="6">
        <f>INDEX(products!$A$1:$G$49,MATCH(orders!$D391,products!$A$1:$A$49,0),MATCH(orders!K$1,products!$A$1:$G$1,0))</f>
        <v>7.77</v>
      </c>
      <c r="L391" s="6">
        <f>K391*E391</f>
        <v>23.31</v>
      </c>
      <c r="M391" t="str" cm="1">
        <f t="array" ref="M391">_xlfn.IFS(H391="Rob","Robusta",H391="Exc","Excelsa",H391="Ara","Arabica",H391="Lib","Liberica")</f>
        <v>Liberica</v>
      </c>
      <c r="N391" t="str" cm="1">
        <f t="array" ref="N391">_xlfn.IFS(I391="M","Medium",I391="L","Light",I391="D","Dark")</f>
        <v>Dark</v>
      </c>
      <c r="O391" t="str">
        <f>_xlfn.XLOOKUP(Orders[[#This Row],[Customer ID]],customers!$A$2:$A$1001,customers!$I$2:$I$1001,,0)</f>
        <v>Yes</v>
      </c>
    </row>
    <row r="392" spans="1:15" x14ac:dyDescent="0.3">
      <c r="A392" s="2" t="s">
        <v>2689</v>
      </c>
      <c r="B392" s="3">
        <v>44245</v>
      </c>
      <c r="C392" s="2" t="s">
        <v>2690</v>
      </c>
      <c r="D392" t="s">
        <v>6144</v>
      </c>
      <c r="E392" s="2">
        <v>2</v>
      </c>
      <c r="F392" s="2" t="str">
        <f>_xlfn.XLOOKUP(C392,customers!$A$2:$A$1001,customers!$B$2:$B$1001,,0)</f>
        <v>Sloan Diviny</v>
      </c>
      <c r="G392" s="2" t="str">
        <f>_xlfn.XLOOKUP(C392,customers!$A$2:$A$1001,customers!$G$2:$G$1001,,0)</f>
        <v>United States</v>
      </c>
      <c r="H392" t="str">
        <f>INDEX(products!$A$1:$G$49,MATCH(orders!$D392,products!$A$1:$A$49,0),MATCH(orders!H$1,products!$A$1:$G$1,0))</f>
        <v>Exc</v>
      </c>
      <c r="I392" t="str">
        <f>INDEX(products!$A$1:$G$49,MATCH(orders!$D392,products!$A$1:$A$49,0),MATCH(orders!I$1,products!$A$1:$G$1,0))</f>
        <v>D</v>
      </c>
      <c r="J392" s="5">
        <f>INDEX(products!$A$1:$G$49,MATCH(orders!$D392,products!$A$1:$A$49,0),MATCH(orders!J$1,products!$A$1:$G$1,0))</f>
        <v>0.5</v>
      </c>
      <c r="K392" s="6">
        <f>INDEX(products!$A$1:$G$49,MATCH(orders!$D392,products!$A$1:$A$49,0),MATCH(orders!K$1,products!$A$1:$G$1,0))</f>
        <v>7.29</v>
      </c>
      <c r="L392" s="6">
        <f>K392*E392</f>
        <v>14.58</v>
      </c>
      <c r="M392" t="str" cm="1">
        <f t="array" ref="M392">_xlfn.IFS(H392="Rob","Robusta",H392="Exc","Excelsa",H392="Ara","Arabica",H392="Lib","Liberica")</f>
        <v>Excelsa</v>
      </c>
      <c r="N392" t="str" cm="1">
        <f t="array" ref="N392">_xlfn.IFS(I392="M","Medium",I392="L","Light",I392="D","Dark")</f>
        <v>Dark</v>
      </c>
      <c r="O392" t="str">
        <f>_xlfn.XLOOKUP(Orders[[#This Row],[Customer ID]],customers!$A$2:$A$1001,customers!$I$2:$I$1001,,0)</f>
        <v>Yes</v>
      </c>
    </row>
    <row r="393" spans="1:15" x14ac:dyDescent="0.3">
      <c r="A393" s="2" t="s">
        <v>2694</v>
      </c>
      <c r="B393" s="3">
        <v>44133</v>
      </c>
      <c r="C393" s="2" t="s">
        <v>2695</v>
      </c>
      <c r="D393" t="s">
        <v>6157</v>
      </c>
      <c r="E393" s="2">
        <v>2</v>
      </c>
      <c r="F393" s="2" t="str">
        <f>_xlfn.XLOOKUP(C393,customers!$A$2:$A$1001,customers!$B$2:$B$1001,,0)</f>
        <v>Itch Norquoy</v>
      </c>
      <c r="G393" s="2" t="str">
        <f>_xlfn.XLOOKUP(C393,customers!$A$2:$A$1001,customers!$G$2:$G$1001,,0)</f>
        <v>United States</v>
      </c>
      <c r="H393" t="str">
        <f>INDEX(products!$A$1:$G$49,MATCH(orders!$D393,products!$A$1:$A$49,0),MATCH(orders!H$1,products!$A$1:$G$1,0))</f>
        <v>Ara</v>
      </c>
      <c r="I393" t="str">
        <f>INDEX(products!$A$1:$G$49,MATCH(orders!$D393,products!$A$1:$A$49,0),MATCH(orders!I$1,products!$A$1:$G$1,0))</f>
        <v>M</v>
      </c>
      <c r="J393" s="5">
        <f>INDEX(products!$A$1:$G$49,MATCH(orders!$D393,products!$A$1:$A$49,0),MATCH(orders!J$1,products!$A$1:$G$1,0))</f>
        <v>0.5</v>
      </c>
      <c r="K393" s="6">
        <f>INDEX(products!$A$1:$G$49,MATCH(orders!$D393,products!$A$1:$A$49,0),MATCH(orders!K$1,products!$A$1:$G$1,0))</f>
        <v>6.75</v>
      </c>
      <c r="L393" s="6">
        <f>K393*E393</f>
        <v>13.5</v>
      </c>
      <c r="M393" t="str" cm="1">
        <f t="array" ref="M393">_xlfn.IFS(H393="Rob","Robusta",H393="Exc","Excelsa",H393="Ara","Arabica",H393="Lib","Liberica")</f>
        <v>Arabica</v>
      </c>
      <c r="N393" t="str" cm="1">
        <f t="array" ref="N393">_xlfn.IFS(I393="M","Medium",I393="L","Light",I393="D","Dark")</f>
        <v>Medium</v>
      </c>
      <c r="O393" t="str">
        <f>_xlfn.XLOOKUP(Orders[[#This Row],[Customer ID]],customers!$A$2:$A$1001,customers!$I$2:$I$1001,,0)</f>
        <v>No</v>
      </c>
    </row>
    <row r="394" spans="1:15" x14ac:dyDescent="0.3">
      <c r="A394" s="2" t="s">
        <v>2699</v>
      </c>
      <c r="B394" s="3">
        <v>44445</v>
      </c>
      <c r="C394" s="2" t="s">
        <v>2700</v>
      </c>
      <c r="D394" t="s">
        <v>6171</v>
      </c>
      <c r="E394" s="2">
        <v>6</v>
      </c>
      <c r="F394" s="2" t="str">
        <f>_xlfn.XLOOKUP(C394,customers!$A$2:$A$1001,customers!$B$2:$B$1001,,0)</f>
        <v>Anson Iddison</v>
      </c>
      <c r="G394" s="2" t="str">
        <f>_xlfn.XLOOKUP(C394,customers!$A$2:$A$1001,customers!$G$2:$G$1001,,0)</f>
        <v>United States</v>
      </c>
      <c r="H394" t="str">
        <f>INDEX(products!$A$1:$G$49,MATCH(orders!$D394,products!$A$1:$A$49,0),MATCH(orders!H$1,products!$A$1:$G$1,0))</f>
        <v>Exc</v>
      </c>
      <c r="I394" t="str">
        <f>INDEX(products!$A$1:$G$49,MATCH(orders!$D394,products!$A$1:$A$49,0),MATCH(orders!I$1,products!$A$1:$G$1,0))</f>
        <v>L</v>
      </c>
      <c r="J394" s="5">
        <f>INDEX(products!$A$1:$G$49,MATCH(orders!$D394,products!$A$1:$A$49,0),MATCH(orders!J$1,products!$A$1:$G$1,0))</f>
        <v>1</v>
      </c>
      <c r="K394" s="6">
        <f>INDEX(products!$A$1:$G$49,MATCH(orders!$D394,products!$A$1:$A$49,0),MATCH(orders!K$1,products!$A$1:$G$1,0))</f>
        <v>14.85</v>
      </c>
      <c r="L394" s="6">
        <f>K394*E394</f>
        <v>89.1</v>
      </c>
      <c r="M394" t="str" cm="1">
        <f t="array" ref="M394">_xlfn.IFS(H394="Rob","Robusta",H394="Exc","Excelsa",H394="Ara","Arabica",H394="Lib","Liberica")</f>
        <v>Excelsa</v>
      </c>
      <c r="N394" t="str" cm="1">
        <f t="array" ref="N394">_xlfn.IFS(I394="M","Medium",I394="L","Light",I394="D","Dark")</f>
        <v>Light</v>
      </c>
      <c r="O394" t="str">
        <f>_xlfn.XLOOKUP(Orders[[#This Row],[Customer ID]],customers!$A$2:$A$1001,customers!$I$2:$I$1001,,0)</f>
        <v>No</v>
      </c>
    </row>
    <row r="395" spans="1:15" x14ac:dyDescent="0.3">
      <c r="A395" s="2" t="s">
        <v>2699</v>
      </c>
      <c r="B395" s="3">
        <v>44445</v>
      </c>
      <c r="C395" s="2" t="s">
        <v>2700</v>
      </c>
      <c r="D395" t="s">
        <v>6167</v>
      </c>
      <c r="E395" s="2">
        <v>1</v>
      </c>
      <c r="F395" s="2" t="str">
        <f>_xlfn.XLOOKUP(C395,customers!$A$2:$A$1001,customers!$B$2:$B$1001,,0)</f>
        <v>Anson Iddison</v>
      </c>
      <c r="G395" s="2" t="str">
        <f>_xlfn.XLOOKUP(C395,customers!$A$2:$A$1001,customers!$G$2:$G$1001,,0)</f>
        <v>United States</v>
      </c>
      <c r="H395" t="str">
        <f>INDEX(products!$A$1:$G$49,MATCH(orders!$D395,products!$A$1:$A$49,0),MATCH(orders!H$1,products!$A$1:$G$1,0))</f>
        <v>Ara</v>
      </c>
      <c r="I395" t="str">
        <f>INDEX(products!$A$1:$G$49,MATCH(orders!$D395,products!$A$1:$A$49,0),MATCH(orders!I$1,products!$A$1:$G$1,0))</f>
        <v>L</v>
      </c>
      <c r="J395" s="5">
        <f>INDEX(products!$A$1:$G$49,MATCH(orders!$D395,products!$A$1:$A$49,0),MATCH(orders!J$1,products!$A$1:$G$1,0))</f>
        <v>0.2</v>
      </c>
      <c r="K395" s="6">
        <f>INDEX(products!$A$1:$G$49,MATCH(orders!$D395,products!$A$1:$A$49,0),MATCH(orders!K$1,products!$A$1:$G$1,0))</f>
        <v>3.8849999999999998</v>
      </c>
      <c r="L395" s="6">
        <f>K395*E395</f>
        <v>3.8849999999999998</v>
      </c>
      <c r="M395" t="str" cm="1">
        <f t="array" ref="M395">_xlfn.IFS(H395="Rob","Robusta",H395="Exc","Excelsa",H395="Ara","Arabica",H395="Lib","Liberica")</f>
        <v>Arabica</v>
      </c>
      <c r="N395" t="str" cm="1">
        <f t="array" ref="N395">_xlfn.IFS(I395="M","Medium",I395="L","Light",I395="D","Dark")</f>
        <v>Light</v>
      </c>
      <c r="O395" t="str">
        <f>_xlfn.XLOOKUP(Orders[[#This Row],[Customer ID]],customers!$A$2:$A$1001,customers!$I$2:$I$1001,,0)</f>
        <v>No</v>
      </c>
    </row>
    <row r="396" spans="1:15" x14ac:dyDescent="0.3">
      <c r="A396" s="2" t="s">
        <v>2710</v>
      </c>
      <c r="B396" s="3">
        <v>44083</v>
      </c>
      <c r="C396" s="2" t="s">
        <v>2711</v>
      </c>
      <c r="D396" t="s">
        <v>6142</v>
      </c>
      <c r="E396" s="2">
        <v>4</v>
      </c>
      <c r="F396" s="2" t="str">
        <f>_xlfn.XLOOKUP(C396,customers!$A$2:$A$1001,customers!$B$2:$B$1001,,0)</f>
        <v>Randal Longfield</v>
      </c>
      <c r="G396" s="2" t="str">
        <f>_xlfn.XLOOKUP(C396,customers!$A$2:$A$1001,customers!$G$2:$G$1001,,0)</f>
        <v>United States</v>
      </c>
      <c r="H396" t="str">
        <f>INDEX(products!$A$1:$G$49,MATCH(orders!$D396,products!$A$1:$A$49,0),MATCH(orders!H$1,products!$A$1:$G$1,0))</f>
        <v>Rob</v>
      </c>
      <c r="I396" t="str">
        <f>INDEX(products!$A$1:$G$49,MATCH(orders!$D396,products!$A$1:$A$49,0),MATCH(orders!I$1,products!$A$1:$G$1,0))</f>
        <v>L</v>
      </c>
      <c r="J396" s="5">
        <f>INDEX(products!$A$1:$G$49,MATCH(orders!$D396,products!$A$1:$A$49,0),MATCH(orders!J$1,products!$A$1:$G$1,0))</f>
        <v>2.5</v>
      </c>
      <c r="K396" s="6">
        <f>INDEX(products!$A$1:$G$49,MATCH(orders!$D396,products!$A$1:$A$49,0),MATCH(orders!K$1,products!$A$1:$G$1,0))</f>
        <v>27.484999999999996</v>
      </c>
      <c r="L396" s="6">
        <f>K396*E396</f>
        <v>109.93999999999998</v>
      </c>
      <c r="M396" t="str" cm="1">
        <f t="array" ref="M396">_xlfn.IFS(H396="Rob","Robusta",H396="Exc","Excelsa",H396="Ara","Arabica",H396="Lib","Liberica")</f>
        <v>Robusta</v>
      </c>
      <c r="N396" t="str" cm="1">
        <f t="array" ref="N396">_xlfn.IFS(I396="M","Medium",I396="L","Light",I396="D","Dark")</f>
        <v>Light</v>
      </c>
      <c r="O396" t="str">
        <f>_xlfn.XLOOKUP(Orders[[#This Row],[Customer ID]],customers!$A$2:$A$1001,customers!$I$2:$I$1001,,0)</f>
        <v>No</v>
      </c>
    </row>
    <row r="397" spans="1:15" x14ac:dyDescent="0.3">
      <c r="A397" s="2" t="s">
        <v>2716</v>
      </c>
      <c r="B397" s="3">
        <v>44465</v>
      </c>
      <c r="C397" s="2" t="s">
        <v>2717</v>
      </c>
      <c r="D397" t="s">
        <v>6169</v>
      </c>
      <c r="E397" s="2">
        <v>6</v>
      </c>
      <c r="F397" s="2" t="str">
        <f>_xlfn.XLOOKUP(C397,customers!$A$2:$A$1001,customers!$B$2:$B$1001,,0)</f>
        <v>Gregorius Kislingbury</v>
      </c>
      <c r="G397" s="2" t="str">
        <f>_xlfn.XLOOKUP(C397,customers!$A$2:$A$1001,customers!$G$2:$G$1001,,0)</f>
        <v>United States</v>
      </c>
      <c r="H397" t="str">
        <f>INDEX(products!$A$1:$G$49,MATCH(orders!$D397,products!$A$1:$A$49,0),MATCH(orders!H$1,products!$A$1:$G$1,0))</f>
        <v>Lib</v>
      </c>
      <c r="I397" t="str">
        <f>INDEX(products!$A$1:$G$49,MATCH(orders!$D397,products!$A$1:$A$49,0),MATCH(orders!I$1,products!$A$1:$G$1,0))</f>
        <v>D</v>
      </c>
      <c r="J397" s="5">
        <f>INDEX(products!$A$1:$G$49,MATCH(orders!$D397,products!$A$1:$A$49,0),MATCH(orders!J$1,products!$A$1:$G$1,0))</f>
        <v>0.5</v>
      </c>
      <c r="K397" s="6">
        <f>INDEX(products!$A$1:$G$49,MATCH(orders!$D397,products!$A$1:$A$49,0),MATCH(orders!K$1,products!$A$1:$G$1,0))</f>
        <v>7.77</v>
      </c>
      <c r="L397" s="6">
        <f>K397*E397</f>
        <v>46.62</v>
      </c>
      <c r="M397" t="str" cm="1">
        <f t="array" ref="M397">_xlfn.IFS(H397="Rob","Robusta",H397="Exc","Excelsa",H397="Ara","Arabica",H397="Lib","Liberica")</f>
        <v>Liberica</v>
      </c>
      <c r="N397" t="str" cm="1">
        <f t="array" ref="N397">_xlfn.IFS(I397="M","Medium",I397="L","Light",I397="D","Dark")</f>
        <v>Dark</v>
      </c>
      <c r="O397" t="str">
        <f>_xlfn.XLOOKUP(Orders[[#This Row],[Customer ID]],customers!$A$2:$A$1001,customers!$I$2:$I$1001,,0)</f>
        <v>Yes</v>
      </c>
    </row>
    <row r="398" spans="1:15" x14ac:dyDescent="0.3">
      <c r="A398" s="2" t="s">
        <v>2721</v>
      </c>
      <c r="B398" s="3">
        <v>44140</v>
      </c>
      <c r="C398" s="2" t="s">
        <v>2722</v>
      </c>
      <c r="D398" t="s">
        <v>6180</v>
      </c>
      <c r="E398" s="2">
        <v>5</v>
      </c>
      <c r="F398" s="2" t="str">
        <f>_xlfn.XLOOKUP(C398,customers!$A$2:$A$1001,customers!$B$2:$B$1001,,0)</f>
        <v>Xenos Gibbons</v>
      </c>
      <c r="G398" s="2" t="str">
        <f>_xlfn.XLOOKUP(C398,customers!$A$2:$A$1001,customers!$G$2:$G$1001,,0)</f>
        <v>United States</v>
      </c>
      <c r="H398" t="str">
        <f>INDEX(products!$A$1:$G$49,MATCH(orders!$D398,products!$A$1:$A$49,0),MATCH(orders!H$1,products!$A$1:$G$1,0))</f>
        <v>Ara</v>
      </c>
      <c r="I398" t="str">
        <f>INDEX(products!$A$1:$G$49,MATCH(orders!$D398,products!$A$1:$A$49,0),MATCH(orders!I$1,products!$A$1:$G$1,0))</f>
        <v>L</v>
      </c>
      <c r="J398" s="5">
        <f>INDEX(products!$A$1:$G$49,MATCH(orders!$D398,products!$A$1:$A$49,0),MATCH(orders!J$1,products!$A$1:$G$1,0))</f>
        <v>0.5</v>
      </c>
      <c r="K398" s="6">
        <f>INDEX(products!$A$1:$G$49,MATCH(orders!$D398,products!$A$1:$A$49,0),MATCH(orders!K$1,products!$A$1:$G$1,0))</f>
        <v>7.77</v>
      </c>
      <c r="L398" s="6">
        <f>K398*E398</f>
        <v>38.849999999999994</v>
      </c>
      <c r="M398" t="str" cm="1">
        <f t="array" ref="M398">_xlfn.IFS(H398="Rob","Robusta",H398="Exc","Excelsa",H398="Ara","Arabica",H398="Lib","Liberica")</f>
        <v>Arabica</v>
      </c>
      <c r="N398" t="str" cm="1">
        <f t="array" ref="N398">_xlfn.IFS(I398="M","Medium",I398="L","Light",I398="D","Dark")</f>
        <v>Light</v>
      </c>
      <c r="O398" t="str">
        <f>_xlfn.XLOOKUP(Orders[[#This Row],[Customer ID]],customers!$A$2:$A$1001,customers!$I$2:$I$1001,,0)</f>
        <v>No</v>
      </c>
    </row>
    <row r="399" spans="1:15" x14ac:dyDescent="0.3">
      <c r="A399" s="2" t="s">
        <v>2727</v>
      </c>
      <c r="B399" s="3">
        <v>43720</v>
      </c>
      <c r="C399" s="2" t="s">
        <v>2728</v>
      </c>
      <c r="D399" t="s">
        <v>6169</v>
      </c>
      <c r="E399" s="2">
        <v>4</v>
      </c>
      <c r="F399" s="2" t="str">
        <f>_xlfn.XLOOKUP(C399,customers!$A$2:$A$1001,customers!$B$2:$B$1001,,0)</f>
        <v>Fleur Parres</v>
      </c>
      <c r="G399" s="2" t="str">
        <f>_xlfn.XLOOKUP(C399,customers!$A$2:$A$1001,customers!$G$2:$G$1001,,0)</f>
        <v>United States</v>
      </c>
      <c r="H399" t="str">
        <f>INDEX(products!$A$1:$G$49,MATCH(orders!$D399,products!$A$1:$A$49,0),MATCH(orders!H$1,products!$A$1:$G$1,0))</f>
        <v>Lib</v>
      </c>
      <c r="I399" t="str">
        <f>INDEX(products!$A$1:$G$49,MATCH(orders!$D399,products!$A$1:$A$49,0),MATCH(orders!I$1,products!$A$1:$G$1,0))</f>
        <v>D</v>
      </c>
      <c r="J399" s="5">
        <f>INDEX(products!$A$1:$G$49,MATCH(orders!$D399,products!$A$1:$A$49,0),MATCH(orders!J$1,products!$A$1:$G$1,0))</f>
        <v>0.5</v>
      </c>
      <c r="K399" s="6">
        <f>INDEX(products!$A$1:$G$49,MATCH(orders!$D399,products!$A$1:$A$49,0),MATCH(orders!K$1,products!$A$1:$G$1,0))</f>
        <v>7.77</v>
      </c>
      <c r="L399" s="6">
        <f>K399*E399</f>
        <v>31.08</v>
      </c>
      <c r="M399" t="str" cm="1">
        <f t="array" ref="M399">_xlfn.IFS(H399="Rob","Robusta",H399="Exc","Excelsa",H399="Ara","Arabica",H399="Lib","Liberica")</f>
        <v>Liberica</v>
      </c>
      <c r="N399" t="str" cm="1">
        <f t="array" ref="N399">_xlfn.IFS(I399="M","Medium",I399="L","Light",I399="D","Dark")</f>
        <v>Dark</v>
      </c>
      <c r="O399" t="str">
        <f>_xlfn.XLOOKUP(Orders[[#This Row],[Customer ID]],customers!$A$2:$A$1001,customers!$I$2:$I$1001,,0)</f>
        <v>Yes</v>
      </c>
    </row>
    <row r="400" spans="1:15" x14ac:dyDescent="0.3">
      <c r="A400" s="2" t="s">
        <v>2733</v>
      </c>
      <c r="B400" s="3">
        <v>43677</v>
      </c>
      <c r="C400" s="2" t="s">
        <v>2734</v>
      </c>
      <c r="D400" t="s">
        <v>6154</v>
      </c>
      <c r="E400" s="2">
        <v>6</v>
      </c>
      <c r="F400" s="2" t="str">
        <f>_xlfn.XLOOKUP(C400,customers!$A$2:$A$1001,customers!$B$2:$B$1001,,0)</f>
        <v>Gran Sibray</v>
      </c>
      <c r="G400" s="2" t="str">
        <f>_xlfn.XLOOKUP(C400,customers!$A$2:$A$1001,customers!$G$2:$G$1001,,0)</f>
        <v>United States</v>
      </c>
      <c r="H400" t="str">
        <f>INDEX(products!$A$1:$G$49,MATCH(orders!$D400,products!$A$1:$A$49,0),MATCH(orders!H$1,products!$A$1:$G$1,0))</f>
        <v>Ara</v>
      </c>
      <c r="I400" t="str">
        <f>INDEX(products!$A$1:$G$49,MATCH(orders!$D400,products!$A$1:$A$49,0),MATCH(orders!I$1,products!$A$1:$G$1,0))</f>
        <v>D</v>
      </c>
      <c r="J400" s="5">
        <f>INDEX(products!$A$1:$G$49,MATCH(orders!$D400,products!$A$1:$A$49,0),MATCH(orders!J$1,products!$A$1:$G$1,0))</f>
        <v>0.2</v>
      </c>
      <c r="K400" s="6">
        <f>INDEX(products!$A$1:$G$49,MATCH(orders!$D400,products!$A$1:$A$49,0),MATCH(orders!K$1,products!$A$1:$G$1,0))</f>
        <v>2.9849999999999999</v>
      </c>
      <c r="L400" s="6">
        <f>K400*E400</f>
        <v>17.91</v>
      </c>
      <c r="M400" t="str" cm="1">
        <f t="array" ref="M400">_xlfn.IFS(H400="Rob","Robusta",H400="Exc","Excelsa",H400="Ara","Arabica",H400="Lib","Liberica")</f>
        <v>Arabica</v>
      </c>
      <c r="N400" t="str" cm="1">
        <f t="array" ref="N400">_xlfn.IFS(I400="M","Medium",I400="L","Light",I400="D","Dark")</f>
        <v>Dark</v>
      </c>
      <c r="O400" t="str">
        <f>_xlfn.XLOOKUP(Orders[[#This Row],[Customer ID]],customers!$A$2:$A$1001,customers!$I$2:$I$1001,,0)</f>
        <v>Yes</v>
      </c>
    </row>
    <row r="401" spans="1:15" x14ac:dyDescent="0.3">
      <c r="A401" s="2" t="s">
        <v>2739</v>
      </c>
      <c r="B401" s="3">
        <v>43539</v>
      </c>
      <c r="C401" s="2" t="s">
        <v>2740</v>
      </c>
      <c r="D401" t="s">
        <v>6185</v>
      </c>
      <c r="E401" s="2">
        <v>6</v>
      </c>
      <c r="F401" s="2" t="str">
        <f>_xlfn.XLOOKUP(C401,customers!$A$2:$A$1001,customers!$B$2:$B$1001,,0)</f>
        <v>Ingelbert Hotchkin</v>
      </c>
      <c r="G401" s="2" t="str">
        <f>_xlfn.XLOOKUP(C401,customers!$A$2:$A$1001,customers!$G$2:$G$1001,,0)</f>
        <v>United Kingdom</v>
      </c>
      <c r="H401" t="str">
        <f>INDEX(products!$A$1:$G$49,MATCH(orders!$D401,products!$A$1:$A$49,0),MATCH(orders!H$1,products!$A$1:$G$1,0))</f>
        <v>Exc</v>
      </c>
      <c r="I401" t="str">
        <f>INDEX(products!$A$1:$G$49,MATCH(orders!$D401,products!$A$1:$A$49,0),MATCH(orders!I$1,products!$A$1:$G$1,0))</f>
        <v>D</v>
      </c>
      <c r="J401" s="5">
        <f>INDEX(products!$A$1:$G$49,MATCH(orders!$D401,products!$A$1:$A$49,0),MATCH(orders!J$1,products!$A$1:$G$1,0))</f>
        <v>2.5</v>
      </c>
      <c r="K401" s="6">
        <f>INDEX(products!$A$1:$G$49,MATCH(orders!$D401,products!$A$1:$A$49,0),MATCH(orders!K$1,products!$A$1:$G$1,0))</f>
        <v>27.945</v>
      </c>
      <c r="L401" s="6">
        <f>K401*E401</f>
        <v>167.67000000000002</v>
      </c>
      <c r="M401" t="str" cm="1">
        <f t="array" ref="M401">_xlfn.IFS(H401="Rob","Robusta",H401="Exc","Excelsa",H401="Ara","Arabica",H401="Lib","Liberica")</f>
        <v>Excelsa</v>
      </c>
      <c r="N401" t="str" cm="1">
        <f t="array" ref="N401">_xlfn.IFS(I401="M","Medium",I401="L","Light",I401="D","Dark")</f>
        <v>Dark</v>
      </c>
      <c r="O401" t="str">
        <f>_xlfn.XLOOKUP(Orders[[#This Row],[Customer ID]],customers!$A$2:$A$1001,customers!$I$2:$I$1001,,0)</f>
        <v>No</v>
      </c>
    </row>
    <row r="402" spans="1:15" x14ac:dyDescent="0.3">
      <c r="A402" s="2" t="s">
        <v>2745</v>
      </c>
      <c r="B402" s="3">
        <v>44332</v>
      </c>
      <c r="C402" s="2" t="s">
        <v>2746</v>
      </c>
      <c r="D402" t="s">
        <v>6170</v>
      </c>
      <c r="E402" s="2">
        <v>4</v>
      </c>
      <c r="F402" s="2" t="str">
        <f>_xlfn.XLOOKUP(C402,customers!$A$2:$A$1001,customers!$B$2:$B$1001,,0)</f>
        <v>Neely Broadberrie</v>
      </c>
      <c r="G402" s="2" t="str">
        <f>_xlfn.XLOOKUP(C402,customers!$A$2:$A$1001,customers!$G$2:$G$1001,,0)</f>
        <v>United States</v>
      </c>
      <c r="H402" t="str">
        <f>INDEX(products!$A$1:$G$49,MATCH(orders!$D402,products!$A$1:$A$49,0),MATCH(orders!H$1,products!$A$1:$G$1,0))</f>
        <v>Lib</v>
      </c>
      <c r="I402" t="str">
        <f>INDEX(products!$A$1:$G$49,MATCH(orders!$D402,products!$A$1:$A$49,0),MATCH(orders!I$1,products!$A$1:$G$1,0))</f>
        <v>L</v>
      </c>
      <c r="J402" s="5">
        <f>INDEX(products!$A$1:$G$49,MATCH(orders!$D402,products!$A$1:$A$49,0),MATCH(orders!J$1,products!$A$1:$G$1,0))</f>
        <v>1</v>
      </c>
      <c r="K402" s="6">
        <f>INDEX(products!$A$1:$G$49,MATCH(orders!$D402,products!$A$1:$A$49,0),MATCH(orders!K$1,products!$A$1:$G$1,0))</f>
        <v>15.85</v>
      </c>
      <c r="L402" s="6">
        <f>K402*E402</f>
        <v>63.4</v>
      </c>
      <c r="M402" t="str" cm="1">
        <f t="array" ref="M402">_xlfn.IFS(H402="Rob","Robusta",H402="Exc","Excelsa",H402="Ara","Arabica",H402="Lib","Liberica")</f>
        <v>Liberica</v>
      </c>
      <c r="N402" t="str" cm="1">
        <f t="array" ref="N402">_xlfn.IFS(I402="M","Medium",I402="L","Light",I402="D","Dark")</f>
        <v>Light</v>
      </c>
      <c r="O402" t="str">
        <f>_xlfn.XLOOKUP(Orders[[#This Row],[Customer ID]],customers!$A$2:$A$1001,customers!$I$2:$I$1001,,0)</f>
        <v>No</v>
      </c>
    </row>
    <row r="403" spans="1:15" x14ac:dyDescent="0.3">
      <c r="A403" s="2" t="s">
        <v>2751</v>
      </c>
      <c r="B403" s="3">
        <v>43591</v>
      </c>
      <c r="C403" s="2" t="s">
        <v>2752</v>
      </c>
      <c r="D403" t="s">
        <v>6159</v>
      </c>
      <c r="E403" s="2">
        <v>2</v>
      </c>
      <c r="F403" s="2" t="str">
        <f>_xlfn.XLOOKUP(C403,customers!$A$2:$A$1001,customers!$B$2:$B$1001,,0)</f>
        <v>Rutger Pithcock</v>
      </c>
      <c r="G403" s="2" t="str">
        <f>_xlfn.XLOOKUP(C403,customers!$A$2:$A$1001,customers!$G$2:$G$1001,,0)</f>
        <v>United States</v>
      </c>
      <c r="H403" t="str">
        <f>INDEX(products!$A$1:$G$49,MATCH(orders!$D403,products!$A$1:$A$49,0),MATCH(orders!H$1,products!$A$1:$G$1,0))</f>
        <v>Lib</v>
      </c>
      <c r="I403" t="str">
        <f>INDEX(products!$A$1:$G$49,MATCH(orders!$D403,products!$A$1:$A$49,0),MATCH(orders!I$1,products!$A$1:$G$1,0))</f>
        <v>M</v>
      </c>
      <c r="J403" s="5">
        <f>INDEX(products!$A$1:$G$49,MATCH(orders!$D403,products!$A$1:$A$49,0),MATCH(orders!J$1,products!$A$1:$G$1,0))</f>
        <v>0.2</v>
      </c>
      <c r="K403" s="6">
        <f>INDEX(products!$A$1:$G$49,MATCH(orders!$D403,products!$A$1:$A$49,0),MATCH(orders!K$1,products!$A$1:$G$1,0))</f>
        <v>4.3650000000000002</v>
      </c>
      <c r="L403" s="6">
        <f>K403*E403</f>
        <v>8.73</v>
      </c>
      <c r="M403" t="str" cm="1">
        <f t="array" ref="M403">_xlfn.IFS(H403="Rob","Robusta",H403="Exc","Excelsa",H403="Ara","Arabica",H403="Lib","Liberica")</f>
        <v>Liberica</v>
      </c>
      <c r="N403" t="str" cm="1">
        <f t="array" ref="N403">_xlfn.IFS(I403="M","Medium",I403="L","Light",I403="D","Dark")</f>
        <v>Medium</v>
      </c>
      <c r="O403" t="str">
        <f>_xlfn.XLOOKUP(Orders[[#This Row],[Customer ID]],customers!$A$2:$A$1001,customers!$I$2:$I$1001,,0)</f>
        <v>Yes</v>
      </c>
    </row>
    <row r="404" spans="1:15" x14ac:dyDescent="0.3">
      <c r="A404" s="2" t="s">
        <v>2757</v>
      </c>
      <c r="B404" s="3">
        <v>43502</v>
      </c>
      <c r="C404" s="2" t="s">
        <v>2758</v>
      </c>
      <c r="D404" t="s">
        <v>6177</v>
      </c>
      <c r="E404" s="2">
        <v>3</v>
      </c>
      <c r="F404" s="2" t="str">
        <f>_xlfn.XLOOKUP(C404,customers!$A$2:$A$1001,customers!$B$2:$B$1001,,0)</f>
        <v>Gale Croysdale</v>
      </c>
      <c r="G404" s="2" t="str">
        <f>_xlfn.XLOOKUP(C404,customers!$A$2:$A$1001,customers!$G$2:$G$1001,,0)</f>
        <v>United States</v>
      </c>
      <c r="H404" t="str">
        <f>INDEX(products!$A$1:$G$49,MATCH(orders!$D404,products!$A$1:$A$49,0),MATCH(orders!H$1,products!$A$1:$G$1,0))</f>
        <v>Rob</v>
      </c>
      <c r="I404" t="str">
        <f>INDEX(products!$A$1:$G$49,MATCH(orders!$D404,products!$A$1:$A$49,0),MATCH(orders!I$1,products!$A$1:$G$1,0))</f>
        <v>D</v>
      </c>
      <c r="J404" s="5">
        <f>INDEX(products!$A$1:$G$49,MATCH(orders!$D404,products!$A$1:$A$49,0),MATCH(orders!J$1,products!$A$1:$G$1,0))</f>
        <v>1</v>
      </c>
      <c r="K404" s="6">
        <f>INDEX(products!$A$1:$G$49,MATCH(orders!$D404,products!$A$1:$A$49,0),MATCH(orders!K$1,products!$A$1:$G$1,0))</f>
        <v>8.9499999999999993</v>
      </c>
      <c r="L404" s="6">
        <f>K404*E404</f>
        <v>26.849999999999998</v>
      </c>
      <c r="M404" t="str" cm="1">
        <f t="array" ref="M404">_xlfn.IFS(H404="Rob","Robusta",H404="Exc","Excelsa",H404="Ara","Arabica",H404="Lib","Liberica")</f>
        <v>Robusta</v>
      </c>
      <c r="N404" t="str" cm="1">
        <f t="array" ref="N404">_xlfn.IFS(I404="M","Medium",I404="L","Light",I404="D","Dark")</f>
        <v>Dark</v>
      </c>
      <c r="O404" t="str">
        <f>_xlfn.XLOOKUP(Orders[[#This Row],[Customer ID]],customers!$A$2:$A$1001,customers!$I$2:$I$1001,,0)</f>
        <v>Yes</v>
      </c>
    </row>
    <row r="405" spans="1:15" x14ac:dyDescent="0.3">
      <c r="A405" s="2" t="s">
        <v>2763</v>
      </c>
      <c r="B405" s="3">
        <v>44295</v>
      </c>
      <c r="C405" s="2" t="s">
        <v>2764</v>
      </c>
      <c r="D405" t="s">
        <v>6145</v>
      </c>
      <c r="E405" s="2">
        <v>2</v>
      </c>
      <c r="F405" s="2" t="str">
        <f>_xlfn.XLOOKUP(C405,customers!$A$2:$A$1001,customers!$B$2:$B$1001,,0)</f>
        <v>Benedetto Gozzett</v>
      </c>
      <c r="G405" s="2" t="str">
        <f>_xlfn.XLOOKUP(C405,customers!$A$2:$A$1001,customers!$G$2:$G$1001,,0)</f>
        <v>United States</v>
      </c>
      <c r="H405" t="str">
        <f>INDEX(products!$A$1:$G$49,MATCH(orders!$D405,products!$A$1:$A$49,0),MATCH(orders!H$1,products!$A$1:$G$1,0))</f>
        <v>Lib</v>
      </c>
      <c r="I405" t="str">
        <f>INDEX(products!$A$1:$G$49,MATCH(orders!$D405,products!$A$1:$A$49,0),MATCH(orders!I$1,products!$A$1:$G$1,0))</f>
        <v>L</v>
      </c>
      <c r="J405" s="5">
        <f>INDEX(products!$A$1:$G$49,MATCH(orders!$D405,products!$A$1:$A$49,0),MATCH(orders!J$1,products!$A$1:$G$1,0))</f>
        <v>0.2</v>
      </c>
      <c r="K405" s="6">
        <f>INDEX(products!$A$1:$G$49,MATCH(orders!$D405,products!$A$1:$A$49,0),MATCH(orders!K$1,products!$A$1:$G$1,0))</f>
        <v>4.7549999999999999</v>
      </c>
      <c r="L405" s="6">
        <f>K405*E405</f>
        <v>9.51</v>
      </c>
      <c r="M405" t="str" cm="1">
        <f t="array" ref="M405">_xlfn.IFS(H405="Rob","Robusta",H405="Exc","Excelsa",H405="Ara","Arabica",H405="Lib","Liberica")</f>
        <v>Liberica</v>
      </c>
      <c r="N405" t="str" cm="1">
        <f t="array" ref="N405">_xlfn.IFS(I405="M","Medium",I405="L","Light",I405="D","Dark")</f>
        <v>Light</v>
      </c>
      <c r="O405" t="str">
        <f>_xlfn.XLOOKUP(Orders[[#This Row],[Customer ID]],customers!$A$2:$A$1001,customers!$I$2:$I$1001,,0)</f>
        <v>No</v>
      </c>
    </row>
    <row r="406" spans="1:15" x14ac:dyDescent="0.3">
      <c r="A406" s="2" t="s">
        <v>2769</v>
      </c>
      <c r="B406" s="3">
        <v>43971</v>
      </c>
      <c r="C406" s="2" t="s">
        <v>2770</v>
      </c>
      <c r="D406" t="s">
        <v>6147</v>
      </c>
      <c r="E406" s="2">
        <v>4</v>
      </c>
      <c r="F406" s="2" t="str">
        <f>_xlfn.XLOOKUP(C406,customers!$A$2:$A$1001,customers!$B$2:$B$1001,,0)</f>
        <v>Tania Craggs</v>
      </c>
      <c r="G406" s="2" t="str">
        <f>_xlfn.XLOOKUP(C406,customers!$A$2:$A$1001,customers!$G$2:$G$1001,,0)</f>
        <v>Ireland</v>
      </c>
      <c r="H406" t="str">
        <f>INDEX(products!$A$1:$G$49,MATCH(orders!$D406,products!$A$1:$A$49,0),MATCH(orders!H$1,products!$A$1:$G$1,0))</f>
        <v>Ara</v>
      </c>
      <c r="I406" t="str">
        <f>INDEX(products!$A$1:$G$49,MATCH(orders!$D406,products!$A$1:$A$49,0),MATCH(orders!I$1,products!$A$1:$G$1,0))</f>
        <v>D</v>
      </c>
      <c r="J406" s="5">
        <f>INDEX(products!$A$1:$G$49,MATCH(orders!$D406,products!$A$1:$A$49,0),MATCH(orders!J$1,products!$A$1:$G$1,0))</f>
        <v>1</v>
      </c>
      <c r="K406" s="6">
        <f>INDEX(products!$A$1:$G$49,MATCH(orders!$D406,products!$A$1:$A$49,0),MATCH(orders!K$1,products!$A$1:$G$1,0))</f>
        <v>9.9499999999999993</v>
      </c>
      <c r="L406" s="6">
        <f>K406*E406</f>
        <v>39.799999999999997</v>
      </c>
      <c r="M406" t="str" cm="1">
        <f t="array" ref="M406">_xlfn.IFS(H406="Rob","Robusta",H406="Exc","Excelsa",H406="Ara","Arabica",H406="Lib","Liberica")</f>
        <v>Arabica</v>
      </c>
      <c r="N406" t="str" cm="1">
        <f t="array" ref="N406">_xlfn.IFS(I406="M","Medium",I406="L","Light",I406="D","Dark")</f>
        <v>Dark</v>
      </c>
      <c r="O406" t="str">
        <f>_xlfn.XLOOKUP(Orders[[#This Row],[Customer ID]],customers!$A$2:$A$1001,customers!$I$2:$I$1001,,0)</f>
        <v>No</v>
      </c>
    </row>
    <row r="407" spans="1:15" x14ac:dyDescent="0.3">
      <c r="A407" s="2" t="s">
        <v>2775</v>
      </c>
      <c r="B407" s="3">
        <v>44167</v>
      </c>
      <c r="C407" s="2" t="s">
        <v>2776</v>
      </c>
      <c r="D407" t="s">
        <v>6139</v>
      </c>
      <c r="E407" s="2">
        <v>3</v>
      </c>
      <c r="F407" s="2" t="str">
        <f>_xlfn.XLOOKUP(C407,customers!$A$2:$A$1001,customers!$B$2:$B$1001,,0)</f>
        <v>Leonie Cullrford</v>
      </c>
      <c r="G407" s="2" t="str">
        <f>_xlfn.XLOOKUP(C407,customers!$A$2:$A$1001,customers!$G$2:$G$1001,,0)</f>
        <v>United States</v>
      </c>
      <c r="H407" t="str">
        <f>INDEX(products!$A$1:$G$49,MATCH(orders!$D407,products!$A$1:$A$49,0),MATCH(orders!H$1,products!$A$1:$G$1,0))</f>
        <v>Exc</v>
      </c>
      <c r="I407" t="str">
        <f>INDEX(products!$A$1:$G$49,MATCH(orders!$D407,products!$A$1:$A$49,0),MATCH(orders!I$1,products!$A$1:$G$1,0))</f>
        <v>M</v>
      </c>
      <c r="J407" s="5">
        <f>INDEX(products!$A$1:$G$49,MATCH(orders!$D407,products!$A$1:$A$49,0),MATCH(orders!J$1,products!$A$1:$G$1,0))</f>
        <v>0.5</v>
      </c>
      <c r="K407" s="6">
        <f>INDEX(products!$A$1:$G$49,MATCH(orders!$D407,products!$A$1:$A$49,0),MATCH(orders!K$1,products!$A$1:$G$1,0))</f>
        <v>8.25</v>
      </c>
      <c r="L407" s="6">
        <f>K407*E407</f>
        <v>24.75</v>
      </c>
      <c r="M407" t="str" cm="1">
        <f t="array" ref="M407">_xlfn.IFS(H407="Rob","Robusta",H407="Exc","Excelsa",H407="Ara","Arabica",H407="Lib","Liberica")</f>
        <v>Excelsa</v>
      </c>
      <c r="N407" t="str" cm="1">
        <f t="array" ref="N407">_xlfn.IFS(I407="M","Medium",I407="L","Light",I407="D","Dark")</f>
        <v>Medium</v>
      </c>
      <c r="O407" t="str">
        <f>_xlfn.XLOOKUP(Orders[[#This Row],[Customer ID]],customers!$A$2:$A$1001,customers!$I$2:$I$1001,,0)</f>
        <v>Yes</v>
      </c>
    </row>
    <row r="408" spans="1:15" x14ac:dyDescent="0.3">
      <c r="A408" s="2" t="s">
        <v>2781</v>
      </c>
      <c r="B408" s="3">
        <v>44416</v>
      </c>
      <c r="C408" s="2" t="s">
        <v>2782</v>
      </c>
      <c r="D408" t="s">
        <v>6141</v>
      </c>
      <c r="E408" s="2">
        <v>5</v>
      </c>
      <c r="F408" s="2" t="str">
        <f>_xlfn.XLOOKUP(C408,customers!$A$2:$A$1001,customers!$B$2:$B$1001,,0)</f>
        <v>Auguste Rizon</v>
      </c>
      <c r="G408" s="2" t="str">
        <f>_xlfn.XLOOKUP(C408,customers!$A$2:$A$1001,customers!$G$2:$G$1001,,0)</f>
        <v>United States</v>
      </c>
      <c r="H408" t="str">
        <f>INDEX(products!$A$1:$G$49,MATCH(orders!$D408,products!$A$1:$A$49,0),MATCH(orders!H$1,products!$A$1:$G$1,0))</f>
        <v>Exc</v>
      </c>
      <c r="I408" t="str">
        <f>INDEX(products!$A$1:$G$49,MATCH(orders!$D408,products!$A$1:$A$49,0),MATCH(orders!I$1,products!$A$1:$G$1,0))</f>
        <v>M</v>
      </c>
      <c r="J408" s="5">
        <f>INDEX(products!$A$1:$G$49,MATCH(orders!$D408,products!$A$1:$A$49,0),MATCH(orders!J$1,products!$A$1:$G$1,0))</f>
        <v>1</v>
      </c>
      <c r="K408" s="6">
        <f>INDEX(products!$A$1:$G$49,MATCH(orders!$D408,products!$A$1:$A$49,0),MATCH(orders!K$1,products!$A$1:$G$1,0))</f>
        <v>13.75</v>
      </c>
      <c r="L408" s="6">
        <f>K408*E408</f>
        <v>68.75</v>
      </c>
      <c r="M408" t="str" cm="1">
        <f t="array" ref="M408">_xlfn.IFS(H408="Rob","Robusta",H408="Exc","Excelsa",H408="Ara","Arabica",H408="Lib","Liberica")</f>
        <v>Excelsa</v>
      </c>
      <c r="N408" t="str" cm="1">
        <f t="array" ref="N408">_xlfn.IFS(I408="M","Medium",I408="L","Light",I408="D","Dark")</f>
        <v>Medium</v>
      </c>
      <c r="O408" t="str">
        <f>_xlfn.XLOOKUP(Orders[[#This Row],[Customer ID]],customers!$A$2:$A$1001,customers!$I$2:$I$1001,,0)</f>
        <v>Yes</v>
      </c>
    </row>
    <row r="409" spans="1:15" x14ac:dyDescent="0.3">
      <c r="A409" s="2" t="s">
        <v>2787</v>
      </c>
      <c r="B409" s="3">
        <v>44595</v>
      </c>
      <c r="C409" s="2" t="s">
        <v>2788</v>
      </c>
      <c r="D409" t="s">
        <v>6139</v>
      </c>
      <c r="E409" s="2">
        <v>6</v>
      </c>
      <c r="F409" s="2" t="str">
        <f>_xlfn.XLOOKUP(C409,customers!$A$2:$A$1001,customers!$B$2:$B$1001,,0)</f>
        <v>Lorin Guerrazzi</v>
      </c>
      <c r="G409" s="2" t="str">
        <f>_xlfn.XLOOKUP(C409,customers!$A$2:$A$1001,customers!$G$2:$G$1001,,0)</f>
        <v>Ireland</v>
      </c>
      <c r="H409" t="str">
        <f>INDEX(products!$A$1:$G$49,MATCH(orders!$D409,products!$A$1:$A$49,0),MATCH(orders!H$1,products!$A$1:$G$1,0))</f>
        <v>Exc</v>
      </c>
      <c r="I409" t="str">
        <f>INDEX(products!$A$1:$G$49,MATCH(orders!$D409,products!$A$1:$A$49,0),MATCH(orders!I$1,products!$A$1:$G$1,0))</f>
        <v>M</v>
      </c>
      <c r="J409" s="5">
        <f>INDEX(products!$A$1:$G$49,MATCH(orders!$D409,products!$A$1:$A$49,0),MATCH(orders!J$1,products!$A$1:$G$1,0))</f>
        <v>0.5</v>
      </c>
      <c r="K409" s="6">
        <f>INDEX(products!$A$1:$G$49,MATCH(orders!$D409,products!$A$1:$A$49,0),MATCH(orders!K$1,products!$A$1:$G$1,0))</f>
        <v>8.25</v>
      </c>
      <c r="L409" s="6">
        <f>K409*E409</f>
        <v>49.5</v>
      </c>
      <c r="M409" t="str" cm="1">
        <f t="array" ref="M409">_xlfn.IFS(H409="Rob","Robusta",H409="Exc","Excelsa",H409="Ara","Arabica",H409="Lib","Liberica")</f>
        <v>Excelsa</v>
      </c>
      <c r="N409" t="str" cm="1">
        <f t="array" ref="N409">_xlfn.IFS(I409="M","Medium",I409="L","Light",I409="D","Dark")</f>
        <v>Medium</v>
      </c>
      <c r="O409" t="str">
        <f>_xlfn.XLOOKUP(Orders[[#This Row],[Customer ID]],customers!$A$2:$A$1001,customers!$I$2:$I$1001,,0)</f>
        <v>No</v>
      </c>
    </row>
    <row r="410" spans="1:15" x14ac:dyDescent="0.3">
      <c r="A410" s="2" t="s">
        <v>2792</v>
      </c>
      <c r="B410" s="3">
        <v>44659</v>
      </c>
      <c r="C410" s="2" t="s">
        <v>2793</v>
      </c>
      <c r="D410" t="s">
        <v>6175</v>
      </c>
      <c r="E410" s="2">
        <v>2</v>
      </c>
      <c r="F410" s="2" t="str">
        <f>_xlfn.XLOOKUP(C410,customers!$A$2:$A$1001,customers!$B$2:$B$1001,,0)</f>
        <v>Felice Miell</v>
      </c>
      <c r="G410" s="2" t="str">
        <f>_xlfn.XLOOKUP(C410,customers!$A$2:$A$1001,customers!$G$2:$G$1001,,0)</f>
        <v>United States</v>
      </c>
      <c r="H410" t="str">
        <f>INDEX(products!$A$1:$G$49,MATCH(orders!$D410,products!$A$1:$A$49,0),MATCH(orders!H$1,products!$A$1:$G$1,0))</f>
        <v>Ara</v>
      </c>
      <c r="I410" t="str">
        <f>INDEX(products!$A$1:$G$49,MATCH(orders!$D410,products!$A$1:$A$49,0),MATCH(orders!I$1,products!$A$1:$G$1,0))</f>
        <v>M</v>
      </c>
      <c r="J410" s="5">
        <f>INDEX(products!$A$1:$G$49,MATCH(orders!$D410,products!$A$1:$A$49,0),MATCH(orders!J$1,products!$A$1:$G$1,0))</f>
        <v>2.5</v>
      </c>
      <c r="K410" s="6">
        <f>INDEX(products!$A$1:$G$49,MATCH(orders!$D410,products!$A$1:$A$49,0),MATCH(orders!K$1,products!$A$1:$G$1,0))</f>
        <v>25.874999999999996</v>
      </c>
      <c r="L410" s="6">
        <f>K410*E410</f>
        <v>51.749999999999993</v>
      </c>
      <c r="M410" t="str" cm="1">
        <f t="array" ref="M410">_xlfn.IFS(H410="Rob","Robusta",H410="Exc","Excelsa",H410="Ara","Arabica",H410="Lib","Liberica")</f>
        <v>Arabica</v>
      </c>
      <c r="N410" t="str" cm="1">
        <f t="array" ref="N410">_xlfn.IFS(I410="M","Medium",I410="L","Light",I410="D","Dark")</f>
        <v>Medium</v>
      </c>
      <c r="O410" t="str">
        <f>_xlfn.XLOOKUP(Orders[[#This Row],[Customer ID]],customers!$A$2:$A$1001,customers!$I$2:$I$1001,,0)</f>
        <v>Yes</v>
      </c>
    </row>
    <row r="411" spans="1:15" x14ac:dyDescent="0.3">
      <c r="A411" s="2" t="s">
        <v>2798</v>
      </c>
      <c r="B411" s="3">
        <v>44203</v>
      </c>
      <c r="C411" s="2" t="s">
        <v>2799</v>
      </c>
      <c r="D411" t="s">
        <v>6170</v>
      </c>
      <c r="E411" s="2">
        <v>3</v>
      </c>
      <c r="F411" s="2" t="str">
        <f>_xlfn.XLOOKUP(C411,customers!$A$2:$A$1001,customers!$B$2:$B$1001,,0)</f>
        <v>Hamish Skeech</v>
      </c>
      <c r="G411" s="2" t="str">
        <f>_xlfn.XLOOKUP(C411,customers!$A$2:$A$1001,customers!$G$2:$G$1001,,0)</f>
        <v>Ireland</v>
      </c>
      <c r="H411" t="str">
        <f>INDEX(products!$A$1:$G$49,MATCH(orders!$D411,products!$A$1:$A$49,0),MATCH(orders!H$1,products!$A$1:$G$1,0))</f>
        <v>Lib</v>
      </c>
      <c r="I411" t="str">
        <f>INDEX(products!$A$1:$G$49,MATCH(orders!$D411,products!$A$1:$A$49,0),MATCH(orders!I$1,products!$A$1:$G$1,0))</f>
        <v>L</v>
      </c>
      <c r="J411" s="5">
        <f>INDEX(products!$A$1:$G$49,MATCH(orders!$D411,products!$A$1:$A$49,0),MATCH(orders!J$1,products!$A$1:$G$1,0))</f>
        <v>1</v>
      </c>
      <c r="K411" s="6">
        <f>INDEX(products!$A$1:$G$49,MATCH(orders!$D411,products!$A$1:$A$49,0),MATCH(orders!K$1,products!$A$1:$G$1,0))</f>
        <v>15.85</v>
      </c>
      <c r="L411" s="6">
        <f>K411*E411</f>
        <v>47.55</v>
      </c>
      <c r="M411" t="str" cm="1">
        <f t="array" ref="M411">_xlfn.IFS(H411="Rob","Robusta",H411="Exc","Excelsa",H411="Ara","Arabica",H411="Lib","Liberica")</f>
        <v>Liberica</v>
      </c>
      <c r="N411" t="str" cm="1">
        <f t="array" ref="N411">_xlfn.IFS(I411="M","Medium",I411="L","Light",I411="D","Dark")</f>
        <v>Light</v>
      </c>
      <c r="O411" t="str">
        <f>_xlfn.XLOOKUP(Orders[[#This Row],[Customer ID]],customers!$A$2:$A$1001,customers!$I$2:$I$1001,,0)</f>
        <v>Yes</v>
      </c>
    </row>
    <row r="412" spans="1:15" x14ac:dyDescent="0.3">
      <c r="A412" s="2" t="s">
        <v>2803</v>
      </c>
      <c r="B412" s="3">
        <v>44441</v>
      </c>
      <c r="C412" s="2" t="s">
        <v>2804</v>
      </c>
      <c r="D412" t="s">
        <v>6167</v>
      </c>
      <c r="E412" s="2">
        <v>4</v>
      </c>
      <c r="F412" s="2" t="str">
        <f>_xlfn.XLOOKUP(C412,customers!$A$2:$A$1001,customers!$B$2:$B$1001,,0)</f>
        <v>Giordano Lorenzin</v>
      </c>
      <c r="G412" s="2" t="str">
        <f>_xlfn.XLOOKUP(C412,customers!$A$2:$A$1001,customers!$G$2:$G$1001,,0)</f>
        <v>United States</v>
      </c>
      <c r="H412" t="str">
        <f>INDEX(products!$A$1:$G$49,MATCH(orders!$D412,products!$A$1:$A$49,0),MATCH(orders!H$1,products!$A$1:$G$1,0))</f>
        <v>Ara</v>
      </c>
      <c r="I412" t="str">
        <f>INDEX(products!$A$1:$G$49,MATCH(orders!$D412,products!$A$1:$A$49,0),MATCH(orders!I$1,products!$A$1:$G$1,0))</f>
        <v>L</v>
      </c>
      <c r="J412" s="5">
        <f>INDEX(products!$A$1:$G$49,MATCH(orders!$D412,products!$A$1:$A$49,0),MATCH(orders!J$1,products!$A$1:$G$1,0))</f>
        <v>0.2</v>
      </c>
      <c r="K412" s="6">
        <f>INDEX(products!$A$1:$G$49,MATCH(orders!$D412,products!$A$1:$A$49,0),MATCH(orders!K$1,products!$A$1:$G$1,0))</f>
        <v>3.8849999999999998</v>
      </c>
      <c r="L412" s="6">
        <f>K412*E412</f>
        <v>15.54</v>
      </c>
      <c r="M412" t="str" cm="1">
        <f t="array" ref="M412">_xlfn.IFS(H412="Rob","Robusta",H412="Exc","Excelsa",H412="Ara","Arabica",H412="Lib","Liberica")</f>
        <v>Arabica</v>
      </c>
      <c r="N412" t="str" cm="1">
        <f t="array" ref="N412">_xlfn.IFS(I412="M","Medium",I412="L","Light",I412="D","Dark")</f>
        <v>Light</v>
      </c>
      <c r="O412" t="str">
        <f>_xlfn.XLOOKUP(Orders[[#This Row],[Customer ID]],customers!$A$2:$A$1001,customers!$I$2:$I$1001,,0)</f>
        <v>No</v>
      </c>
    </row>
    <row r="413" spans="1:15" x14ac:dyDescent="0.3">
      <c r="A413" s="2" t="s">
        <v>2808</v>
      </c>
      <c r="B413" s="3">
        <v>44504</v>
      </c>
      <c r="C413" s="2" t="s">
        <v>2809</v>
      </c>
      <c r="D413" t="s">
        <v>6162</v>
      </c>
      <c r="E413" s="2">
        <v>6</v>
      </c>
      <c r="F413" s="2" t="str">
        <f>_xlfn.XLOOKUP(C413,customers!$A$2:$A$1001,customers!$B$2:$B$1001,,0)</f>
        <v>Harwilll Bishell</v>
      </c>
      <c r="G413" s="2" t="str">
        <f>_xlfn.XLOOKUP(C413,customers!$A$2:$A$1001,customers!$G$2:$G$1001,,0)</f>
        <v>United States</v>
      </c>
      <c r="H413" t="str">
        <f>INDEX(products!$A$1:$G$49,MATCH(orders!$D413,products!$A$1:$A$49,0),MATCH(orders!H$1,products!$A$1:$G$1,0))</f>
        <v>Lib</v>
      </c>
      <c r="I413" t="str">
        <f>INDEX(products!$A$1:$G$49,MATCH(orders!$D413,products!$A$1:$A$49,0),MATCH(orders!I$1,products!$A$1:$G$1,0))</f>
        <v>M</v>
      </c>
      <c r="J413" s="5">
        <f>INDEX(products!$A$1:$G$49,MATCH(orders!$D413,products!$A$1:$A$49,0),MATCH(orders!J$1,products!$A$1:$G$1,0))</f>
        <v>1</v>
      </c>
      <c r="K413" s="6">
        <f>INDEX(products!$A$1:$G$49,MATCH(orders!$D413,products!$A$1:$A$49,0),MATCH(orders!K$1,products!$A$1:$G$1,0))</f>
        <v>14.55</v>
      </c>
      <c r="L413" s="6">
        <f>K413*E413</f>
        <v>87.300000000000011</v>
      </c>
      <c r="M413" t="str" cm="1">
        <f t="array" ref="M413">_xlfn.IFS(H413="Rob","Robusta",H413="Exc","Excelsa",H413="Ara","Arabica",H413="Lib","Liberica")</f>
        <v>Liberica</v>
      </c>
      <c r="N413" t="str" cm="1">
        <f t="array" ref="N413">_xlfn.IFS(I413="M","Medium",I413="L","Light",I413="D","Dark")</f>
        <v>Medium</v>
      </c>
      <c r="O413" t="str">
        <f>_xlfn.XLOOKUP(Orders[[#This Row],[Customer ID]],customers!$A$2:$A$1001,customers!$I$2:$I$1001,,0)</f>
        <v>Yes</v>
      </c>
    </row>
    <row r="414" spans="1:15" x14ac:dyDescent="0.3">
      <c r="A414" s="2" t="s">
        <v>2813</v>
      </c>
      <c r="B414" s="3">
        <v>44410</v>
      </c>
      <c r="C414" s="2" t="s">
        <v>2814</v>
      </c>
      <c r="D414" t="s">
        <v>6155</v>
      </c>
      <c r="E414" s="2">
        <v>5</v>
      </c>
      <c r="F414" s="2" t="str">
        <f>_xlfn.XLOOKUP(C414,customers!$A$2:$A$1001,customers!$B$2:$B$1001,,0)</f>
        <v>Freeland Missenden</v>
      </c>
      <c r="G414" s="2" t="str">
        <f>_xlfn.XLOOKUP(C414,customers!$A$2:$A$1001,customers!$G$2:$G$1001,,0)</f>
        <v>United States</v>
      </c>
      <c r="H414" t="str">
        <f>INDEX(products!$A$1:$G$49,MATCH(orders!$D414,products!$A$1:$A$49,0),MATCH(orders!H$1,products!$A$1:$G$1,0))</f>
        <v>Ara</v>
      </c>
      <c r="I414" t="str">
        <f>INDEX(products!$A$1:$G$49,MATCH(orders!$D414,products!$A$1:$A$49,0),MATCH(orders!I$1,products!$A$1:$G$1,0))</f>
        <v>M</v>
      </c>
      <c r="J414" s="5">
        <f>INDEX(products!$A$1:$G$49,MATCH(orders!$D414,products!$A$1:$A$49,0),MATCH(orders!J$1,products!$A$1:$G$1,0))</f>
        <v>1</v>
      </c>
      <c r="K414" s="6">
        <f>INDEX(products!$A$1:$G$49,MATCH(orders!$D414,products!$A$1:$A$49,0),MATCH(orders!K$1,products!$A$1:$G$1,0))</f>
        <v>11.25</v>
      </c>
      <c r="L414" s="6">
        <f>K414*E414</f>
        <v>56.25</v>
      </c>
      <c r="M414" t="str" cm="1">
        <f t="array" ref="M414">_xlfn.IFS(H414="Rob","Robusta",H414="Exc","Excelsa",H414="Ara","Arabica",H414="Lib","Liberica")</f>
        <v>Arabica</v>
      </c>
      <c r="N414" t="str" cm="1">
        <f t="array" ref="N414">_xlfn.IFS(I414="M","Medium",I414="L","Light",I414="D","Dark")</f>
        <v>Medium</v>
      </c>
      <c r="O414" t="str">
        <f>_xlfn.XLOOKUP(Orders[[#This Row],[Customer ID]],customers!$A$2:$A$1001,customers!$I$2:$I$1001,,0)</f>
        <v>Yes</v>
      </c>
    </row>
    <row r="415" spans="1:15" x14ac:dyDescent="0.3">
      <c r="A415" s="2" t="s">
        <v>2818</v>
      </c>
      <c r="B415" s="3">
        <v>43857</v>
      </c>
      <c r="C415" s="2" t="s">
        <v>2819</v>
      </c>
      <c r="D415" t="s">
        <v>6164</v>
      </c>
      <c r="E415" s="2">
        <v>1</v>
      </c>
      <c r="F415" s="2" t="str">
        <f>_xlfn.XLOOKUP(C415,customers!$A$2:$A$1001,customers!$B$2:$B$1001,,0)</f>
        <v>Waylan Springall</v>
      </c>
      <c r="G415" s="2" t="str">
        <f>_xlfn.XLOOKUP(C415,customers!$A$2:$A$1001,customers!$G$2:$G$1001,,0)</f>
        <v>United States</v>
      </c>
      <c r="H415" t="str">
        <f>INDEX(products!$A$1:$G$49,MATCH(orders!$D415,products!$A$1:$A$49,0),MATCH(orders!H$1,products!$A$1:$G$1,0))</f>
        <v>Lib</v>
      </c>
      <c r="I415" t="str">
        <f>INDEX(products!$A$1:$G$49,MATCH(orders!$D415,products!$A$1:$A$49,0),MATCH(orders!I$1,products!$A$1:$G$1,0))</f>
        <v>L</v>
      </c>
      <c r="J415" s="5">
        <f>INDEX(products!$A$1:$G$49,MATCH(orders!$D415,products!$A$1:$A$49,0),MATCH(orders!J$1,products!$A$1:$G$1,0))</f>
        <v>2.5</v>
      </c>
      <c r="K415" s="6">
        <f>INDEX(products!$A$1:$G$49,MATCH(orders!$D415,products!$A$1:$A$49,0),MATCH(orders!K$1,products!$A$1:$G$1,0))</f>
        <v>36.454999999999998</v>
      </c>
      <c r="L415" s="6">
        <f>K415*E415</f>
        <v>36.454999999999998</v>
      </c>
      <c r="M415" t="str" cm="1">
        <f t="array" ref="M415">_xlfn.IFS(H415="Rob","Robusta",H415="Exc","Excelsa",H415="Ara","Arabica",H415="Lib","Liberica")</f>
        <v>Liberica</v>
      </c>
      <c r="N415" t="str" cm="1">
        <f t="array" ref="N415">_xlfn.IFS(I415="M","Medium",I415="L","Light",I415="D","Dark")</f>
        <v>Light</v>
      </c>
      <c r="O415" t="str">
        <f>_xlfn.XLOOKUP(Orders[[#This Row],[Customer ID]],customers!$A$2:$A$1001,customers!$I$2:$I$1001,,0)</f>
        <v>Yes</v>
      </c>
    </row>
    <row r="416" spans="1:15" x14ac:dyDescent="0.3">
      <c r="A416" s="2" t="s">
        <v>2824</v>
      </c>
      <c r="B416" s="3">
        <v>43802</v>
      </c>
      <c r="C416" s="2" t="s">
        <v>2825</v>
      </c>
      <c r="D416" t="s">
        <v>6178</v>
      </c>
      <c r="E416" s="2">
        <v>3</v>
      </c>
      <c r="F416" s="2" t="str">
        <f>_xlfn.XLOOKUP(C416,customers!$A$2:$A$1001,customers!$B$2:$B$1001,,0)</f>
        <v>Kiri Avramow</v>
      </c>
      <c r="G416" s="2" t="str">
        <f>_xlfn.XLOOKUP(C416,customers!$A$2:$A$1001,customers!$G$2:$G$1001,,0)</f>
        <v>United States</v>
      </c>
      <c r="H416" t="str">
        <f>INDEX(products!$A$1:$G$49,MATCH(orders!$D416,products!$A$1:$A$49,0),MATCH(orders!H$1,products!$A$1:$G$1,0))</f>
        <v>Rob</v>
      </c>
      <c r="I416" t="str">
        <f>INDEX(products!$A$1:$G$49,MATCH(orders!$D416,products!$A$1:$A$49,0),MATCH(orders!I$1,products!$A$1:$G$1,0))</f>
        <v>L</v>
      </c>
      <c r="J416" s="5">
        <f>INDEX(products!$A$1:$G$49,MATCH(orders!$D416,products!$A$1:$A$49,0),MATCH(orders!J$1,products!$A$1:$G$1,0))</f>
        <v>0.2</v>
      </c>
      <c r="K416" s="6">
        <f>INDEX(products!$A$1:$G$49,MATCH(orders!$D416,products!$A$1:$A$49,0),MATCH(orders!K$1,products!$A$1:$G$1,0))</f>
        <v>3.5849999999999995</v>
      </c>
      <c r="L416" s="6">
        <f>K416*E416</f>
        <v>10.754999999999999</v>
      </c>
      <c r="M416" t="str" cm="1">
        <f t="array" ref="M416">_xlfn.IFS(H416="Rob","Robusta",H416="Exc","Excelsa",H416="Ara","Arabica",H416="Lib","Liberica")</f>
        <v>Robusta</v>
      </c>
      <c r="N416" t="str" cm="1">
        <f t="array" ref="N416">_xlfn.IFS(I416="M","Medium",I416="L","Light",I416="D","Dark")</f>
        <v>Light</v>
      </c>
      <c r="O416" t="str">
        <f>_xlfn.XLOOKUP(Orders[[#This Row],[Customer ID]],customers!$A$2:$A$1001,customers!$I$2:$I$1001,,0)</f>
        <v>Yes</v>
      </c>
    </row>
    <row r="417" spans="1:15" x14ac:dyDescent="0.3">
      <c r="A417" s="2" t="s">
        <v>2829</v>
      </c>
      <c r="B417" s="3">
        <v>43683</v>
      </c>
      <c r="C417" s="2" t="s">
        <v>2830</v>
      </c>
      <c r="D417" t="s">
        <v>6174</v>
      </c>
      <c r="E417" s="2">
        <v>3</v>
      </c>
      <c r="F417" s="2" t="str">
        <f>_xlfn.XLOOKUP(C417,customers!$A$2:$A$1001,customers!$B$2:$B$1001,,0)</f>
        <v>Gregg Hawkyens</v>
      </c>
      <c r="G417" s="2" t="str">
        <f>_xlfn.XLOOKUP(C417,customers!$A$2:$A$1001,customers!$G$2:$G$1001,,0)</f>
        <v>United States</v>
      </c>
      <c r="H417" t="str">
        <f>INDEX(products!$A$1:$G$49,MATCH(orders!$D417,products!$A$1:$A$49,0),MATCH(orders!H$1,products!$A$1:$G$1,0))</f>
        <v>Rob</v>
      </c>
      <c r="I417" t="str">
        <f>INDEX(products!$A$1:$G$49,MATCH(orders!$D417,products!$A$1:$A$49,0),MATCH(orders!I$1,products!$A$1:$G$1,0))</f>
        <v>M</v>
      </c>
      <c r="J417" s="5">
        <f>INDEX(products!$A$1:$G$49,MATCH(orders!$D417,products!$A$1:$A$49,0),MATCH(orders!J$1,products!$A$1:$G$1,0))</f>
        <v>0.2</v>
      </c>
      <c r="K417" s="6">
        <f>INDEX(products!$A$1:$G$49,MATCH(orders!$D417,products!$A$1:$A$49,0),MATCH(orders!K$1,products!$A$1:$G$1,0))</f>
        <v>2.9849999999999999</v>
      </c>
      <c r="L417" s="6">
        <f>K417*E417</f>
        <v>8.9550000000000001</v>
      </c>
      <c r="M417" t="str" cm="1">
        <f t="array" ref="M417">_xlfn.IFS(H417="Rob","Robusta",H417="Exc","Excelsa",H417="Ara","Arabica",H417="Lib","Liberica")</f>
        <v>Robusta</v>
      </c>
      <c r="N417" t="str" cm="1">
        <f t="array" ref="N417">_xlfn.IFS(I417="M","Medium",I417="L","Light",I417="D","Dark")</f>
        <v>Medium</v>
      </c>
      <c r="O417" t="str">
        <f>_xlfn.XLOOKUP(Orders[[#This Row],[Customer ID]],customers!$A$2:$A$1001,customers!$I$2:$I$1001,,0)</f>
        <v>No</v>
      </c>
    </row>
    <row r="418" spans="1:15" x14ac:dyDescent="0.3">
      <c r="A418" s="2" t="s">
        <v>2834</v>
      </c>
      <c r="B418" s="3">
        <v>43901</v>
      </c>
      <c r="C418" s="2" t="s">
        <v>2835</v>
      </c>
      <c r="D418" t="s">
        <v>6180</v>
      </c>
      <c r="E418" s="2">
        <v>3</v>
      </c>
      <c r="F418" s="2" t="str">
        <f>_xlfn.XLOOKUP(C418,customers!$A$2:$A$1001,customers!$B$2:$B$1001,,0)</f>
        <v>Reggis Pracy</v>
      </c>
      <c r="G418" s="2" t="str">
        <f>_xlfn.XLOOKUP(C418,customers!$A$2:$A$1001,customers!$G$2:$G$1001,,0)</f>
        <v>United States</v>
      </c>
      <c r="H418" t="str">
        <f>INDEX(products!$A$1:$G$49,MATCH(orders!$D418,products!$A$1:$A$49,0),MATCH(orders!H$1,products!$A$1:$G$1,0))</f>
        <v>Ara</v>
      </c>
      <c r="I418" t="str">
        <f>INDEX(products!$A$1:$G$49,MATCH(orders!$D418,products!$A$1:$A$49,0),MATCH(orders!I$1,products!$A$1:$G$1,0))</f>
        <v>L</v>
      </c>
      <c r="J418" s="5">
        <f>INDEX(products!$A$1:$G$49,MATCH(orders!$D418,products!$A$1:$A$49,0),MATCH(orders!J$1,products!$A$1:$G$1,0))</f>
        <v>0.5</v>
      </c>
      <c r="K418" s="6">
        <f>INDEX(products!$A$1:$G$49,MATCH(orders!$D418,products!$A$1:$A$49,0),MATCH(orders!K$1,products!$A$1:$G$1,0))</f>
        <v>7.77</v>
      </c>
      <c r="L418" s="6">
        <f>K418*E418</f>
        <v>23.31</v>
      </c>
      <c r="M418" t="str" cm="1">
        <f t="array" ref="M418">_xlfn.IFS(H418="Rob","Robusta",H418="Exc","Excelsa",H418="Ara","Arabica",H418="Lib","Liberica")</f>
        <v>Arabica</v>
      </c>
      <c r="N418" t="str" cm="1">
        <f t="array" ref="N418">_xlfn.IFS(I418="M","Medium",I418="L","Light",I418="D","Dark")</f>
        <v>Light</v>
      </c>
      <c r="O418" t="str">
        <f>_xlfn.XLOOKUP(Orders[[#This Row],[Customer ID]],customers!$A$2:$A$1001,customers!$I$2:$I$1001,,0)</f>
        <v>Yes</v>
      </c>
    </row>
    <row r="419" spans="1:15" x14ac:dyDescent="0.3">
      <c r="A419" s="2" t="s">
        <v>2839</v>
      </c>
      <c r="B419" s="3">
        <v>44457</v>
      </c>
      <c r="C419" s="2" t="s">
        <v>2840</v>
      </c>
      <c r="D419" t="s">
        <v>6182</v>
      </c>
      <c r="E419" s="2">
        <v>1</v>
      </c>
      <c r="F419" s="2" t="str">
        <f>_xlfn.XLOOKUP(C419,customers!$A$2:$A$1001,customers!$B$2:$B$1001,,0)</f>
        <v>Paula Denis</v>
      </c>
      <c r="G419" s="2" t="str">
        <f>_xlfn.XLOOKUP(C419,customers!$A$2:$A$1001,customers!$G$2:$G$1001,,0)</f>
        <v>United States</v>
      </c>
      <c r="H419" t="str">
        <f>INDEX(products!$A$1:$G$49,MATCH(orders!$D419,products!$A$1:$A$49,0),MATCH(orders!H$1,products!$A$1:$G$1,0))</f>
        <v>Ara</v>
      </c>
      <c r="I419" t="str">
        <f>INDEX(products!$A$1:$G$49,MATCH(orders!$D419,products!$A$1:$A$49,0),MATCH(orders!I$1,products!$A$1:$G$1,0))</f>
        <v>L</v>
      </c>
      <c r="J419" s="5">
        <f>INDEX(products!$A$1:$G$49,MATCH(orders!$D419,products!$A$1:$A$49,0),MATCH(orders!J$1,products!$A$1:$G$1,0))</f>
        <v>2.5</v>
      </c>
      <c r="K419" s="6">
        <f>INDEX(products!$A$1:$G$49,MATCH(orders!$D419,products!$A$1:$A$49,0),MATCH(orders!K$1,products!$A$1:$G$1,0))</f>
        <v>29.784999999999997</v>
      </c>
      <c r="L419" s="6">
        <f>K419*E419</f>
        <v>29.784999999999997</v>
      </c>
      <c r="M419" t="str" cm="1">
        <f t="array" ref="M419">_xlfn.IFS(H419="Rob","Robusta",H419="Exc","Excelsa",H419="Ara","Arabica",H419="Lib","Liberica")</f>
        <v>Arabica</v>
      </c>
      <c r="N419" t="str" cm="1">
        <f t="array" ref="N419">_xlfn.IFS(I419="M","Medium",I419="L","Light",I419="D","Dark")</f>
        <v>Light</v>
      </c>
      <c r="O419" t="str">
        <f>_xlfn.XLOOKUP(Orders[[#This Row],[Customer ID]],customers!$A$2:$A$1001,customers!$I$2:$I$1001,,0)</f>
        <v>Yes</v>
      </c>
    </row>
    <row r="420" spans="1:15" x14ac:dyDescent="0.3">
      <c r="A420" s="2" t="s">
        <v>2844</v>
      </c>
      <c r="B420" s="3">
        <v>44142</v>
      </c>
      <c r="C420" s="2" t="s">
        <v>2845</v>
      </c>
      <c r="D420" t="s">
        <v>6182</v>
      </c>
      <c r="E420" s="2">
        <v>5</v>
      </c>
      <c r="F420" s="2" t="str">
        <f>_xlfn.XLOOKUP(C420,customers!$A$2:$A$1001,customers!$B$2:$B$1001,,0)</f>
        <v>Broderick McGilvra</v>
      </c>
      <c r="G420" s="2" t="str">
        <f>_xlfn.XLOOKUP(C420,customers!$A$2:$A$1001,customers!$G$2:$G$1001,,0)</f>
        <v>United States</v>
      </c>
      <c r="H420" t="str">
        <f>INDEX(products!$A$1:$G$49,MATCH(orders!$D420,products!$A$1:$A$49,0),MATCH(orders!H$1,products!$A$1:$G$1,0))</f>
        <v>Ara</v>
      </c>
      <c r="I420" t="str">
        <f>INDEX(products!$A$1:$G$49,MATCH(orders!$D420,products!$A$1:$A$49,0),MATCH(orders!I$1,products!$A$1:$G$1,0))</f>
        <v>L</v>
      </c>
      <c r="J420" s="5">
        <f>INDEX(products!$A$1:$G$49,MATCH(orders!$D420,products!$A$1:$A$49,0),MATCH(orders!J$1,products!$A$1:$G$1,0))</f>
        <v>2.5</v>
      </c>
      <c r="K420" s="6">
        <f>INDEX(products!$A$1:$G$49,MATCH(orders!$D420,products!$A$1:$A$49,0),MATCH(orders!K$1,products!$A$1:$G$1,0))</f>
        <v>29.784999999999997</v>
      </c>
      <c r="L420" s="6">
        <f>K420*E420</f>
        <v>148.92499999999998</v>
      </c>
      <c r="M420" t="str" cm="1">
        <f t="array" ref="M420">_xlfn.IFS(H420="Rob","Robusta",H420="Exc","Excelsa",H420="Ara","Arabica",H420="Lib","Liberica")</f>
        <v>Arabica</v>
      </c>
      <c r="N420" t="str" cm="1">
        <f t="array" ref="N420">_xlfn.IFS(I420="M","Medium",I420="L","Light",I420="D","Dark")</f>
        <v>Light</v>
      </c>
      <c r="O420" t="str">
        <f>_xlfn.XLOOKUP(Orders[[#This Row],[Customer ID]],customers!$A$2:$A$1001,customers!$I$2:$I$1001,,0)</f>
        <v>Yes</v>
      </c>
    </row>
    <row r="421" spans="1:15" x14ac:dyDescent="0.3">
      <c r="A421" s="2" t="s">
        <v>2849</v>
      </c>
      <c r="B421" s="3">
        <v>44739</v>
      </c>
      <c r="C421" s="2" t="s">
        <v>2850</v>
      </c>
      <c r="D421" t="s">
        <v>6160</v>
      </c>
      <c r="E421" s="2">
        <v>1</v>
      </c>
      <c r="F421" s="2" t="str">
        <f>_xlfn.XLOOKUP(C421,customers!$A$2:$A$1001,customers!$B$2:$B$1001,,0)</f>
        <v>Annabella Danzey</v>
      </c>
      <c r="G421" s="2" t="str">
        <f>_xlfn.XLOOKUP(C421,customers!$A$2:$A$1001,customers!$G$2:$G$1001,,0)</f>
        <v>United States</v>
      </c>
      <c r="H421" t="str">
        <f>INDEX(products!$A$1:$G$49,MATCH(orders!$D421,products!$A$1:$A$49,0),MATCH(orders!H$1,products!$A$1:$G$1,0))</f>
        <v>Lib</v>
      </c>
      <c r="I421" t="str">
        <f>INDEX(products!$A$1:$G$49,MATCH(orders!$D421,products!$A$1:$A$49,0),MATCH(orders!I$1,products!$A$1:$G$1,0))</f>
        <v>M</v>
      </c>
      <c r="J421" s="5">
        <f>INDEX(products!$A$1:$G$49,MATCH(orders!$D421,products!$A$1:$A$49,0),MATCH(orders!J$1,products!$A$1:$G$1,0))</f>
        <v>0.5</v>
      </c>
      <c r="K421" s="6">
        <f>INDEX(products!$A$1:$G$49,MATCH(orders!$D421,products!$A$1:$A$49,0),MATCH(orders!K$1,products!$A$1:$G$1,0))</f>
        <v>8.73</v>
      </c>
      <c r="L421" s="6">
        <f>K421*E421</f>
        <v>8.73</v>
      </c>
      <c r="M421" t="str" cm="1">
        <f t="array" ref="M421">_xlfn.IFS(H421="Rob","Robusta",H421="Exc","Excelsa",H421="Ara","Arabica",H421="Lib","Liberica")</f>
        <v>Liberica</v>
      </c>
      <c r="N421" t="str" cm="1">
        <f t="array" ref="N421">_xlfn.IFS(I421="M","Medium",I421="L","Light",I421="D","Dark")</f>
        <v>Medium</v>
      </c>
      <c r="O421" t="str">
        <f>_xlfn.XLOOKUP(Orders[[#This Row],[Customer ID]],customers!$A$2:$A$1001,customers!$I$2:$I$1001,,0)</f>
        <v>Yes</v>
      </c>
    </row>
    <row r="422" spans="1:15" x14ac:dyDescent="0.3">
      <c r="A422" s="2" t="s">
        <v>2855</v>
      </c>
      <c r="B422" s="3">
        <v>43866</v>
      </c>
      <c r="C422" s="2" t="s">
        <v>2586</v>
      </c>
      <c r="D422" t="s">
        <v>6169</v>
      </c>
      <c r="E422" s="2">
        <v>4</v>
      </c>
      <c r="F422" s="2" t="str">
        <f>_xlfn.XLOOKUP(C422,customers!$A$2:$A$1001,customers!$B$2:$B$1001,,0)</f>
        <v>Terri Farra</v>
      </c>
      <c r="G422" s="2" t="str">
        <f>_xlfn.XLOOKUP(C422,customers!$A$2:$A$1001,customers!$G$2:$G$1001,,0)</f>
        <v>United States</v>
      </c>
      <c r="H422" t="str">
        <f>INDEX(products!$A$1:$G$49,MATCH(orders!$D422,products!$A$1:$A$49,0),MATCH(orders!H$1,products!$A$1:$G$1,0))</f>
        <v>Lib</v>
      </c>
      <c r="I422" t="str">
        <f>INDEX(products!$A$1:$G$49,MATCH(orders!$D422,products!$A$1:$A$49,0),MATCH(orders!I$1,products!$A$1:$G$1,0))</f>
        <v>D</v>
      </c>
      <c r="J422" s="5">
        <f>INDEX(products!$A$1:$G$49,MATCH(orders!$D422,products!$A$1:$A$49,0),MATCH(orders!J$1,products!$A$1:$G$1,0))</f>
        <v>0.5</v>
      </c>
      <c r="K422" s="6">
        <f>INDEX(products!$A$1:$G$49,MATCH(orders!$D422,products!$A$1:$A$49,0),MATCH(orders!K$1,products!$A$1:$G$1,0))</f>
        <v>7.77</v>
      </c>
      <c r="L422" s="6">
        <f>K422*E422</f>
        <v>31.08</v>
      </c>
      <c r="M422" t="str" cm="1">
        <f t="array" ref="M422">_xlfn.IFS(H422="Rob","Robusta",H422="Exc","Excelsa",H422="Ara","Arabica",H422="Lib","Liberica")</f>
        <v>Liberica</v>
      </c>
      <c r="N422" t="str" cm="1">
        <f t="array" ref="N422">_xlfn.IFS(I422="M","Medium",I422="L","Light",I422="D","Dark")</f>
        <v>Dark</v>
      </c>
      <c r="O422" t="str">
        <f>_xlfn.XLOOKUP(Orders[[#This Row],[Customer ID]],customers!$A$2:$A$1001,customers!$I$2:$I$1001,,0)</f>
        <v>No</v>
      </c>
    </row>
    <row r="423" spans="1:15" x14ac:dyDescent="0.3">
      <c r="A423" s="2" t="s">
        <v>2855</v>
      </c>
      <c r="B423" s="3">
        <v>43866</v>
      </c>
      <c r="C423" s="2" t="s">
        <v>2586</v>
      </c>
      <c r="D423" t="s">
        <v>6168</v>
      </c>
      <c r="E423" s="2">
        <v>6</v>
      </c>
      <c r="F423" s="2" t="str">
        <f>_xlfn.XLOOKUP(C423,customers!$A$2:$A$1001,customers!$B$2:$B$1001,,0)</f>
        <v>Terri Farra</v>
      </c>
      <c r="G423" s="2" t="str">
        <f>_xlfn.XLOOKUP(C423,customers!$A$2:$A$1001,customers!$G$2:$G$1001,,0)</f>
        <v>United States</v>
      </c>
      <c r="H423" t="str">
        <f>INDEX(products!$A$1:$G$49,MATCH(orders!$D423,products!$A$1:$A$49,0),MATCH(orders!H$1,products!$A$1:$G$1,0))</f>
        <v>Ara</v>
      </c>
      <c r="I423" t="str">
        <f>INDEX(products!$A$1:$G$49,MATCH(orders!$D423,products!$A$1:$A$49,0),MATCH(orders!I$1,products!$A$1:$G$1,0))</f>
        <v>D</v>
      </c>
      <c r="J423" s="5">
        <f>INDEX(products!$A$1:$G$49,MATCH(orders!$D423,products!$A$1:$A$49,0),MATCH(orders!J$1,products!$A$1:$G$1,0))</f>
        <v>2.5</v>
      </c>
      <c r="K423" s="6">
        <f>INDEX(products!$A$1:$G$49,MATCH(orders!$D423,products!$A$1:$A$49,0),MATCH(orders!K$1,products!$A$1:$G$1,0))</f>
        <v>22.884999999999998</v>
      </c>
      <c r="L423" s="6">
        <f>K423*E423</f>
        <v>137.31</v>
      </c>
      <c r="M423" t="str" cm="1">
        <f t="array" ref="M423">_xlfn.IFS(H423="Rob","Robusta",H423="Exc","Excelsa",H423="Ara","Arabica",H423="Lib","Liberica")</f>
        <v>Arabica</v>
      </c>
      <c r="N423" t="str" cm="1">
        <f t="array" ref="N423">_xlfn.IFS(I423="M","Medium",I423="L","Light",I423="D","Dark")</f>
        <v>Dark</v>
      </c>
      <c r="O423" t="str">
        <f>_xlfn.XLOOKUP(Orders[[#This Row],[Customer ID]],customers!$A$2:$A$1001,customers!$I$2:$I$1001,,0)</f>
        <v>No</v>
      </c>
    </row>
    <row r="424" spans="1:15" x14ac:dyDescent="0.3">
      <c r="A424" s="2" t="s">
        <v>2866</v>
      </c>
      <c r="B424" s="3">
        <v>43868</v>
      </c>
      <c r="C424" s="2" t="s">
        <v>2867</v>
      </c>
      <c r="D424" t="s">
        <v>6158</v>
      </c>
      <c r="E424" s="2">
        <v>5</v>
      </c>
      <c r="F424" s="2" t="str">
        <f>_xlfn.XLOOKUP(C424,customers!$A$2:$A$1001,customers!$B$2:$B$1001,,0)</f>
        <v>Nevins Glowacz</v>
      </c>
      <c r="G424" s="2" t="str">
        <f>_xlfn.XLOOKUP(C424,customers!$A$2:$A$1001,customers!$G$2:$G$1001,,0)</f>
        <v>United States</v>
      </c>
      <c r="H424" t="str">
        <f>INDEX(products!$A$1:$G$49,MATCH(orders!$D424,products!$A$1:$A$49,0),MATCH(orders!H$1,products!$A$1:$G$1,0))</f>
        <v>Ara</v>
      </c>
      <c r="I424" t="str">
        <f>INDEX(products!$A$1:$G$49,MATCH(orders!$D424,products!$A$1:$A$49,0),MATCH(orders!I$1,products!$A$1:$G$1,0))</f>
        <v>D</v>
      </c>
      <c r="J424" s="5">
        <f>INDEX(products!$A$1:$G$49,MATCH(orders!$D424,products!$A$1:$A$49,0),MATCH(orders!J$1,products!$A$1:$G$1,0))</f>
        <v>0.5</v>
      </c>
      <c r="K424" s="6">
        <f>INDEX(products!$A$1:$G$49,MATCH(orders!$D424,products!$A$1:$A$49,0),MATCH(orders!K$1,products!$A$1:$G$1,0))</f>
        <v>5.97</v>
      </c>
      <c r="L424" s="6">
        <f>K424*E424</f>
        <v>29.849999999999998</v>
      </c>
      <c r="M424" t="str" cm="1">
        <f t="array" ref="M424">_xlfn.IFS(H424="Rob","Robusta",H424="Exc","Excelsa",H424="Ara","Arabica",H424="Lib","Liberica")</f>
        <v>Arabica</v>
      </c>
      <c r="N424" t="str" cm="1">
        <f t="array" ref="N424">_xlfn.IFS(I424="M","Medium",I424="L","Light",I424="D","Dark")</f>
        <v>Dark</v>
      </c>
      <c r="O424" t="str">
        <f>_xlfn.XLOOKUP(Orders[[#This Row],[Customer ID]],customers!$A$2:$A$1001,customers!$I$2:$I$1001,,0)</f>
        <v>No</v>
      </c>
    </row>
    <row r="425" spans="1:15" x14ac:dyDescent="0.3">
      <c r="A425" s="2" t="s">
        <v>2871</v>
      </c>
      <c r="B425" s="3">
        <v>44183</v>
      </c>
      <c r="C425" s="2" t="s">
        <v>2872</v>
      </c>
      <c r="D425" t="s">
        <v>6146</v>
      </c>
      <c r="E425" s="2">
        <v>3</v>
      </c>
      <c r="F425" s="2" t="str">
        <f>_xlfn.XLOOKUP(C425,customers!$A$2:$A$1001,customers!$B$2:$B$1001,,0)</f>
        <v>Adelice Isabell</v>
      </c>
      <c r="G425" s="2" t="str">
        <f>_xlfn.XLOOKUP(C425,customers!$A$2:$A$1001,customers!$G$2:$G$1001,,0)</f>
        <v>United States</v>
      </c>
      <c r="H425" t="str">
        <f>INDEX(products!$A$1:$G$49,MATCH(orders!$D425,products!$A$1:$A$49,0),MATCH(orders!H$1,products!$A$1:$G$1,0))</f>
        <v>Rob</v>
      </c>
      <c r="I425" t="str">
        <f>INDEX(products!$A$1:$G$49,MATCH(orders!$D425,products!$A$1:$A$49,0),MATCH(orders!I$1,products!$A$1:$G$1,0))</f>
        <v>M</v>
      </c>
      <c r="J425" s="5">
        <f>INDEX(products!$A$1:$G$49,MATCH(orders!$D425,products!$A$1:$A$49,0),MATCH(orders!J$1,products!$A$1:$G$1,0))</f>
        <v>0.5</v>
      </c>
      <c r="K425" s="6">
        <f>INDEX(products!$A$1:$G$49,MATCH(orders!$D425,products!$A$1:$A$49,0),MATCH(orders!K$1,products!$A$1:$G$1,0))</f>
        <v>5.97</v>
      </c>
      <c r="L425" s="6">
        <f>K425*E425</f>
        <v>17.91</v>
      </c>
      <c r="M425" t="str" cm="1">
        <f t="array" ref="M425">_xlfn.IFS(H425="Rob","Robusta",H425="Exc","Excelsa",H425="Ara","Arabica",H425="Lib","Liberica")</f>
        <v>Robusta</v>
      </c>
      <c r="N425" t="str" cm="1">
        <f t="array" ref="N425">_xlfn.IFS(I425="M","Medium",I425="L","Light",I425="D","Dark")</f>
        <v>Medium</v>
      </c>
      <c r="O425" t="str">
        <f>_xlfn.XLOOKUP(Orders[[#This Row],[Customer ID]],customers!$A$2:$A$1001,customers!$I$2:$I$1001,,0)</f>
        <v>No</v>
      </c>
    </row>
    <row r="426" spans="1:15" x14ac:dyDescent="0.3">
      <c r="A426" s="2" t="s">
        <v>2876</v>
      </c>
      <c r="B426" s="3">
        <v>44431</v>
      </c>
      <c r="C426" s="2" t="s">
        <v>2877</v>
      </c>
      <c r="D426" t="s">
        <v>6176</v>
      </c>
      <c r="E426" s="2">
        <v>3</v>
      </c>
      <c r="F426" s="2" t="str">
        <f>_xlfn.XLOOKUP(C426,customers!$A$2:$A$1001,customers!$B$2:$B$1001,,0)</f>
        <v>Yulma Dombrell</v>
      </c>
      <c r="G426" s="2" t="str">
        <f>_xlfn.XLOOKUP(C426,customers!$A$2:$A$1001,customers!$G$2:$G$1001,,0)</f>
        <v>United States</v>
      </c>
      <c r="H426" t="str">
        <f>INDEX(products!$A$1:$G$49,MATCH(orders!$D426,products!$A$1:$A$49,0),MATCH(orders!H$1,products!$A$1:$G$1,0))</f>
        <v>Exc</v>
      </c>
      <c r="I426" t="str">
        <f>INDEX(products!$A$1:$G$49,MATCH(orders!$D426,products!$A$1:$A$49,0),MATCH(orders!I$1,products!$A$1:$G$1,0))</f>
        <v>L</v>
      </c>
      <c r="J426" s="5">
        <f>INDEX(products!$A$1:$G$49,MATCH(orders!$D426,products!$A$1:$A$49,0),MATCH(orders!J$1,products!$A$1:$G$1,0))</f>
        <v>0.5</v>
      </c>
      <c r="K426" s="6">
        <f>INDEX(products!$A$1:$G$49,MATCH(orders!$D426,products!$A$1:$A$49,0),MATCH(orders!K$1,products!$A$1:$G$1,0))</f>
        <v>8.91</v>
      </c>
      <c r="L426" s="6">
        <f>K426*E426</f>
        <v>26.73</v>
      </c>
      <c r="M426" t="str" cm="1">
        <f t="array" ref="M426">_xlfn.IFS(H426="Rob","Robusta",H426="Exc","Excelsa",H426="Ara","Arabica",H426="Lib","Liberica")</f>
        <v>Excelsa</v>
      </c>
      <c r="N426" t="str" cm="1">
        <f t="array" ref="N426">_xlfn.IFS(I426="M","Medium",I426="L","Light",I426="D","Dark")</f>
        <v>Light</v>
      </c>
      <c r="O426" t="str">
        <f>_xlfn.XLOOKUP(Orders[[#This Row],[Customer ID]],customers!$A$2:$A$1001,customers!$I$2:$I$1001,,0)</f>
        <v>Yes</v>
      </c>
    </row>
    <row r="427" spans="1:15" x14ac:dyDescent="0.3">
      <c r="A427" s="2" t="s">
        <v>2882</v>
      </c>
      <c r="B427" s="3">
        <v>44428</v>
      </c>
      <c r="C427" s="2" t="s">
        <v>2883</v>
      </c>
      <c r="D427" t="s">
        <v>6177</v>
      </c>
      <c r="E427" s="2">
        <v>2</v>
      </c>
      <c r="F427" s="2" t="str">
        <f>_xlfn.XLOOKUP(C427,customers!$A$2:$A$1001,customers!$B$2:$B$1001,,0)</f>
        <v>Alric Darth</v>
      </c>
      <c r="G427" s="2" t="str">
        <f>_xlfn.XLOOKUP(C427,customers!$A$2:$A$1001,customers!$G$2:$G$1001,,0)</f>
        <v>United States</v>
      </c>
      <c r="H427" t="str">
        <f>INDEX(products!$A$1:$G$49,MATCH(orders!$D427,products!$A$1:$A$49,0),MATCH(orders!H$1,products!$A$1:$G$1,0))</f>
        <v>Rob</v>
      </c>
      <c r="I427" t="str">
        <f>INDEX(products!$A$1:$G$49,MATCH(orders!$D427,products!$A$1:$A$49,0),MATCH(orders!I$1,products!$A$1:$G$1,0))</f>
        <v>D</v>
      </c>
      <c r="J427" s="5">
        <f>INDEX(products!$A$1:$G$49,MATCH(orders!$D427,products!$A$1:$A$49,0),MATCH(orders!J$1,products!$A$1:$G$1,0))</f>
        <v>1</v>
      </c>
      <c r="K427" s="6">
        <f>INDEX(products!$A$1:$G$49,MATCH(orders!$D427,products!$A$1:$A$49,0),MATCH(orders!K$1,products!$A$1:$G$1,0))</f>
        <v>8.9499999999999993</v>
      </c>
      <c r="L427" s="6">
        <f>K427*E427</f>
        <v>17.899999999999999</v>
      </c>
      <c r="M427" t="str" cm="1">
        <f t="array" ref="M427">_xlfn.IFS(H427="Rob","Robusta",H427="Exc","Excelsa",H427="Ara","Arabica",H427="Lib","Liberica")</f>
        <v>Robusta</v>
      </c>
      <c r="N427" t="str" cm="1">
        <f t="array" ref="N427">_xlfn.IFS(I427="M","Medium",I427="L","Light",I427="D","Dark")</f>
        <v>Dark</v>
      </c>
      <c r="O427" t="str">
        <f>_xlfn.XLOOKUP(Orders[[#This Row],[Customer ID]],customers!$A$2:$A$1001,customers!$I$2:$I$1001,,0)</f>
        <v>No</v>
      </c>
    </row>
    <row r="428" spans="1:15" x14ac:dyDescent="0.3">
      <c r="A428" s="2" t="s">
        <v>2888</v>
      </c>
      <c r="B428" s="3">
        <v>43556</v>
      </c>
      <c r="C428" s="2" t="s">
        <v>2889</v>
      </c>
      <c r="D428" t="s">
        <v>6178</v>
      </c>
      <c r="E428" s="2">
        <v>4</v>
      </c>
      <c r="F428" s="2" t="str">
        <f>_xlfn.XLOOKUP(C428,customers!$A$2:$A$1001,customers!$B$2:$B$1001,,0)</f>
        <v>Manuel Darrigoe</v>
      </c>
      <c r="G428" s="2" t="str">
        <f>_xlfn.XLOOKUP(C428,customers!$A$2:$A$1001,customers!$G$2:$G$1001,,0)</f>
        <v>Ireland</v>
      </c>
      <c r="H428" t="str">
        <f>INDEX(products!$A$1:$G$49,MATCH(orders!$D428,products!$A$1:$A$49,0),MATCH(orders!H$1,products!$A$1:$G$1,0))</f>
        <v>Rob</v>
      </c>
      <c r="I428" t="str">
        <f>INDEX(products!$A$1:$G$49,MATCH(orders!$D428,products!$A$1:$A$49,0),MATCH(orders!I$1,products!$A$1:$G$1,0))</f>
        <v>L</v>
      </c>
      <c r="J428" s="5">
        <f>INDEX(products!$A$1:$G$49,MATCH(orders!$D428,products!$A$1:$A$49,0),MATCH(orders!J$1,products!$A$1:$G$1,0))</f>
        <v>0.2</v>
      </c>
      <c r="K428" s="6">
        <f>INDEX(products!$A$1:$G$49,MATCH(orders!$D428,products!$A$1:$A$49,0),MATCH(orders!K$1,products!$A$1:$G$1,0))</f>
        <v>3.5849999999999995</v>
      </c>
      <c r="L428" s="6">
        <f>K428*E428</f>
        <v>14.339999999999998</v>
      </c>
      <c r="M428" t="str" cm="1">
        <f t="array" ref="M428">_xlfn.IFS(H428="Rob","Robusta",H428="Exc","Excelsa",H428="Ara","Arabica",H428="Lib","Liberica")</f>
        <v>Robusta</v>
      </c>
      <c r="N428" t="str" cm="1">
        <f t="array" ref="N428">_xlfn.IFS(I428="M","Medium",I428="L","Light",I428="D","Dark")</f>
        <v>Light</v>
      </c>
      <c r="O428" t="str">
        <f>_xlfn.XLOOKUP(Orders[[#This Row],[Customer ID]],customers!$A$2:$A$1001,customers!$I$2:$I$1001,,0)</f>
        <v>Yes</v>
      </c>
    </row>
    <row r="429" spans="1:15" x14ac:dyDescent="0.3">
      <c r="A429" s="2" t="s">
        <v>2894</v>
      </c>
      <c r="B429" s="3">
        <v>44224</v>
      </c>
      <c r="C429" s="2" t="s">
        <v>2895</v>
      </c>
      <c r="D429" t="s">
        <v>6175</v>
      </c>
      <c r="E429" s="2">
        <v>3</v>
      </c>
      <c r="F429" s="2" t="str">
        <f>_xlfn.XLOOKUP(C429,customers!$A$2:$A$1001,customers!$B$2:$B$1001,,0)</f>
        <v>Kynthia Berick</v>
      </c>
      <c r="G429" s="2" t="str">
        <f>_xlfn.XLOOKUP(C429,customers!$A$2:$A$1001,customers!$G$2:$G$1001,,0)</f>
        <v>United States</v>
      </c>
      <c r="H429" t="str">
        <f>INDEX(products!$A$1:$G$49,MATCH(orders!$D429,products!$A$1:$A$49,0),MATCH(orders!H$1,products!$A$1:$G$1,0))</f>
        <v>Ara</v>
      </c>
      <c r="I429" t="str">
        <f>INDEX(products!$A$1:$G$49,MATCH(orders!$D429,products!$A$1:$A$49,0),MATCH(orders!I$1,products!$A$1:$G$1,0))</f>
        <v>M</v>
      </c>
      <c r="J429" s="5">
        <f>INDEX(products!$A$1:$G$49,MATCH(orders!$D429,products!$A$1:$A$49,0),MATCH(orders!J$1,products!$A$1:$G$1,0))</f>
        <v>2.5</v>
      </c>
      <c r="K429" s="6">
        <f>INDEX(products!$A$1:$G$49,MATCH(orders!$D429,products!$A$1:$A$49,0),MATCH(orders!K$1,products!$A$1:$G$1,0))</f>
        <v>25.874999999999996</v>
      </c>
      <c r="L429" s="6">
        <f>K429*E429</f>
        <v>77.624999999999986</v>
      </c>
      <c r="M429" t="str" cm="1">
        <f t="array" ref="M429">_xlfn.IFS(H429="Rob","Robusta",H429="Exc","Excelsa",H429="Ara","Arabica",H429="Lib","Liberica")</f>
        <v>Arabica</v>
      </c>
      <c r="N429" t="str" cm="1">
        <f t="array" ref="N429">_xlfn.IFS(I429="M","Medium",I429="L","Light",I429="D","Dark")</f>
        <v>Medium</v>
      </c>
      <c r="O429" t="str">
        <f>_xlfn.XLOOKUP(Orders[[#This Row],[Customer ID]],customers!$A$2:$A$1001,customers!$I$2:$I$1001,,0)</f>
        <v>Yes</v>
      </c>
    </row>
    <row r="430" spans="1:15" x14ac:dyDescent="0.3">
      <c r="A430" s="2" t="s">
        <v>2899</v>
      </c>
      <c r="B430" s="3">
        <v>43759</v>
      </c>
      <c r="C430" s="2" t="s">
        <v>2900</v>
      </c>
      <c r="D430" t="s">
        <v>6179</v>
      </c>
      <c r="E430" s="2">
        <v>5</v>
      </c>
      <c r="F430" s="2" t="str">
        <f>_xlfn.XLOOKUP(C430,customers!$A$2:$A$1001,customers!$B$2:$B$1001,,0)</f>
        <v>Minetta Ackrill</v>
      </c>
      <c r="G430" s="2" t="str">
        <f>_xlfn.XLOOKUP(C430,customers!$A$2:$A$1001,customers!$G$2:$G$1001,,0)</f>
        <v>United States</v>
      </c>
      <c r="H430" t="str">
        <f>INDEX(products!$A$1:$G$49,MATCH(orders!$D430,products!$A$1:$A$49,0),MATCH(orders!H$1,products!$A$1:$G$1,0))</f>
        <v>Rob</v>
      </c>
      <c r="I430" t="str">
        <f>INDEX(products!$A$1:$G$49,MATCH(orders!$D430,products!$A$1:$A$49,0),MATCH(orders!I$1,products!$A$1:$G$1,0))</f>
        <v>L</v>
      </c>
      <c r="J430" s="5">
        <f>INDEX(products!$A$1:$G$49,MATCH(orders!$D430,products!$A$1:$A$49,0),MATCH(orders!J$1,products!$A$1:$G$1,0))</f>
        <v>1</v>
      </c>
      <c r="K430" s="6">
        <f>INDEX(products!$A$1:$G$49,MATCH(orders!$D430,products!$A$1:$A$49,0),MATCH(orders!K$1,products!$A$1:$G$1,0))</f>
        <v>11.95</v>
      </c>
      <c r="L430" s="6">
        <f>K430*E430</f>
        <v>59.75</v>
      </c>
      <c r="M430" t="str" cm="1">
        <f t="array" ref="M430">_xlfn.IFS(H430="Rob","Robusta",H430="Exc","Excelsa",H430="Ara","Arabica",H430="Lib","Liberica")</f>
        <v>Robusta</v>
      </c>
      <c r="N430" t="str" cm="1">
        <f t="array" ref="N430">_xlfn.IFS(I430="M","Medium",I430="L","Light",I430="D","Dark")</f>
        <v>Light</v>
      </c>
      <c r="O430" t="str">
        <f>_xlfn.XLOOKUP(Orders[[#This Row],[Customer ID]],customers!$A$2:$A$1001,customers!$I$2:$I$1001,,0)</f>
        <v>No</v>
      </c>
    </row>
    <row r="431" spans="1:15" x14ac:dyDescent="0.3">
      <c r="A431" s="2" t="s">
        <v>2905</v>
      </c>
      <c r="B431" s="3">
        <v>44367</v>
      </c>
      <c r="C431" s="2" t="s">
        <v>2586</v>
      </c>
      <c r="D431" t="s">
        <v>6140</v>
      </c>
      <c r="E431" s="2">
        <v>6</v>
      </c>
      <c r="F431" s="2" t="str">
        <f>_xlfn.XLOOKUP(C431,customers!$A$2:$A$1001,customers!$B$2:$B$1001,,0)</f>
        <v>Terri Farra</v>
      </c>
      <c r="G431" s="2" t="str">
        <f>_xlfn.XLOOKUP(C431,customers!$A$2:$A$1001,customers!$G$2:$G$1001,,0)</f>
        <v>United States</v>
      </c>
      <c r="H431" t="str">
        <f>INDEX(products!$A$1:$G$49,MATCH(orders!$D431,products!$A$1:$A$49,0),MATCH(orders!H$1,products!$A$1:$G$1,0))</f>
        <v>Ara</v>
      </c>
      <c r="I431" t="str">
        <f>INDEX(products!$A$1:$G$49,MATCH(orders!$D431,products!$A$1:$A$49,0),MATCH(orders!I$1,products!$A$1:$G$1,0))</f>
        <v>L</v>
      </c>
      <c r="J431" s="5">
        <f>INDEX(products!$A$1:$G$49,MATCH(orders!$D431,products!$A$1:$A$49,0),MATCH(orders!J$1,products!$A$1:$G$1,0))</f>
        <v>1</v>
      </c>
      <c r="K431" s="6">
        <f>INDEX(products!$A$1:$G$49,MATCH(orders!$D431,products!$A$1:$A$49,0),MATCH(orders!K$1,products!$A$1:$G$1,0))</f>
        <v>12.95</v>
      </c>
      <c r="L431" s="6">
        <f>K431*E431</f>
        <v>77.699999999999989</v>
      </c>
      <c r="M431" t="str" cm="1">
        <f t="array" ref="M431">_xlfn.IFS(H431="Rob","Robusta",H431="Exc","Excelsa",H431="Ara","Arabica",H431="Lib","Liberica")</f>
        <v>Arabica</v>
      </c>
      <c r="N431" t="str" cm="1">
        <f t="array" ref="N431">_xlfn.IFS(I431="M","Medium",I431="L","Light",I431="D","Dark")</f>
        <v>Light</v>
      </c>
      <c r="O431" t="str">
        <f>_xlfn.XLOOKUP(Orders[[#This Row],[Customer ID]],customers!$A$2:$A$1001,customers!$I$2:$I$1001,,0)</f>
        <v>No</v>
      </c>
    </row>
    <row r="432" spans="1:15" x14ac:dyDescent="0.3">
      <c r="A432" s="2" t="s">
        <v>2911</v>
      </c>
      <c r="B432" s="3">
        <v>44504</v>
      </c>
      <c r="C432" s="2" t="s">
        <v>2912</v>
      </c>
      <c r="D432" t="s">
        <v>6163</v>
      </c>
      <c r="E432" s="2">
        <v>2</v>
      </c>
      <c r="F432" s="2" t="str">
        <f>_xlfn.XLOOKUP(C432,customers!$A$2:$A$1001,customers!$B$2:$B$1001,,0)</f>
        <v>Melosa Kippen</v>
      </c>
      <c r="G432" s="2" t="str">
        <f>_xlfn.XLOOKUP(C432,customers!$A$2:$A$1001,customers!$G$2:$G$1001,,0)</f>
        <v>United States</v>
      </c>
      <c r="H432" t="str">
        <f>INDEX(products!$A$1:$G$49,MATCH(orders!$D432,products!$A$1:$A$49,0),MATCH(orders!H$1,products!$A$1:$G$1,0))</f>
        <v>Rob</v>
      </c>
      <c r="I432" t="str">
        <f>INDEX(products!$A$1:$G$49,MATCH(orders!$D432,products!$A$1:$A$49,0),MATCH(orders!I$1,products!$A$1:$G$1,0))</f>
        <v>D</v>
      </c>
      <c r="J432" s="5">
        <f>INDEX(products!$A$1:$G$49,MATCH(orders!$D432,products!$A$1:$A$49,0),MATCH(orders!J$1,products!$A$1:$G$1,0))</f>
        <v>0.2</v>
      </c>
      <c r="K432" s="6">
        <f>INDEX(products!$A$1:$G$49,MATCH(orders!$D432,products!$A$1:$A$49,0),MATCH(orders!K$1,products!$A$1:$G$1,0))</f>
        <v>2.6849999999999996</v>
      </c>
      <c r="L432" s="6">
        <f>K432*E432</f>
        <v>5.3699999999999992</v>
      </c>
      <c r="M432" t="str" cm="1">
        <f t="array" ref="M432">_xlfn.IFS(H432="Rob","Robusta",H432="Exc","Excelsa",H432="Ara","Arabica",H432="Lib","Liberica")</f>
        <v>Robusta</v>
      </c>
      <c r="N432" t="str" cm="1">
        <f t="array" ref="N432">_xlfn.IFS(I432="M","Medium",I432="L","Light",I432="D","Dark")</f>
        <v>Dark</v>
      </c>
      <c r="O432" t="str">
        <f>_xlfn.XLOOKUP(Orders[[#This Row],[Customer ID]],customers!$A$2:$A$1001,customers!$I$2:$I$1001,,0)</f>
        <v>Yes</v>
      </c>
    </row>
    <row r="433" spans="1:15" x14ac:dyDescent="0.3">
      <c r="A433" s="2" t="s">
        <v>2917</v>
      </c>
      <c r="B433" s="3">
        <v>44291</v>
      </c>
      <c r="C433" s="2" t="s">
        <v>2918</v>
      </c>
      <c r="D433" t="s">
        <v>6185</v>
      </c>
      <c r="E433" s="2">
        <v>3</v>
      </c>
      <c r="F433" s="2" t="str">
        <f>_xlfn.XLOOKUP(C433,customers!$A$2:$A$1001,customers!$B$2:$B$1001,,0)</f>
        <v>Witty Ranson</v>
      </c>
      <c r="G433" s="2" t="str">
        <f>_xlfn.XLOOKUP(C433,customers!$A$2:$A$1001,customers!$G$2:$G$1001,,0)</f>
        <v>Ireland</v>
      </c>
      <c r="H433" t="str">
        <f>INDEX(products!$A$1:$G$49,MATCH(orders!$D433,products!$A$1:$A$49,0),MATCH(orders!H$1,products!$A$1:$G$1,0))</f>
        <v>Exc</v>
      </c>
      <c r="I433" t="str">
        <f>INDEX(products!$A$1:$G$49,MATCH(orders!$D433,products!$A$1:$A$49,0),MATCH(orders!I$1,products!$A$1:$G$1,0))</f>
        <v>D</v>
      </c>
      <c r="J433" s="5">
        <f>INDEX(products!$A$1:$G$49,MATCH(orders!$D433,products!$A$1:$A$49,0),MATCH(orders!J$1,products!$A$1:$G$1,0))</f>
        <v>2.5</v>
      </c>
      <c r="K433" s="6">
        <f>INDEX(products!$A$1:$G$49,MATCH(orders!$D433,products!$A$1:$A$49,0),MATCH(orders!K$1,products!$A$1:$G$1,0))</f>
        <v>27.945</v>
      </c>
      <c r="L433" s="6">
        <f>K433*E433</f>
        <v>83.835000000000008</v>
      </c>
      <c r="M433" t="str" cm="1">
        <f t="array" ref="M433">_xlfn.IFS(H433="Rob","Robusta",H433="Exc","Excelsa",H433="Ara","Arabica",H433="Lib","Liberica")</f>
        <v>Excelsa</v>
      </c>
      <c r="N433" t="str" cm="1">
        <f t="array" ref="N433">_xlfn.IFS(I433="M","Medium",I433="L","Light",I433="D","Dark")</f>
        <v>Dark</v>
      </c>
      <c r="O433" t="str">
        <f>_xlfn.XLOOKUP(Orders[[#This Row],[Customer ID]],customers!$A$2:$A$1001,customers!$I$2:$I$1001,,0)</f>
        <v>Yes</v>
      </c>
    </row>
    <row r="434" spans="1:15" x14ac:dyDescent="0.3">
      <c r="A434" s="2" t="s">
        <v>2923</v>
      </c>
      <c r="B434" s="3">
        <v>43808</v>
      </c>
      <c r="C434" s="2" t="s">
        <v>2924</v>
      </c>
      <c r="D434" t="s">
        <v>6155</v>
      </c>
      <c r="E434" s="2">
        <v>2</v>
      </c>
      <c r="F434" s="2" t="str">
        <f>_xlfn.XLOOKUP(C434,customers!$A$2:$A$1001,customers!$B$2:$B$1001,,0)</f>
        <v>Rod Gowdie</v>
      </c>
      <c r="G434" s="2" t="str">
        <f>_xlfn.XLOOKUP(C434,customers!$A$2:$A$1001,customers!$G$2:$G$1001,,0)</f>
        <v>United States</v>
      </c>
      <c r="H434" t="str">
        <f>INDEX(products!$A$1:$G$49,MATCH(orders!$D434,products!$A$1:$A$49,0),MATCH(orders!H$1,products!$A$1:$G$1,0))</f>
        <v>Ara</v>
      </c>
      <c r="I434" t="str">
        <f>INDEX(products!$A$1:$G$49,MATCH(orders!$D434,products!$A$1:$A$49,0),MATCH(orders!I$1,products!$A$1:$G$1,0))</f>
        <v>M</v>
      </c>
      <c r="J434" s="5">
        <f>INDEX(products!$A$1:$G$49,MATCH(orders!$D434,products!$A$1:$A$49,0),MATCH(orders!J$1,products!$A$1:$G$1,0))</f>
        <v>1</v>
      </c>
      <c r="K434" s="6">
        <f>INDEX(products!$A$1:$G$49,MATCH(orders!$D434,products!$A$1:$A$49,0),MATCH(orders!K$1,products!$A$1:$G$1,0))</f>
        <v>11.25</v>
      </c>
      <c r="L434" s="6">
        <f>K434*E434</f>
        <v>22.5</v>
      </c>
      <c r="M434" t="str" cm="1">
        <f t="array" ref="M434">_xlfn.IFS(H434="Rob","Robusta",H434="Exc","Excelsa",H434="Ara","Arabica",H434="Lib","Liberica")</f>
        <v>Arabica</v>
      </c>
      <c r="N434" t="str" cm="1">
        <f t="array" ref="N434">_xlfn.IFS(I434="M","Medium",I434="L","Light",I434="D","Dark")</f>
        <v>Medium</v>
      </c>
      <c r="O434" t="str">
        <f>_xlfn.XLOOKUP(Orders[[#This Row],[Customer ID]],customers!$A$2:$A$1001,customers!$I$2:$I$1001,,0)</f>
        <v>No</v>
      </c>
    </row>
    <row r="435" spans="1:15" x14ac:dyDescent="0.3">
      <c r="A435" s="2" t="s">
        <v>2928</v>
      </c>
      <c r="B435" s="3">
        <v>44563</v>
      </c>
      <c r="C435" s="2" t="s">
        <v>2929</v>
      </c>
      <c r="D435" t="s">
        <v>6181</v>
      </c>
      <c r="E435" s="2">
        <v>6</v>
      </c>
      <c r="F435" s="2" t="str">
        <f>_xlfn.XLOOKUP(C435,customers!$A$2:$A$1001,customers!$B$2:$B$1001,,0)</f>
        <v>Lemuel Rignold</v>
      </c>
      <c r="G435" s="2" t="str">
        <f>_xlfn.XLOOKUP(C435,customers!$A$2:$A$1001,customers!$G$2:$G$1001,,0)</f>
        <v>United States</v>
      </c>
      <c r="H435" t="str">
        <f>INDEX(products!$A$1:$G$49,MATCH(orders!$D435,products!$A$1:$A$49,0),MATCH(orders!H$1,products!$A$1:$G$1,0))</f>
        <v>Lib</v>
      </c>
      <c r="I435" t="str">
        <f>INDEX(products!$A$1:$G$49,MATCH(orders!$D435,products!$A$1:$A$49,0),MATCH(orders!I$1,products!$A$1:$G$1,0))</f>
        <v>M</v>
      </c>
      <c r="J435" s="5">
        <f>INDEX(products!$A$1:$G$49,MATCH(orders!$D435,products!$A$1:$A$49,0),MATCH(orders!J$1,products!$A$1:$G$1,0))</f>
        <v>2.5</v>
      </c>
      <c r="K435" s="6">
        <f>INDEX(products!$A$1:$G$49,MATCH(orders!$D435,products!$A$1:$A$49,0),MATCH(orders!K$1,products!$A$1:$G$1,0))</f>
        <v>33.464999999999996</v>
      </c>
      <c r="L435" s="6">
        <f>K435*E435</f>
        <v>200.78999999999996</v>
      </c>
      <c r="M435" t="str" cm="1">
        <f t="array" ref="M435">_xlfn.IFS(H435="Rob","Robusta",H435="Exc","Excelsa",H435="Ara","Arabica",H435="Lib","Liberica")</f>
        <v>Liberica</v>
      </c>
      <c r="N435" t="str" cm="1">
        <f t="array" ref="N435">_xlfn.IFS(I435="M","Medium",I435="L","Light",I435="D","Dark")</f>
        <v>Medium</v>
      </c>
      <c r="O435" t="str">
        <f>_xlfn.XLOOKUP(Orders[[#This Row],[Customer ID]],customers!$A$2:$A$1001,customers!$I$2:$I$1001,,0)</f>
        <v>Yes</v>
      </c>
    </row>
    <row r="436" spans="1:15" x14ac:dyDescent="0.3">
      <c r="A436" s="2" t="s">
        <v>2934</v>
      </c>
      <c r="B436" s="3">
        <v>43807</v>
      </c>
      <c r="C436" s="2" t="s">
        <v>2935</v>
      </c>
      <c r="D436" t="s">
        <v>6155</v>
      </c>
      <c r="E436" s="2">
        <v>6</v>
      </c>
      <c r="F436" s="2" t="str">
        <f>_xlfn.XLOOKUP(C436,customers!$A$2:$A$1001,customers!$B$2:$B$1001,,0)</f>
        <v>Nevsa Fields</v>
      </c>
      <c r="G436" s="2" t="str">
        <f>_xlfn.XLOOKUP(C436,customers!$A$2:$A$1001,customers!$G$2:$G$1001,,0)</f>
        <v>United States</v>
      </c>
      <c r="H436" t="str">
        <f>INDEX(products!$A$1:$G$49,MATCH(orders!$D436,products!$A$1:$A$49,0),MATCH(orders!H$1,products!$A$1:$G$1,0))</f>
        <v>Ara</v>
      </c>
      <c r="I436" t="str">
        <f>INDEX(products!$A$1:$G$49,MATCH(orders!$D436,products!$A$1:$A$49,0),MATCH(orders!I$1,products!$A$1:$G$1,0))</f>
        <v>M</v>
      </c>
      <c r="J436" s="5">
        <f>INDEX(products!$A$1:$G$49,MATCH(orders!$D436,products!$A$1:$A$49,0),MATCH(orders!J$1,products!$A$1:$G$1,0))</f>
        <v>1</v>
      </c>
      <c r="K436" s="6">
        <f>INDEX(products!$A$1:$G$49,MATCH(orders!$D436,products!$A$1:$A$49,0),MATCH(orders!K$1,products!$A$1:$G$1,0))</f>
        <v>11.25</v>
      </c>
      <c r="L436" s="6">
        <f>K436*E436</f>
        <v>67.5</v>
      </c>
      <c r="M436" t="str" cm="1">
        <f t="array" ref="M436">_xlfn.IFS(H436="Rob","Robusta",H436="Exc","Excelsa",H436="Ara","Arabica",H436="Lib","Liberica")</f>
        <v>Arabica</v>
      </c>
      <c r="N436" t="str" cm="1">
        <f t="array" ref="N436">_xlfn.IFS(I436="M","Medium",I436="L","Light",I436="D","Dark")</f>
        <v>Medium</v>
      </c>
      <c r="O436" t="str">
        <f>_xlfn.XLOOKUP(Orders[[#This Row],[Customer ID]],customers!$A$2:$A$1001,customers!$I$2:$I$1001,,0)</f>
        <v>No</v>
      </c>
    </row>
    <row r="437" spans="1:15" x14ac:dyDescent="0.3">
      <c r="A437" s="2" t="s">
        <v>2939</v>
      </c>
      <c r="B437" s="3">
        <v>44528</v>
      </c>
      <c r="C437" s="2" t="s">
        <v>2940</v>
      </c>
      <c r="D437" t="s">
        <v>6139</v>
      </c>
      <c r="E437" s="2">
        <v>1</v>
      </c>
      <c r="F437" s="2" t="str">
        <f>_xlfn.XLOOKUP(C437,customers!$A$2:$A$1001,customers!$B$2:$B$1001,,0)</f>
        <v>Chance Rowthorn</v>
      </c>
      <c r="G437" s="2" t="str">
        <f>_xlfn.XLOOKUP(C437,customers!$A$2:$A$1001,customers!$G$2:$G$1001,,0)</f>
        <v>United States</v>
      </c>
      <c r="H437" t="str">
        <f>INDEX(products!$A$1:$G$49,MATCH(orders!$D437,products!$A$1:$A$49,0),MATCH(orders!H$1,products!$A$1:$G$1,0))</f>
        <v>Exc</v>
      </c>
      <c r="I437" t="str">
        <f>INDEX(products!$A$1:$G$49,MATCH(orders!$D437,products!$A$1:$A$49,0),MATCH(orders!I$1,products!$A$1:$G$1,0))</f>
        <v>M</v>
      </c>
      <c r="J437" s="5">
        <f>INDEX(products!$A$1:$G$49,MATCH(orders!$D437,products!$A$1:$A$49,0),MATCH(orders!J$1,products!$A$1:$G$1,0))</f>
        <v>0.5</v>
      </c>
      <c r="K437" s="6">
        <f>INDEX(products!$A$1:$G$49,MATCH(orders!$D437,products!$A$1:$A$49,0),MATCH(orders!K$1,products!$A$1:$G$1,0))</f>
        <v>8.25</v>
      </c>
      <c r="L437" s="6">
        <f>K437*E437</f>
        <v>8.25</v>
      </c>
      <c r="M437" t="str" cm="1">
        <f t="array" ref="M437">_xlfn.IFS(H437="Rob","Robusta",H437="Exc","Excelsa",H437="Ara","Arabica",H437="Lib","Liberica")</f>
        <v>Excelsa</v>
      </c>
      <c r="N437" t="str" cm="1">
        <f t="array" ref="N437">_xlfn.IFS(I437="M","Medium",I437="L","Light",I437="D","Dark")</f>
        <v>Medium</v>
      </c>
      <c r="O437" t="str">
        <f>_xlfn.XLOOKUP(Orders[[#This Row],[Customer ID]],customers!$A$2:$A$1001,customers!$I$2:$I$1001,,0)</f>
        <v>No</v>
      </c>
    </row>
    <row r="438" spans="1:15" x14ac:dyDescent="0.3">
      <c r="A438" s="2" t="s">
        <v>2945</v>
      </c>
      <c r="B438" s="3">
        <v>44631</v>
      </c>
      <c r="C438" s="2" t="s">
        <v>2946</v>
      </c>
      <c r="D438" t="s">
        <v>6145</v>
      </c>
      <c r="E438" s="2">
        <v>2</v>
      </c>
      <c r="F438" s="2" t="str">
        <f>_xlfn.XLOOKUP(C438,customers!$A$2:$A$1001,customers!$B$2:$B$1001,,0)</f>
        <v>Orly Ryland</v>
      </c>
      <c r="G438" s="2" t="str">
        <f>_xlfn.XLOOKUP(C438,customers!$A$2:$A$1001,customers!$G$2:$G$1001,,0)</f>
        <v>United States</v>
      </c>
      <c r="H438" t="str">
        <f>INDEX(products!$A$1:$G$49,MATCH(orders!$D438,products!$A$1:$A$49,0),MATCH(orders!H$1,products!$A$1:$G$1,0))</f>
        <v>Lib</v>
      </c>
      <c r="I438" t="str">
        <f>INDEX(products!$A$1:$G$49,MATCH(orders!$D438,products!$A$1:$A$49,0),MATCH(orders!I$1,products!$A$1:$G$1,0))</f>
        <v>L</v>
      </c>
      <c r="J438" s="5">
        <f>INDEX(products!$A$1:$G$49,MATCH(orders!$D438,products!$A$1:$A$49,0),MATCH(orders!J$1,products!$A$1:$G$1,0))</f>
        <v>0.2</v>
      </c>
      <c r="K438" s="6">
        <f>INDEX(products!$A$1:$G$49,MATCH(orders!$D438,products!$A$1:$A$49,0),MATCH(orders!K$1,products!$A$1:$G$1,0))</f>
        <v>4.7549999999999999</v>
      </c>
      <c r="L438" s="6">
        <f>K438*E438</f>
        <v>9.51</v>
      </c>
      <c r="M438" t="str" cm="1">
        <f t="array" ref="M438">_xlfn.IFS(H438="Rob","Robusta",H438="Exc","Excelsa",H438="Ara","Arabica",H438="Lib","Liberica")</f>
        <v>Liberica</v>
      </c>
      <c r="N438" t="str" cm="1">
        <f t="array" ref="N438">_xlfn.IFS(I438="M","Medium",I438="L","Light",I438="D","Dark")</f>
        <v>Light</v>
      </c>
      <c r="O438" t="str">
        <f>_xlfn.XLOOKUP(Orders[[#This Row],[Customer ID]],customers!$A$2:$A$1001,customers!$I$2:$I$1001,,0)</f>
        <v>Yes</v>
      </c>
    </row>
    <row r="439" spans="1:15" x14ac:dyDescent="0.3">
      <c r="A439" s="2" t="s">
        <v>2951</v>
      </c>
      <c r="B439" s="3">
        <v>44213</v>
      </c>
      <c r="C439" s="2" t="s">
        <v>2952</v>
      </c>
      <c r="D439" t="s">
        <v>6165</v>
      </c>
      <c r="E439" s="2">
        <v>1</v>
      </c>
      <c r="F439" s="2" t="str">
        <f>_xlfn.XLOOKUP(C439,customers!$A$2:$A$1001,customers!$B$2:$B$1001,,0)</f>
        <v>Willabella Abramski</v>
      </c>
      <c r="G439" s="2" t="str">
        <f>_xlfn.XLOOKUP(C439,customers!$A$2:$A$1001,customers!$G$2:$G$1001,,0)</f>
        <v>United States</v>
      </c>
      <c r="H439" t="str">
        <f>INDEX(products!$A$1:$G$49,MATCH(orders!$D439,products!$A$1:$A$49,0),MATCH(orders!H$1,products!$A$1:$G$1,0))</f>
        <v>Lib</v>
      </c>
      <c r="I439" t="str">
        <f>INDEX(products!$A$1:$G$49,MATCH(orders!$D439,products!$A$1:$A$49,0),MATCH(orders!I$1,products!$A$1:$G$1,0))</f>
        <v>D</v>
      </c>
      <c r="J439" s="5">
        <f>INDEX(products!$A$1:$G$49,MATCH(orders!$D439,products!$A$1:$A$49,0),MATCH(orders!J$1,products!$A$1:$G$1,0))</f>
        <v>2.5</v>
      </c>
      <c r="K439" s="6">
        <f>INDEX(products!$A$1:$G$49,MATCH(orders!$D439,products!$A$1:$A$49,0),MATCH(orders!K$1,products!$A$1:$G$1,0))</f>
        <v>29.784999999999997</v>
      </c>
      <c r="L439" s="6">
        <f>K439*E439</f>
        <v>29.784999999999997</v>
      </c>
      <c r="M439" t="str" cm="1">
        <f t="array" ref="M439">_xlfn.IFS(H439="Rob","Robusta",H439="Exc","Excelsa",H439="Ara","Arabica",H439="Lib","Liberica")</f>
        <v>Liberica</v>
      </c>
      <c r="N439" t="str" cm="1">
        <f t="array" ref="N439">_xlfn.IFS(I439="M","Medium",I439="L","Light",I439="D","Dark")</f>
        <v>Dark</v>
      </c>
      <c r="O439" t="str">
        <f>_xlfn.XLOOKUP(Orders[[#This Row],[Customer ID]],customers!$A$2:$A$1001,customers!$I$2:$I$1001,,0)</f>
        <v>No</v>
      </c>
    </row>
    <row r="440" spans="1:15" x14ac:dyDescent="0.3">
      <c r="A440" s="2" t="s">
        <v>2956</v>
      </c>
      <c r="B440" s="3">
        <v>43483</v>
      </c>
      <c r="C440" s="2" t="s">
        <v>3042</v>
      </c>
      <c r="D440" t="s">
        <v>6169</v>
      </c>
      <c r="E440" s="2">
        <v>2</v>
      </c>
      <c r="F440" s="2" t="str">
        <f>_xlfn.XLOOKUP(C440,customers!$A$2:$A$1001,customers!$B$2:$B$1001,,0)</f>
        <v>Morgen Seson</v>
      </c>
      <c r="G440" s="2" t="str">
        <f>_xlfn.XLOOKUP(C440,customers!$A$2:$A$1001,customers!$G$2:$G$1001,,0)</f>
        <v>United States</v>
      </c>
      <c r="H440" t="str">
        <f>INDEX(products!$A$1:$G$49,MATCH(orders!$D440,products!$A$1:$A$49,0),MATCH(orders!H$1,products!$A$1:$G$1,0))</f>
        <v>Lib</v>
      </c>
      <c r="I440" t="str">
        <f>INDEX(products!$A$1:$G$49,MATCH(orders!$D440,products!$A$1:$A$49,0),MATCH(orders!I$1,products!$A$1:$G$1,0))</f>
        <v>D</v>
      </c>
      <c r="J440" s="5">
        <f>INDEX(products!$A$1:$G$49,MATCH(orders!$D440,products!$A$1:$A$49,0),MATCH(orders!J$1,products!$A$1:$G$1,0))</f>
        <v>0.5</v>
      </c>
      <c r="K440" s="6">
        <f>INDEX(products!$A$1:$G$49,MATCH(orders!$D440,products!$A$1:$A$49,0),MATCH(orders!K$1,products!$A$1:$G$1,0))</f>
        <v>7.77</v>
      </c>
      <c r="L440" s="6">
        <f>K440*E440</f>
        <v>15.54</v>
      </c>
      <c r="M440" t="str" cm="1">
        <f t="array" ref="M440">_xlfn.IFS(H440="Rob","Robusta",H440="Exc","Excelsa",H440="Ara","Arabica",H440="Lib","Liberica")</f>
        <v>Liberica</v>
      </c>
      <c r="N440" t="str" cm="1">
        <f t="array" ref="N440">_xlfn.IFS(I440="M","Medium",I440="L","Light",I440="D","Dark")</f>
        <v>Dark</v>
      </c>
      <c r="O440" t="str">
        <f>_xlfn.XLOOKUP(Orders[[#This Row],[Customer ID]],customers!$A$2:$A$1001,customers!$I$2:$I$1001,,0)</f>
        <v>No</v>
      </c>
    </row>
    <row r="441" spans="1:15" x14ac:dyDescent="0.3">
      <c r="A441" s="2" t="s">
        <v>2962</v>
      </c>
      <c r="B441" s="3">
        <v>43562</v>
      </c>
      <c r="C441" s="2" t="s">
        <v>2963</v>
      </c>
      <c r="D441" t="s">
        <v>6176</v>
      </c>
      <c r="E441" s="2">
        <v>4</v>
      </c>
      <c r="F441" s="2" t="str">
        <f>_xlfn.XLOOKUP(C441,customers!$A$2:$A$1001,customers!$B$2:$B$1001,,0)</f>
        <v>Chickie Ragless</v>
      </c>
      <c r="G441" s="2" t="str">
        <f>_xlfn.XLOOKUP(C441,customers!$A$2:$A$1001,customers!$G$2:$G$1001,,0)</f>
        <v>Ireland</v>
      </c>
      <c r="H441" t="str">
        <f>INDEX(products!$A$1:$G$49,MATCH(orders!$D441,products!$A$1:$A$49,0),MATCH(orders!H$1,products!$A$1:$G$1,0))</f>
        <v>Exc</v>
      </c>
      <c r="I441" t="str">
        <f>INDEX(products!$A$1:$G$49,MATCH(orders!$D441,products!$A$1:$A$49,0),MATCH(orders!I$1,products!$A$1:$G$1,0))</f>
        <v>L</v>
      </c>
      <c r="J441" s="5">
        <f>INDEX(products!$A$1:$G$49,MATCH(orders!$D441,products!$A$1:$A$49,0),MATCH(orders!J$1,products!$A$1:$G$1,0))</f>
        <v>0.5</v>
      </c>
      <c r="K441" s="6">
        <f>INDEX(products!$A$1:$G$49,MATCH(orders!$D441,products!$A$1:$A$49,0),MATCH(orders!K$1,products!$A$1:$G$1,0))</f>
        <v>8.91</v>
      </c>
      <c r="L441" s="6">
        <f>K441*E441</f>
        <v>35.64</v>
      </c>
      <c r="M441" t="str" cm="1">
        <f t="array" ref="M441">_xlfn.IFS(H441="Rob","Robusta",H441="Exc","Excelsa",H441="Ara","Arabica",H441="Lib","Liberica")</f>
        <v>Excelsa</v>
      </c>
      <c r="N441" t="str" cm="1">
        <f t="array" ref="N441">_xlfn.IFS(I441="M","Medium",I441="L","Light",I441="D","Dark")</f>
        <v>Light</v>
      </c>
      <c r="O441" t="str">
        <f>_xlfn.XLOOKUP(Orders[[#This Row],[Customer ID]],customers!$A$2:$A$1001,customers!$I$2:$I$1001,,0)</f>
        <v>No</v>
      </c>
    </row>
    <row r="442" spans="1:15" x14ac:dyDescent="0.3">
      <c r="A442" s="2" t="s">
        <v>2968</v>
      </c>
      <c r="B442" s="3">
        <v>44230</v>
      </c>
      <c r="C442" s="2" t="s">
        <v>2969</v>
      </c>
      <c r="D442" t="s">
        <v>6175</v>
      </c>
      <c r="E442" s="2">
        <v>4</v>
      </c>
      <c r="F442" s="2" t="str">
        <f>_xlfn.XLOOKUP(C442,customers!$A$2:$A$1001,customers!$B$2:$B$1001,,0)</f>
        <v>Freda Hollows</v>
      </c>
      <c r="G442" s="2" t="str">
        <f>_xlfn.XLOOKUP(C442,customers!$A$2:$A$1001,customers!$G$2:$G$1001,,0)</f>
        <v>United States</v>
      </c>
      <c r="H442" t="str">
        <f>INDEX(products!$A$1:$G$49,MATCH(orders!$D442,products!$A$1:$A$49,0),MATCH(orders!H$1,products!$A$1:$G$1,0))</f>
        <v>Ara</v>
      </c>
      <c r="I442" t="str">
        <f>INDEX(products!$A$1:$G$49,MATCH(orders!$D442,products!$A$1:$A$49,0),MATCH(orders!I$1,products!$A$1:$G$1,0))</f>
        <v>M</v>
      </c>
      <c r="J442" s="5">
        <f>INDEX(products!$A$1:$G$49,MATCH(orders!$D442,products!$A$1:$A$49,0),MATCH(orders!J$1,products!$A$1:$G$1,0))</f>
        <v>2.5</v>
      </c>
      <c r="K442" s="6">
        <f>INDEX(products!$A$1:$G$49,MATCH(orders!$D442,products!$A$1:$A$49,0),MATCH(orders!K$1,products!$A$1:$G$1,0))</f>
        <v>25.874999999999996</v>
      </c>
      <c r="L442" s="6">
        <f>K442*E442</f>
        <v>103.49999999999999</v>
      </c>
      <c r="M442" t="str" cm="1">
        <f t="array" ref="M442">_xlfn.IFS(H442="Rob","Robusta",H442="Exc","Excelsa",H442="Ara","Arabica",H442="Lib","Liberica")</f>
        <v>Arabica</v>
      </c>
      <c r="N442" t="str" cm="1">
        <f t="array" ref="N442">_xlfn.IFS(I442="M","Medium",I442="L","Light",I442="D","Dark")</f>
        <v>Medium</v>
      </c>
      <c r="O442" t="str">
        <f>_xlfn.XLOOKUP(Orders[[#This Row],[Customer ID]],customers!$A$2:$A$1001,customers!$I$2:$I$1001,,0)</f>
        <v>Yes</v>
      </c>
    </row>
    <row r="443" spans="1:15" x14ac:dyDescent="0.3">
      <c r="A443" s="2" t="s">
        <v>2974</v>
      </c>
      <c r="B443" s="3">
        <v>43573</v>
      </c>
      <c r="C443" s="2" t="s">
        <v>2975</v>
      </c>
      <c r="D443" t="s">
        <v>6183</v>
      </c>
      <c r="E443" s="2">
        <v>3</v>
      </c>
      <c r="F443" s="2" t="str">
        <f>_xlfn.XLOOKUP(C443,customers!$A$2:$A$1001,customers!$B$2:$B$1001,,0)</f>
        <v>Livy Lathleiff</v>
      </c>
      <c r="G443" s="2" t="str">
        <f>_xlfn.XLOOKUP(C443,customers!$A$2:$A$1001,customers!$G$2:$G$1001,,0)</f>
        <v>Ireland</v>
      </c>
      <c r="H443" t="str">
        <f>INDEX(products!$A$1:$G$49,MATCH(orders!$D443,products!$A$1:$A$49,0),MATCH(orders!H$1,products!$A$1:$G$1,0))</f>
        <v>Exc</v>
      </c>
      <c r="I443" t="str">
        <f>INDEX(products!$A$1:$G$49,MATCH(orders!$D443,products!$A$1:$A$49,0),MATCH(orders!I$1,products!$A$1:$G$1,0))</f>
        <v>D</v>
      </c>
      <c r="J443" s="5">
        <f>INDEX(products!$A$1:$G$49,MATCH(orders!$D443,products!$A$1:$A$49,0),MATCH(orders!J$1,products!$A$1:$G$1,0))</f>
        <v>1</v>
      </c>
      <c r="K443" s="6">
        <f>INDEX(products!$A$1:$G$49,MATCH(orders!$D443,products!$A$1:$A$49,0),MATCH(orders!K$1,products!$A$1:$G$1,0))</f>
        <v>12.15</v>
      </c>
      <c r="L443" s="6">
        <f>K443*E443</f>
        <v>36.450000000000003</v>
      </c>
      <c r="M443" t="str" cm="1">
        <f t="array" ref="M443">_xlfn.IFS(H443="Rob","Robusta",H443="Exc","Excelsa",H443="Ara","Arabica",H443="Lib","Liberica")</f>
        <v>Excelsa</v>
      </c>
      <c r="N443" t="str" cm="1">
        <f t="array" ref="N443">_xlfn.IFS(I443="M","Medium",I443="L","Light",I443="D","Dark")</f>
        <v>Dark</v>
      </c>
      <c r="O443" t="str">
        <f>_xlfn.XLOOKUP(Orders[[#This Row],[Customer ID]],customers!$A$2:$A$1001,customers!$I$2:$I$1001,,0)</f>
        <v>Yes</v>
      </c>
    </row>
    <row r="444" spans="1:15" x14ac:dyDescent="0.3">
      <c r="A444" s="2" t="s">
        <v>2980</v>
      </c>
      <c r="B444" s="3">
        <v>44384</v>
      </c>
      <c r="C444" s="2" t="s">
        <v>2981</v>
      </c>
      <c r="D444" t="s">
        <v>6173</v>
      </c>
      <c r="E444" s="2">
        <v>5</v>
      </c>
      <c r="F444" s="2" t="str">
        <f>_xlfn.XLOOKUP(C444,customers!$A$2:$A$1001,customers!$B$2:$B$1001,,0)</f>
        <v>Koralle Heads</v>
      </c>
      <c r="G444" s="2" t="str">
        <f>_xlfn.XLOOKUP(C444,customers!$A$2:$A$1001,customers!$G$2:$G$1001,,0)</f>
        <v>United States</v>
      </c>
      <c r="H444" t="str">
        <f>INDEX(products!$A$1:$G$49,MATCH(orders!$D444,products!$A$1:$A$49,0),MATCH(orders!H$1,products!$A$1:$G$1,0))</f>
        <v>Rob</v>
      </c>
      <c r="I444" t="str">
        <f>INDEX(products!$A$1:$G$49,MATCH(orders!$D444,products!$A$1:$A$49,0),MATCH(orders!I$1,products!$A$1:$G$1,0))</f>
        <v>L</v>
      </c>
      <c r="J444" s="5">
        <f>INDEX(products!$A$1:$G$49,MATCH(orders!$D444,products!$A$1:$A$49,0),MATCH(orders!J$1,products!$A$1:$G$1,0))</f>
        <v>0.5</v>
      </c>
      <c r="K444" s="6">
        <f>INDEX(products!$A$1:$G$49,MATCH(orders!$D444,products!$A$1:$A$49,0),MATCH(orders!K$1,products!$A$1:$G$1,0))</f>
        <v>7.169999999999999</v>
      </c>
      <c r="L444" s="6">
        <f>K444*E444</f>
        <v>35.849999999999994</v>
      </c>
      <c r="M444" t="str" cm="1">
        <f t="array" ref="M444">_xlfn.IFS(H444="Rob","Robusta",H444="Exc","Excelsa",H444="Ara","Arabica",H444="Lib","Liberica")</f>
        <v>Robusta</v>
      </c>
      <c r="N444" t="str" cm="1">
        <f t="array" ref="N444">_xlfn.IFS(I444="M","Medium",I444="L","Light",I444="D","Dark")</f>
        <v>Light</v>
      </c>
      <c r="O444" t="str">
        <f>_xlfn.XLOOKUP(Orders[[#This Row],[Customer ID]],customers!$A$2:$A$1001,customers!$I$2:$I$1001,,0)</f>
        <v>No</v>
      </c>
    </row>
    <row r="445" spans="1:15" x14ac:dyDescent="0.3">
      <c r="A445" s="2" t="s">
        <v>2986</v>
      </c>
      <c r="B445" s="3">
        <v>44250</v>
      </c>
      <c r="C445" s="2" t="s">
        <v>2987</v>
      </c>
      <c r="D445" t="s">
        <v>6184</v>
      </c>
      <c r="E445" s="2">
        <v>5</v>
      </c>
      <c r="F445" s="2" t="str">
        <f>_xlfn.XLOOKUP(C445,customers!$A$2:$A$1001,customers!$B$2:$B$1001,,0)</f>
        <v>Theo Bowne</v>
      </c>
      <c r="G445" s="2" t="str">
        <f>_xlfn.XLOOKUP(C445,customers!$A$2:$A$1001,customers!$G$2:$G$1001,,0)</f>
        <v>Ireland</v>
      </c>
      <c r="H445" t="str">
        <f>INDEX(products!$A$1:$G$49,MATCH(orders!$D445,products!$A$1:$A$49,0),MATCH(orders!H$1,products!$A$1:$G$1,0))</f>
        <v>Exc</v>
      </c>
      <c r="I445" t="str">
        <f>INDEX(products!$A$1:$G$49,MATCH(orders!$D445,products!$A$1:$A$49,0),MATCH(orders!I$1,products!$A$1:$G$1,0))</f>
        <v>L</v>
      </c>
      <c r="J445" s="5">
        <f>INDEX(products!$A$1:$G$49,MATCH(orders!$D445,products!$A$1:$A$49,0),MATCH(orders!J$1,products!$A$1:$G$1,0))</f>
        <v>0.2</v>
      </c>
      <c r="K445" s="6">
        <f>INDEX(products!$A$1:$G$49,MATCH(orders!$D445,products!$A$1:$A$49,0),MATCH(orders!K$1,products!$A$1:$G$1,0))</f>
        <v>4.4550000000000001</v>
      </c>
      <c r="L445" s="6">
        <f>K445*E445</f>
        <v>22.274999999999999</v>
      </c>
      <c r="M445" t="str" cm="1">
        <f t="array" ref="M445">_xlfn.IFS(H445="Rob","Robusta",H445="Exc","Excelsa",H445="Ara","Arabica",H445="Lib","Liberica")</f>
        <v>Excelsa</v>
      </c>
      <c r="N445" t="str" cm="1">
        <f t="array" ref="N445">_xlfn.IFS(I445="M","Medium",I445="L","Light",I445="D","Dark")</f>
        <v>Light</v>
      </c>
      <c r="O445" t="str">
        <f>_xlfn.XLOOKUP(Orders[[#This Row],[Customer ID]],customers!$A$2:$A$1001,customers!$I$2:$I$1001,,0)</f>
        <v>Yes</v>
      </c>
    </row>
    <row r="446" spans="1:15" x14ac:dyDescent="0.3">
      <c r="A446" s="2" t="s">
        <v>2992</v>
      </c>
      <c r="B446" s="3">
        <v>44418</v>
      </c>
      <c r="C446" s="2" t="s">
        <v>2993</v>
      </c>
      <c r="D446" t="s">
        <v>6156</v>
      </c>
      <c r="E446" s="2">
        <v>6</v>
      </c>
      <c r="F446" s="2" t="str">
        <f>_xlfn.XLOOKUP(C446,customers!$A$2:$A$1001,customers!$B$2:$B$1001,,0)</f>
        <v>Rasia Jacquemard</v>
      </c>
      <c r="G446" s="2" t="str">
        <f>_xlfn.XLOOKUP(C446,customers!$A$2:$A$1001,customers!$G$2:$G$1001,,0)</f>
        <v>Ireland</v>
      </c>
      <c r="H446" t="str">
        <f>INDEX(products!$A$1:$G$49,MATCH(orders!$D446,products!$A$1:$A$49,0),MATCH(orders!H$1,products!$A$1:$G$1,0))</f>
        <v>Exc</v>
      </c>
      <c r="I446" t="str">
        <f>INDEX(products!$A$1:$G$49,MATCH(orders!$D446,products!$A$1:$A$49,0),MATCH(orders!I$1,products!$A$1:$G$1,0))</f>
        <v>M</v>
      </c>
      <c r="J446" s="5">
        <f>INDEX(products!$A$1:$G$49,MATCH(orders!$D446,products!$A$1:$A$49,0),MATCH(orders!J$1,products!$A$1:$G$1,0))</f>
        <v>0.2</v>
      </c>
      <c r="K446" s="6">
        <f>INDEX(products!$A$1:$G$49,MATCH(orders!$D446,products!$A$1:$A$49,0),MATCH(orders!K$1,products!$A$1:$G$1,0))</f>
        <v>4.125</v>
      </c>
      <c r="L446" s="6">
        <f>K446*E446</f>
        <v>24.75</v>
      </c>
      <c r="M446" t="str" cm="1">
        <f t="array" ref="M446">_xlfn.IFS(H446="Rob","Robusta",H446="Exc","Excelsa",H446="Ara","Arabica",H446="Lib","Liberica")</f>
        <v>Excelsa</v>
      </c>
      <c r="N446" t="str" cm="1">
        <f t="array" ref="N446">_xlfn.IFS(I446="M","Medium",I446="L","Light",I446="D","Dark")</f>
        <v>Medium</v>
      </c>
      <c r="O446" t="str">
        <f>_xlfn.XLOOKUP(Orders[[#This Row],[Customer ID]],customers!$A$2:$A$1001,customers!$I$2:$I$1001,,0)</f>
        <v>No</v>
      </c>
    </row>
    <row r="447" spans="1:15" x14ac:dyDescent="0.3">
      <c r="A447" s="2" t="s">
        <v>2999</v>
      </c>
      <c r="B447" s="3">
        <v>43784</v>
      </c>
      <c r="C447" s="2" t="s">
        <v>3000</v>
      </c>
      <c r="D447" t="s">
        <v>6181</v>
      </c>
      <c r="E447" s="2">
        <v>2</v>
      </c>
      <c r="F447" s="2" t="str">
        <f>_xlfn.XLOOKUP(C447,customers!$A$2:$A$1001,customers!$B$2:$B$1001,,0)</f>
        <v>Kizzie Warman</v>
      </c>
      <c r="G447" s="2" t="str">
        <f>_xlfn.XLOOKUP(C447,customers!$A$2:$A$1001,customers!$G$2:$G$1001,,0)</f>
        <v>Ireland</v>
      </c>
      <c r="H447" t="str">
        <f>INDEX(products!$A$1:$G$49,MATCH(orders!$D447,products!$A$1:$A$49,0),MATCH(orders!H$1,products!$A$1:$G$1,0))</f>
        <v>Lib</v>
      </c>
      <c r="I447" t="str">
        <f>INDEX(products!$A$1:$G$49,MATCH(orders!$D447,products!$A$1:$A$49,0),MATCH(orders!I$1,products!$A$1:$G$1,0))</f>
        <v>M</v>
      </c>
      <c r="J447" s="5">
        <f>INDEX(products!$A$1:$G$49,MATCH(orders!$D447,products!$A$1:$A$49,0),MATCH(orders!J$1,products!$A$1:$G$1,0))</f>
        <v>2.5</v>
      </c>
      <c r="K447" s="6">
        <f>INDEX(products!$A$1:$G$49,MATCH(orders!$D447,products!$A$1:$A$49,0),MATCH(orders!K$1,products!$A$1:$G$1,0))</f>
        <v>33.464999999999996</v>
      </c>
      <c r="L447" s="6">
        <f>K447*E447</f>
        <v>66.929999999999993</v>
      </c>
      <c r="M447" t="str" cm="1">
        <f t="array" ref="M447">_xlfn.IFS(H447="Rob","Robusta",H447="Exc","Excelsa",H447="Ara","Arabica",H447="Lib","Liberica")</f>
        <v>Liberica</v>
      </c>
      <c r="N447" t="str" cm="1">
        <f t="array" ref="N447">_xlfn.IFS(I447="M","Medium",I447="L","Light",I447="D","Dark")</f>
        <v>Medium</v>
      </c>
      <c r="O447" t="str">
        <f>_xlfn.XLOOKUP(Orders[[#This Row],[Customer ID]],customers!$A$2:$A$1001,customers!$I$2:$I$1001,,0)</f>
        <v>Yes</v>
      </c>
    </row>
    <row r="448" spans="1:15" x14ac:dyDescent="0.3">
      <c r="A448" s="2" t="s">
        <v>3004</v>
      </c>
      <c r="B448" s="3">
        <v>43816</v>
      </c>
      <c r="C448" s="2" t="s">
        <v>3005</v>
      </c>
      <c r="D448" t="s">
        <v>6160</v>
      </c>
      <c r="E448" s="2">
        <v>1</v>
      </c>
      <c r="F448" s="2" t="str">
        <f>_xlfn.XLOOKUP(C448,customers!$A$2:$A$1001,customers!$B$2:$B$1001,,0)</f>
        <v>Wain Cholomin</v>
      </c>
      <c r="G448" s="2" t="str">
        <f>_xlfn.XLOOKUP(C448,customers!$A$2:$A$1001,customers!$G$2:$G$1001,,0)</f>
        <v>United Kingdom</v>
      </c>
      <c r="H448" t="str">
        <f>INDEX(products!$A$1:$G$49,MATCH(orders!$D448,products!$A$1:$A$49,0),MATCH(orders!H$1,products!$A$1:$G$1,0))</f>
        <v>Lib</v>
      </c>
      <c r="I448" t="str">
        <f>INDEX(products!$A$1:$G$49,MATCH(orders!$D448,products!$A$1:$A$49,0),MATCH(orders!I$1,products!$A$1:$G$1,0))</f>
        <v>M</v>
      </c>
      <c r="J448" s="5">
        <f>INDEX(products!$A$1:$G$49,MATCH(orders!$D448,products!$A$1:$A$49,0),MATCH(orders!J$1,products!$A$1:$G$1,0))</f>
        <v>0.5</v>
      </c>
      <c r="K448" s="6">
        <f>INDEX(products!$A$1:$G$49,MATCH(orders!$D448,products!$A$1:$A$49,0),MATCH(orders!K$1,products!$A$1:$G$1,0))</f>
        <v>8.73</v>
      </c>
      <c r="L448" s="6">
        <f>K448*E448</f>
        <v>8.73</v>
      </c>
      <c r="M448" t="str" cm="1">
        <f t="array" ref="M448">_xlfn.IFS(H448="Rob","Robusta",H448="Exc","Excelsa",H448="Ara","Arabica",H448="Lib","Liberica")</f>
        <v>Liberica</v>
      </c>
      <c r="N448" t="str" cm="1">
        <f t="array" ref="N448">_xlfn.IFS(I448="M","Medium",I448="L","Light",I448="D","Dark")</f>
        <v>Medium</v>
      </c>
      <c r="O448" t="str">
        <f>_xlfn.XLOOKUP(Orders[[#This Row],[Customer ID]],customers!$A$2:$A$1001,customers!$I$2:$I$1001,,0)</f>
        <v>Yes</v>
      </c>
    </row>
    <row r="449" spans="1:15" x14ac:dyDescent="0.3">
      <c r="A449" s="2" t="s">
        <v>3010</v>
      </c>
      <c r="B449" s="3">
        <v>43908</v>
      </c>
      <c r="C449" s="2" t="s">
        <v>3011</v>
      </c>
      <c r="D449" t="s">
        <v>6146</v>
      </c>
      <c r="E449" s="2">
        <v>3</v>
      </c>
      <c r="F449" s="2" t="str">
        <f>_xlfn.XLOOKUP(C449,customers!$A$2:$A$1001,customers!$B$2:$B$1001,,0)</f>
        <v>Arleen Braidman</v>
      </c>
      <c r="G449" s="2" t="str">
        <f>_xlfn.XLOOKUP(C449,customers!$A$2:$A$1001,customers!$G$2:$G$1001,,0)</f>
        <v>United States</v>
      </c>
      <c r="H449" t="str">
        <f>INDEX(products!$A$1:$G$49,MATCH(orders!$D449,products!$A$1:$A$49,0),MATCH(orders!H$1,products!$A$1:$G$1,0))</f>
        <v>Rob</v>
      </c>
      <c r="I449" t="str">
        <f>INDEX(products!$A$1:$G$49,MATCH(orders!$D449,products!$A$1:$A$49,0),MATCH(orders!I$1,products!$A$1:$G$1,0))</f>
        <v>M</v>
      </c>
      <c r="J449" s="5">
        <f>INDEX(products!$A$1:$G$49,MATCH(orders!$D449,products!$A$1:$A$49,0),MATCH(orders!J$1,products!$A$1:$G$1,0))</f>
        <v>0.5</v>
      </c>
      <c r="K449" s="6">
        <f>INDEX(products!$A$1:$G$49,MATCH(orders!$D449,products!$A$1:$A$49,0),MATCH(orders!K$1,products!$A$1:$G$1,0))</f>
        <v>5.97</v>
      </c>
      <c r="L449" s="6">
        <f>K449*E449</f>
        <v>17.91</v>
      </c>
      <c r="M449" t="str" cm="1">
        <f t="array" ref="M449">_xlfn.IFS(H449="Rob","Robusta",H449="Exc","Excelsa",H449="Ara","Arabica",H449="Lib","Liberica")</f>
        <v>Robusta</v>
      </c>
      <c r="N449" t="str" cm="1">
        <f t="array" ref="N449">_xlfn.IFS(I449="M","Medium",I449="L","Light",I449="D","Dark")</f>
        <v>Medium</v>
      </c>
      <c r="O449" t="str">
        <f>_xlfn.XLOOKUP(Orders[[#This Row],[Customer ID]],customers!$A$2:$A$1001,customers!$I$2:$I$1001,,0)</f>
        <v>No</v>
      </c>
    </row>
    <row r="450" spans="1:15" x14ac:dyDescent="0.3">
      <c r="A450" s="2" t="s">
        <v>3015</v>
      </c>
      <c r="B450" s="3">
        <v>44718</v>
      </c>
      <c r="C450" s="2" t="s">
        <v>3016</v>
      </c>
      <c r="D450" t="s">
        <v>6173</v>
      </c>
      <c r="E450" s="2">
        <v>1</v>
      </c>
      <c r="F450" s="2" t="str">
        <f>_xlfn.XLOOKUP(C450,customers!$A$2:$A$1001,customers!$B$2:$B$1001,,0)</f>
        <v>Pru Durban</v>
      </c>
      <c r="G450" s="2" t="str">
        <f>_xlfn.XLOOKUP(C450,customers!$A$2:$A$1001,customers!$G$2:$G$1001,,0)</f>
        <v>Ireland</v>
      </c>
      <c r="H450" t="str">
        <f>INDEX(products!$A$1:$G$49,MATCH(orders!$D450,products!$A$1:$A$49,0),MATCH(orders!H$1,products!$A$1:$G$1,0))</f>
        <v>Rob</v>
      </c>
      <c r="I450" t="str">
        <f>INDEX(products!$A$1:$G$49,MATCH(orders!$D450,products!$A$1:$A$49,0),MATCH(orders!I$1,products!$A$1:$G$1,0))</f>
        <v>L</v>
      </c>
      <c r="J450" s="5">
        <f>INDEX(products!$A$1:$G$49,MATCH(orders!$D450,products!$A$1:$A$49,0),MATCH(orders!J$1,products!$A$1:$G$1,0))</f>
        <v>0.5</v>
      </c>
      <c r="K450" s="6">
        <f>INDEX(products!$A$1:$G$49,MATCH(orders!$D450,products!$A$1:$A$49,0),MATCH(orders!K$1,products!$A$1:$G$1,0))</f>
        <v>7.169999999999999</v>
      </c>
      <c r="L450" s="6">
        <f>K450*E450</f>
        <v>7.169999999999999</v>
      </c>
      <c r="M450" t="str" cm="1">
        <f t="array" ref="M450">_xlfn.IFS(H450="Rob","Robusta",H450="Exc","Excelsa",H450="Ara","Arabica",H450="Lib","Liberica")</f>
        <v>Robusta</v>
      </c>
      <c r="N450" t="str" cm="1">
        <f t="array" ref="N450">_xlfn.IFS(I450="M","Medium",I450="L","Light",I450="D","Dark")</f>
        <v>Light</v>
      </c>
      <c r="O450" t="str">
        <f>_xlfn.XLOOKUP(Orders[[#This Row],[Customer ID]],customers!$A$2:$A$1001,customers!$I$2:$I$1001,,0)</f>
        <v>No</v>
      </c>
    </row>
    <row r="451" spans="1:15" x14ac:dyDescent="0.3">
      <c r="A451" s="2" t="s">
        <v>3021</v>
      </c>
      <c r="B451" s="3">
        <v>44336</v>
      </c>
      <c r="C451" s="2" t="s">
        <v>3022</v>
      </c>
      <c r="D451" t="s">
        <v>6163</v>
      </c>
      <c r="E451" s="2">
        <v>2</v>
      </c>
      <c r="F451" s="2" t="str">
        <f>_xlfn.XLOOKUP(C451,customers!$A$2:$A$1001,customers!$B$2:$B$1001,,0)</f>
        <v>Antone Harrold</v>
      </c>
      <c r="G451" s="2" t="str">
        <f>_xlfn.XLOOKUP(C451,customers!$A$2:$A$1001,customers!$G$2:$G$1001,,0)</f>
        <v>United States</v>
      </c>
      <c r="H451" t="str">
        <f>INDEX(products!$A$1:$G$49,MATCH(orders!$D451,products!$A$1:$A$49,0),MATCH(orders!H$1,products!$A$1:$G$1,0))</f>
        <v>Rob</v>
      </c>
      <c r="I451" t="str">
        <f>INDEX(products!$A$1:$G$49,MATCH(orders!$D451,products!$A$1:$A$49,0),MATCH(orders!I$1,products!$A$1:$G$1,0))</f>
        <v>D</v>
      </c>
      <c r="J451" s="5">
        <f>INDEX(products!$A$1:$G$49,MATCH(orders!$D451,products!$A$1:$A$49,0),MATCH(orders!J$1,products!$A$1:$G$1,0))</f>
        <v>0.2</v>
      </c>
      <c r="K451" s="6">
        <f>INDEX(products!$A$1:$G$49,MATCH(orders!$D451,products!$A$1:$A$49,0),MATCH(orders!K$1,products!$A$1:$G$1,0))</f>
        <v>2.6849999999999996</v>
      </c>
      <c r="L451" s="6">
        <f>K451*E451</f>
        <v>5.3699999999999992</v>
      </c>
      <c r="M451" t="str" cm="1">
        <f t="array" ref="M451">_xlfn.IFS(H451="Rob","Robusta",H451="Exc","Excelsa",H451="Ara","Arabica",H451="Lib","Liberica")</f>
        <v>Robusta</v>
      </c>
      <c r="N451" t="str" cm="1">
        <f t="array" ref="N451">_xlfn.IFS(I451="M","Medium",I451="L","Light",I451="D","Dark")</f>
        <v>Dark</v>
      </c>
      <c r="O451" t="str">
        <f>_xlfn.XLOOKUP(Orders[[#This Row],[Customer ID]],customers!$A$2:$A$1001,customers!$I$2:$I$1001,,0)</f>
        <v>No</v>
      </c>
    </row>
    <row r="452" spans="1:15" x14ac:dyDescent="0.3">
      <c r="A452" s="2" t="s">
        <v>3027</v>
      </c>
      <c r="B452" s="3">
        <v>44207</v>
      </c>
      <c r="C452" s="2" t="s">
        <v>3028</v>
      </c>
      <c r="D452" t="s">
        <v>6145</v>
      </c>
      <c r="E452" s="2">
        <v>5</v>
      </c>
      <c r="F452" s="2" t="str">
        <f>_xlfn.XLOOKUP(C452,customers!$A$2:$A$1001,customers!$B$2:$B$1001,,0)</f>
        <v>Sim Pamphilon</v>
      </c>
      <c r="G452" s="2" t="str">
        <f>_xlfn.XLOOKUP(C452,customers!$A$2:$A$1001,customers!$G$2:$G$1001,,0)</f>
        <v>Ireland</v>
      </c>
      <c r="H452" t="str">
        <f>INDEX(products!$A$1:$G$49,MATCH(orders!$D452,products!$A$1:$A$49,0),MATCH(orders!H$1,products!$A$1:$G$1,0))</f>
        <v>Lib</v>
      </c>
      <c r="I452" t="str">
        <f>INDEX(products!$A$1:$G$49,MATCH(orders!$D452,products!$A$1:$A$49,0),MATCH(orders!I$1,products!$A$1:$G$1,0))</f>
        <v>L</v>
      </c>
      <c r="J452" s="5">
        <f>INDEX(products!$A$1:$G$49,MATCH(orders!$D452,products!$A$1:$A$49,0),MATCH(orders!J$1,products!$A$1:$G$1,0))</f>
        <v>0.2</v>
      </c>
      <c r="K452" s="6">
        <f>INDEX(products!$A$1:$G$49,MATCH(orders!$D452,products!$A$1:$A$49,0),MATCH(orders!K$1,products!$A$1:$G$1,0))</f>
        <v>4.7549999999999999</v>
      </c>
      <c r="L452" s="6">
        <f>K452*E452</f>
        <v>23.774999999999999</v>
      </c>
      <c r="M452" t="str" cm="1">
        <f t="array" ref="M452">_xlfn.IFS(H452="Rob","Robusta",H452="Exc","Excelsa",H452="Ara","Arabica",H452="Lib","Liberica")</f>
        <v>Liberica</v>
      </c>
      <c r="N452" t="str" cm="1">
        <f t="array" ref="N452">_xlfn.IFS(I452="M","Medium",I452="L","Light",I452="D","Dark")</f>
        <v>Light</v>
      </c>
      <c r="O452" t="str">
        <f>_xlfn.XLOOKUP(Orders[[#This Row],[Customer ID]],customers!$A$2:$A$1001,customers!$I$2:$I$1001,,0)</f>
        <v>No</v>
      </c>
    </row>
    <row r="453" spans="1:15" x14ac:dyDescent="0.3">
      <c r="A453" s="2" t="s">
        <v>3035</v>
      </c>
      <c r="B453" s="3">
        <v>43518</v>
      </c>
      <c r="C453" s="2" t="s">
        <v>3036</v>
      </c>
      <c r="D453" t="s">
        <v>6149</v>
      </c>
      <c r="E453" s="2">
        <v>2</v>
      </c>
      <c r="F453" s="2" t="str">
        <f>_xlfn.XLOOKUP(C453,customers!$A$2:$A$1001,customers!$B$2:$B$1001,,0)</f>
        <v>Mohandis Spurden</v>
      </c>
      <c r="G453" s="2" t="str">
        <f>_xlfn.XLOOKUP(C453,customers!$A$2:$A$1001,customers!$G$2:$G$1001,,0)</f>
        <v>United States</v>
      </c>
      <c r="H453" t="str">
        <f>INDEX(products!$A$1:$G$49,MATCH(orders!$D453,products!$A$1:$A$49,0),MATCH(orders!H$1,products!$A$1:$G$1,0))</f>
        <v>Rob</v>
      </c>
      <c r="I453" t="str">
        <f>INDEX(products!$A$1:$G$49,MATCH(orders!$D453,products!$A$1:$A$49,0),MATCH(orders!I$1,products!$A$1:$G$1,0))</f>
        <v>D</v>
      </c>
      <c r="J453" s="5">
        <f>INDEX(products!$A$1:$G$49,MATCH(orders!$D453,products!$A$1:$A$49,0),MATCH(orders!J$1,products!$A$1:$G$1,0))</f>
        <v>2.5</v>
      </c>
      <c r="K453" s="6">
        <f>INDEX(products!$A$1:$G$49,MATCH(orders!$D453,products!$A$1:$A$49,0),MATCH(orders!K$1,products!$A$1:$G$1,0))</f>
        <v>20.584999999999997</v>
      </c>
      <c r="L453" s="6">
        <f>K453*E453</f>
        <v>41.169999999999995</v>
      </c>
      <c r="M453" t="str" cm="1">
        <f t="array" ref="M453">_xlfn.IFS(H453="Rob","Robusta",H453="Exc","Excelsa",H453="Ara","Arabica",H453="Lib","Liberica")</f>
        <v>Robusta</v>
      </c>
      <c r="N453" t="str" cm="1">
        <f t="array" ref="N453">_xlfn.IFS(I453="M","Medium",I453="L","Light",I453="D","Dark")</f>
        <v>Dark</v>
      </c>
      <c r="O453" t="str">
        <f>_xlfn.XLOOKUP(Orders[[#This Row],[Customer ID]],customers!$A$2:$A$1001,customers!$I$2:$I$1001,,0)</f>
        <v>Yes</v>
      </c>
    </row>
    <row r="454" spans="1:15" x14ac:dyDescent="0.3">
      <c r="A454" s="2" t="s">
        <v>3041</v>
      </c>
      <c r="B454" s="3">
        <v>44524</v>
      </c>
      <c r="C454" s="2" t="s">
        <v>3042</v>
      </c>
      <c r="D454" t="s">
        <v>6167</v>
      </c>
      <c r="E454" s="2">
        <v>3</v>
      </c>
      <c r="F454" s="2" t="str">
        <f>_xlfn.XLOOKUP(C454,customers!$A$2:$A$1001,customers!$B$2:$B$1001,,0)</f>
        <v>Morgen Seson</v>
      </c>
      <c r="G454" s="2" t="str">
        <f>_xlfn.XLOOKUP(C454,customers!$A$2:$A$1001,customers!$G$2:$G$1001,,0)</f>
        <v>United States</v>
      </c>
      <c r="H454" t="str">
        <f>INDEX(products!$A$1:$G$49,MATCH(orders!$D454,products!$A$1:$A$49,0),MATCH(orders!H$1,products!$A$1:$G$1,0))</f>
        <v>Ara</v>
      </c>
      <c r="I454" t="str">
        <f>INDEX(products!$A$1:$G$49,MATCH(orders!$D454,products!$A$1:$A$49,0),MATCH(orders!I$1,products!$A$1:$G$1,0))</f>
        <v>L</v>
      </c>
      <c r="J454" s="5">
        <f>INDEX(products!$A$1:$G$49,MATCH(orders!$D454,products!$A$1:$A$49,0),MATCH(orders!J$1,products!$A$1:$G$1,0))</f>
        <v>0.2</v>
      </c>
      <c r="K454" s="6">
        <f>INDEX(products!$A$1:$G$49,MATCH(orders!$D454,products!$A$1:$A$49,0),MATCH(orders!K$1,products!$A$1:$G$1,0))</f>
        <v>3.8849999999999998</v>
      </c>
      <c r="L454" s="6">
        <f>K454*E454</f>
        <v>11.654999999999999</v>
      </c>
      <c r="M454" t="str" cm="1">
        <f t="array" ref="M454">_xlfn.IFS(H454="Rob","Robusta",H454="Exc","Excelsa",H454="Ara","Arabica",H454="Lib","Liberica")</f>
        <v>Arabica</v>
      </c>
      <c r="N454" t="str" cm="1">
        <f t="array" ref="N454">_xlfn.IFS(I454="M","Medium",I454="L","Light",I454="D","Dark")</f>
        <v>Light</v>
      </c>
      <c r="O454" t="str">
        <f>_xlfn.XLOOKUP(Orders[[#This Row],[Customer ID]],customers!$A$2:$A$1001,customers!$I$2:$I$1001,,0)</f>
        <v>No</v>
      </c>
    </row>
    <row r="455" spans="1:15" x14ac:dyDescent="0.3">
      <c r="A455" s="2" t="s">
        <v>3047</v>
      </c>
      <c r="B455" s="3">
        <v>44579</v>
      </c>
      <c r="C455" s="2" t="s">
        <v>3048</v>
      </c>
      <c r="D455" t="s">
        <v>6161</v>
      </c>
      <c r="E455" s="2">
        <v>4</v>
      </c>
      <c r="F455" s="2" t="str">
        <f>_xlfn.XLOOKUP(C455,customers!$A$2:$A$1001,customers!$B$2:$B$1001,,0)</f>
        <v>Nalani Pirrone</v>
      </c>
      <c r="G455" s="2" t="str">
        <f>_xlfn.XLOOKUP(C455,customers!$A$2:$A$1001,customers!$G$2:$G$1001,,0)</f>
        <v>United States</v>
      </c>
      <c r="H455" t="str">
        <f>INDEX(products!$A$1:$G$49,MATCH(orders!$D455,products!$A$1:$A$49,0),MATCH(orders!H$1,products!$A$1:$G$1,0))</f>
        <v>Lib</v>
      </c>
      <c r="I455" t="str">
        <f>INDEX(products!$A$1:$G$49,MATCH(orders!$D455,products!$A$1:$A$49,0),MATCH(orders!I$1,products!$A$1:$G$1,0))</f>
        <v>L</v>
      </c>
      <c r="J455" s="5">
        <f>INDEX(products!$A$1:$G$49,MATCH(orders!$D455,products!$A$1:$A$49,0),MATCH(orders!J$1,products!$A$1:$G$1,0))</f>
        <v>0.5</v>
      </c>
      <c r="K455" s="6">
        <f>INDEX(products!$A$1:$G$49,MATCH(orders!$D455,products!$A$1:$A$49,0),MATCH(orders!K$1,products!$A$1:$G$1,0))</f>
        <v>9.51</v>
      </c>
      <c r="L455" s="6">
        <f>K455*E455</f>
        <v>38.04</v>
      </c>
      <c r="M455" t="str" cm="1">
        <f t="array" ref="M455">_xlfn.IFS(H455="Rob","Robusta",H455="Exc","Excelsa",H455="Ara","Arabica",H455="Lib","Liberica")</f>
        <v>Liberica</v>
      </c>
      <c r="N455" t="str" cm="1">
        <f t="array" ref="N455">_xlfn.IFS(I455="M","Medium",I455="L","Light",I455="D","Dark")</f>
        <v>Light</v>
      </c>
      <c r="O455" t="str">
        <f>_xlfn.XLOOKUP(Orders[[#This Row],[Customer ID]],customers!$A$2:$A$1001,customers!$I$2:$I$1001,,0)</f>
        <v>No</v>
      </c>
    </row>
    <row r="456" spans="1:15" x14ac:dyDescent="0.3">
      <c r="A456" s="2" t="s">
        <v>3053</v>
      </c>
      <c r="B456" s="3">
        <v>44421</v>
      </c>
      <c r="C456" s="2" t="s">
        <v>3054</v>
      </c>
      <c r="D456" t="s">
        <v>6149</v>
      </c>
      <c r="E456" s="2">
        <v>4</v>
      </c>
      <c r="F456" s="2" t="str">
        <f>_xlfn.XLOOKUP(C456,customers!$A$2:$A$1001,customers!$B$2:$B$1001,,0)</f>
        <v>Reube Cawley</v>
      </c>
      <c r="G456" s="2" t="str">
        <f>_xlfn.XLOOKUP(C456,customers!$A$2:$A$1001,customers!$G$2:$G$1001,,0)</f>
        <v>Ireland</v>
      </c>
      <c r="H456" t="str">
        <f>INDEX(products!$A$1:$G$49,MATCH(orders!$D456,products!$A$1:$A$49,0),MATCH(orders!H$1,products!$A$1:$G$1,0))</f>
        <v>Rob</v>
      </c>
      <c r="I456" t="str">
        <f>INDEX(products!$A$1:$G$49,MATCH(orders!$D456,products!$A$1:$A$49,0),MATCH(orders!I$1,products!$A$1:$G$1,0))</f>
        <v>D</v>
      </c>
      <c r="J456" s="5">
        <f>INDEX(products!$A$1:$G$49,MATCH(orders!$D456,products!$A$1:$A$49,0),MATCH(orders!J$1,products!$A$1:$G$1,0))</f>
        <v>2.5</v>
      </c>
      <c r="K456" s="6">
        <f>INDEX(products!$A$1:$G$49,MATCH(orders!$D456,products!$A$1:$A$49,0),MATCH(orders!K$1,products!$A$1:$G$1,0))</f>
        <v>20.584999999999997</v>
      </c>
      <c r="L456" s="6">
        <f>K456*E456</f>
        <v>82.339999999999989</v>
      </c>
      <c r="M456" t="str" cm="1">
        <f t="array" ref="M456">_xlfn.IFS(H456="Rob","Robusta",H456="Exc","Excelsa",H456="Ara","Arabica",H456="Lib","Liberica")</f>
        <v>Robusta</v>
      </c>
      <c r="N456" t="str" cm="1">
        <f t="array" ref="N456">_xlfn.IFS(I456="M","Medium",I456="L","Light",I456="D","Dark")</f>
        <v>Dark</v>
      </c>
      <c r="O456" t="str">
        <f>_xlfn.XLOOKUP(Orders[[#This Row],[Customer ID]],customers!$A$2:$A$1001,customers!$I$2:$I$1001,,0)</f>
        <v>Yes</v>
      </c>
    </row>
    <row r="457" spans="1:15" x14ac:dyDescent="0.3">
      <c r="A457" s="2" t="s">
        <v>3058</v>
      </c>
      <c r="B457" s="3">
        <v>43841</v>
      </c>
      <c r="C457" s="2" t="s">
        <v>3059</v>
      </c>
      <c r="D457" t="s">
        <v>6145</v>
      </c>
      <c r="E457" s="2">
        <v>2</v>
      </c>
      <c r="F457" s="2" t="str">
        <f>_xlfn.XLOOKUP(C457,customers!$A$2:$A$1001,customers!$B$2:$B$1001,,0)</f>
        <v>Stan Barribal</v>
      </c>
      <c r="G457" s="2" t="str">
        <f>_xlfn.XLOOKUP(C457,customers!$A$2:$A$1001,customers!$G$2:$G$1001,,0)</f>
        <v>Ireland</v>
      </c>
      <c r="H457" t="str">
        <f>INDEX(products!$A$1:$G$49,MATCH(orders!$D457,products!$A$1:$A$49,0),MATCH(orders!H$1,products!$A$1:$G$1,0))</f>
        <v>Lib</v>
      </c>
      <c r="I457" t="str">
        <f>INDEX(products!$A$1:$G$49,MATCH(orders!$D457,products!$A$1:$A$49,0),MATCH(orders!I$1,products!$A$1:$G$1,0))</f>
        <v>L</v>
      </c>
      <c r="J457" s="5">
        <f>INDEX(products!$A$1:$G$49,MATCH(orders!$D457,products!$A$1:$A$49,0),MATCH(orders!J$1,products!$A$1:$G$1,0))</f>
        <v>0.2</v>
      </c>
      <c r="K457" s="6">
        <f>INDEX(products!$A$1:$G$49,MATCH(orders!$D457,products!$A$1:$A$49,0),MATCH(orders!K$1,products!$A$1:$G$1,0))</f>
        <v>4.7549999999999999</v>
      </c>
      <c r="L457" s="6">
        <f>K457*E457</f>
        <v>9.51</v>
      </c>
      <c r="M457" t="str" cm="1">
        <f t="array" ref="M457">_xlfn.IFS(H457="Rob","Robusta",H457="Exc","Excelsa",H457="Ara","Arabica",H457="Lib","Liberica")</f>
        <v>Liberica</v>
      </c>
      <c r="N457" t="str" cm="1">
        <f t="array" ref="N457">_xlfn.IFS(I457="M","Medium",I457="L","Light",I457="D","Dark")</f>
        <v>Light</v>
      </c>
      <c r="O457" t="str">
        <f>_xlfn.XLOOKUP(Orders[[#This Row],[Customer ID]],customers!$A$2:$A$1001,customers!$I$2:$I$1001,,0)</f>
        <v>Yes</v>
      </c>
    </row>
    <row r="458" spans="1:15" x14ac:dyDescent="0.3">
      <c r="A458" s="2" t="s">
        <v>3064</v>
      </c>
      <c r="B458" s="3">
        <v>44017</v>
      </c>
      <c r="C458" s="2" t="s">
        <v>3065</v>
      </c>
      <c r="D458" t="s">
        <v>6149</v>
      </c>
      <c r="E458" s="2">
        <v>2</v>
      </c>
      <c r="F458" s="2" t="str">
        <f>_xlfn.XLOOKUP(C458,customers!$A$2:$A$1001,customers!$B$2:$B$1001,,0)</f>
        <v>Agnes Adamides</v>
      </c>
      <c r="G458" s="2" t="str">
        <f>_xlfn.XLOOKUP(C458,customers!$A$2:$A$1001,customers!$G$2:$G$1001,,0)</f>
        <v>United Kingdom</v>
      </c>
      <c r="H458" t="str">
        <f>INDEX(products!$A$1:$G$49,MATCH(orders!$D458,products!$A$1:$A$49,0),MATCH(orders!H$1,products!$A$1:$G$1,0))</f>
        <v>Rob</v>
      </c>
      <c r="I458" t="str">
        <f>INDEX(products!$A$1:$G$49,MATCH(orders!$D458,products!$A$1:$A$49,0),MATCH(orders!I$1,products!$A$1:$G$1,0))</f>
        <v>D</v>
      </c>
      <c r="J458" s="5">
        <f>INDEX(products!$A$1:$G$49,MATCH(orders!$D458,products!$A$1:$A$49,0),MATCH(orders!J$1,products!$A$1:$G$1,0))</f>
        <v>2.5</v>
      </c>
      <c r="K458" s="6">
        <f>INDEX(products!$A$1:$G$49,MATCH(orders!$D458,products!$A$1:$A$49,0),MATCH(orders!K$1,products!$A$1:$G$1,0))</f>
        <v>20.584999999999997</v>
      </c>
      <c r="L458" s="6">
        <f>K458*E458</f>
        <v>41.169999999999995</v>
      </c>
      <c r="M458" t="str" cm="1">
        <f t="array" ref="M458">_xlfn.IFS(H458="Rob","Robusta",H458="Exc","Excelsa",H458="Ara","Arabica",H458="Lib","Liberica")</f>
        <v>Robusta</v>
      </c>
      <c r="N458" t="str" cm="1">
        <f t="array" ref="N458">_xlfn.IFS(I458="M","Medium",I458="L","Light",I458="D","Dark")</f>
        <v>Dark</v>
      </c>
      <c r="O458" t="str">
        <f>_xlfn.XLOOKUP(Orders[[#This Row],[Customer ID]],customers!$A$2:$A$1001,customers!$I$2:$I$1001,,0)</f>
        <v>No</v>
      </c>
    </row>
    <row r="459" spans="1:15" x14ac:dyDescent="0.3">
      <c r="A459" s="2" t="s">
        <v>3070</v>
      </c>
      <c r="B459" s="3">
        <v>43671</v>
      </c>
      <c r="C459" s="2" t="s">
        <v>3071</v>
      </c>
      <c r="D459" t="s">
        <v>6161</v>
      </c>
      <c r="E459" s="2">
        <v>5</v>
      </c>
      <c r="F459" s="2" t="str">
        <f>_xlfn.XLOOKUP(C459,customers!$A$2:$A$1001,customers!$B$2:$B$1001,,0)</f>
        <v>Carmelita Thowes</v>
      </c>
      <c r="G459" s="2" t="str">
        <f>_xlfn.XLOOKUP(C459,customers!$A$2:$A$1001,customers!$G$2:$G$1001,,0)</f>
        <v>United States</v>
      </c>
      <c r="H459" t="str">
        <f>INDEX(products!$A$1:$G$49,MATCH(orders!$D459,products!$A$1:$A$49,0),MATCH(orders!H$1,products!$A$1:$G$1,0))</f>
        <v>Lib</v>
      </c>
      <c r="I459" t="str">
        <f>INDEX(products!$A$1:$G$49,MATCH(orders!$D459,products!$A$1:$A$49,0),MATCH(orders!I$1,products!$A$1:$G$1,0))</f>
        <v>L</v>
      </c>
      <c r="J459" s="5">
        <f>INDEX(products!$A$1:$G$49,MATCH(orders!$D459,products!$A$1:$A$49,0),MATCH(orders!J$1,products!$A$1:$G$1,0))</f>
        <v>0.5</v>
      </c>
      <c r="K459" s="6">
        <f>INDEX(products!$A$1:$G$49,MATCH(orders!$D459,products!$A$1:$A$49,0),MATCH(orders!K$1,products!$A$1:$G$1,0))</f>
        <v>9.51</v>
      </c>
      <c r="L459" s="6">
        <f>K459*E459</f>
        <v>47.55</v>
      </c>
      <c r="M459" t="str" cm="1">
        <f t="array" ref="M459">_xlfn.IFS(H459="Rob","Robusta",H459="Exc","Excelsa",H459="Ara","Arabica",H459="Lib","Liberica")</f>
        <v>Liberica</v>
      </c>
      <c r="N459" t="str" cm="1">
        <f t="array" ref="N459">_xlfn.IFS(I459="M","Medium",I459="L","Light",I459="D","Dark")</f>
        <v>Light</v>
      </c>
      <c r="O459" t="str">
        <f>_xlfn.XLOOKUP(Orders[[#This Row],[Customer ID]],customers!$A$2:$A$1001,customers!$I$2:$I$1001,,0)</f>
        <v>No</v>
      </c>
    </row>
    <row r="460" spans="1:15" x14ac:dyDescent="0.3">
      <c r="A460" s="2" t="s">
        <v>3076</v>
      </c>
      <c r="B460" s="3">
        <v>44707</v>
      </c>
      <c r="C460" s="2" t="s">
        <v>3077</v>
      </c>
      <c r="D460" t="s">
        <v>6155</v>
      </c>
      <c r="E460" s="2">
        <v>4</v>
      </c>
      <c r="F460" s="2" t="str">
        <f>_xlfn.XLOOKUP(C460,customers!$A$2:$A$1001,customers!$B$2:$B$1001,,0)</f>
        <v>Rodolfo Willoway</v>
      </c>
      <c r="G460" s="2" t="str">
        <f>_xlfn.XLOOKUP(C460,customers!$A$2:$A$1001,customers!$G$2:$G$1001,,0)</f>
        <v>United States</v>
      </c>
      <c r="H460" t="str">
        <f>INDEX(products!$A$1:$G$49,MATCH(orders!$D460,products!$A$1:$A$49,0),MATCH(orders!H$1,products!$A$1:$G$1,0))</f>
        <v>Ara</v>
      </c>
      <c r="I460" t="str">
        <f>INDEX(products!$A$1:$G$49,MATCH(orders!$D460,products!$A$1:$A$49,0),MATCH(orders!I$1,products!$A$1:$G$1,0))</f>
        <v>M</v>
      </c>
      <c r="J460" s="5">
        <f>INDEX(products!$A$1:$G$49,MATCH(orders!$D460,products!$A$1:$A$49,0),MATCH(orders!J$1,products!$A$1:$G$1,0))</f>
        <v>1</v>
      </c>
      <c r="K460" s="6">
        <f>INDEX(products!$A$1:$G$49,MATCH(orders!$D460,products!$A$1:$A$49,0),MATCH(orders!K$1,products!$A$1:$G$1,0))</f>
        <v>11.25</v>
      </c>
      <c r="L460" s="6">
        <f>K460*E460</f>
        <v>45</v>
      </c>
      <c r="M460" t="str" cm="1">
        <f t="array" ref="M460">_xlfn.IFS(H460="Rob","Robusta",H460="Exc","Excelsa",H460="Ara","Arabica",H460="Lib","Liberica")</f>
        <v>Arabica</v>
      </c>
      <c r="N460" t="str" cm="1">
        <f t="array" ref="N460">_xlfn.IFS(I460="M","Medium",I460="L","Light",I460="D","Dark")</f>
        <v>Medium</v>
      </c>
      <c r="O460" t="str">
        <f>_xlfn.XLOOKUP(Orders[[#This Row],[Customer ID]],customers!$A$2:$A$1001,customers!$I$2:$I$1001,,0)</f>
        <v>No</v>
      </c>
    </row>
    <row r="461" spans="1:15" x14ac:dyDescent="0.3">
      <c r="A461" s="2" t="s">
        <v>3082</v>
      </c>
      <c r="B461" s="3">
        <v>43840</v>
      </c>
      <c r="C461" s="2" t="s">
        <v>3083</v>
      </c>
      <c r="D461" t="s">
        <v>6145</v>
      </c>
      <c r="E461" s="2">
        <v>5</v>
      </c>
      <c r="F461" s="2" t="str">
        <f>_xlfn.XLOOKUP(C461,customers!$A$2:$A$1001,customers!$B$2:$B$1001,,0)</f>
        <v>Alvis Elwin</v>
      </c>
      <c r="G461" s="2" t="str">
        <f>_xlfn.XLOOKUP(C461,customers!$A$2:$A$1001,customers!$G$2:$G$1001,,0)</f>
        <v>United States</v>
      </c>
      <c r="H461" t="str">
        <f>INDEX(products!$A$1:$G$49,MATCH(orders!$D461,products!$A$1:$A$49,0),MATCH(orders!H$1,products!$A$1:$G$1,0))</f>
        <v>Lib</v>
      </c>
      <c r="I461" t="str">
        <f>INDEX(products!$A$1:$G$49,MATCH(orders!$D461,products!$A$1:$A$49,0),MATCH(orders!I$1,products!$A$1:$G$1,0))</f>
        <v>L</v>
      </c>
      <c r="J461" s="5">
        <f>INDEX(products!$A$1:$G$49,MATCH(orders!$D461,products!$A$1:$A$49,0),MATCH(orders!J$1,products!$A$1:$G$1,0))</f>
        <v>0.2</v>
      </c>
      <c r="K461" s="6">
        <f>INDEX(products!$A$1:$G$49,MATCH(orders!$D461,products!$A$1:$A$49,0),MATCH(orders!K$1,products!$A$1:$G$1,0))</f>
        <v>4.7549999999999999</v>
      </c>
      <c r="L461" s="6">
        <f>K461*E461</f>
        <v>23.774999999999999</v>
      </c>
      <c r="M461" t="str" cm="1">
        <f t="array" ref="M461">_xlfn.IFS(H461="Rob","Robusta",H461="Exc","Excelsa",H461="Ara","Arabica",H461="Lib","Liberica")</f>
        <v>Liberica</v>
      </c>
      <c r="N461" t="str" cm="1">
        <f t="array" ref="N461">_xlfn.IFS(I461="M","Medium",I461="L","Light",I461="D","Dark")</f>
        <v>Light</v>
      </c>
      <c r="O461" t="str">
        <f>_xlfn.XLOOKUP(Orders[[#This Row],[Customer ID]],customers!$A$2:$A$1001,customers!$I$2:$I$1001,,0)</f>
        <v>No</v>
      </c>
    </row>
    <row r="462" spans="1:15" x14ac:dyDescent="0.3">
      <c r="A462" s="2" t="s">
        <v>3088</v>
      </c>
      <c r="B462" s="3">
        <v>43602</v>
      </c>
      <c r="C462" s="2" t="s">
        <v>3089</v>
      </c>
      <c r="D462" t="s">
        <v>6172</v>
      </c>
      <c r="E462" s="2">
        <v>3</v>
      </c>
      <c r="F462" s="2" t="str">
        <f>_xlfn.XLOOKUP(C462,customers!$A$2:$A$1001,customers!$B$2:$B$1001,,0)</f>
        <v>Araldo Bilbrook</v>
      </c>
      <c r="G462" s="2" t="str">
        <f>_xlfn.XLOOKUP(C462,customers!$A$2:$A$1001,customers!$G$2:$G$1001,,0)</f>
        <v>Ireland</v>
      </c>
      <c r="H462" t="str">
        <f>INDEX(products!$A$1:$G$49,MATCH(orders!$D462,products!$A$1:$A$49,0),MATCH(orders!H$1,products!$A$1:$G$1,0))</f>
        <v>Rob</v>
      </c>
      <c r="I462" t="str">
        <f>INDEX(products!$A$1:$G$49,MATCH(orders!$D462,products!$A$1:$A$49,0),MATCH(orders!I$1,products!$A$1:$G$1,0))</f>
        <v>D</v>
      </c>
      <c r="J462" s="5">
        <f>INDEX(products!$A$1:$G$49,MATCH(orders!$D462,products!$A$1:$A$49,0),MATCH(orders!J$1,products!$A$1:$G$1,0))</f>
        <v>0.5</v>
      </c>
      <c r="K462" s="6">
        <f>INDEX(products!$A$1:$G$49,MATCH(orders!$D462,products!$A$1:$A$49,0),MATCH(orders!K$1,products!$A$1:$G$1,0))</f>
        <v>5.3699999999999992</v>
      </c>
      <c r="L462" s="6">
        <f>K462*E462</f>
        <v>16.11</v>
      </c>
      <c r="M462" t="str" cm="1">
        <f t="array" ref="M462">_xlfn.IFS(H462="Rob","Robusta",H462="Exc","Excelsa",H462="Ara","Arabica",H462="Lib","Liberica")</f>
        <v>Robusta</v>
      </c>
      <c r="N462" t="str" cm="1">
        <f t="array" ref="N462">_xlfn.IFS(I462="M","Medium",I462="L","Light",I462="D","Dark")</f>
        <v>Dark</v>
      </c>
      <c r="O462" t="str">
        <f>_xlfn.XLOOKUP(Orders[[#This Row],[Customer ID]],customers!$A$2:$A$1001,customers!$I$2:$I$1001,,0)</f>
        <v>Yes</v>
      </c>
    </row>
    <row r="463" spans="1:15" x14ac:dyDescent="0.3">
      <c r="A463" s="2" t="s">
        <v>3094</v>
      </c>
      <c r="B463" s="3">
        <v>44036</v>
      </c>
      <c r="C463" s="2" t="s">
        <v>3095</v>
      </c>
      <c r="D463" t="s">
        <v>6163</v>
      </c>
      <c r="E463" s="2">
        <v>4</v>
      </c>
      <c r="F463" s="2" t="str">
        <f>_xlfn.XLOOKUP(C463,customers!$A$2:$A$1001,customers!$B$2:$B$1001,,0)</f>
        <v>Ransell McKall</v>
      </c>
      <c r="G463" s="2" t="str">
        <f>_xlfn.XLOOKUP(C463,customers!$A$2:$A$1001,customers!$G$2:$G$1001,,0)</f>
        <v>United Kingdom</v>
      </c>
      <c r="H463" t="str">
        <f>INDEX(products!$A$1:$G$49,MATCH(orders!$D463,products!$A$1:$A$49,0),MATCH(orders!H$1,products!$A$1:$G$1,0))</f>
        <v>Rob</v>
      </c>
      <c r="I463" t="str">
        <f>INDEX(products!$A$1:$G$49,MATCH(orders!$D463,products!$A$1:$A$49,0),MATCH(orders!I$1,products!$A$1:$G$1,0))</f>
        <v>D</v>
      </c>
      <c r="J463" s="5">
        <f>INDEX(products!$A$1:$G$49,MATCH(orders!$D463,products!$A$1:$A$49,0),MATCH(orders!J$1,products!$A$1:$G$1,0))</f>
        <v>0.2</v>
      </c>
      <c r="K463" s="6">
        <f>INDEX(products!$A$1:$G$49,MATCH(orders!$D463,products!$A$1:$A$49,0),MATCH(orders!K$1,products!$A$1:$G$1,0))</f>
        <v>2.6849999999999996</v>
      </c>
      <c r="L463" s="6">
        <f>K463*E463</f>
        <v>10.739999999999998</v>
      </c>
      <c r="M463" t="str" cm="1">
        <f t="array" ref="M463">_xlfn.IFS(H463="Rob","Robusta",H463="Exc","Excelsa",H463="Ara","Arabica",H463="Lib","Liberica")</f>
        <v>Robusta</v>
      </c>
      <c r="N463" t="str" cm="1">
        <f t="array" ref="N463">_xlfn.IFS(I463="M","Medium",I463="L","Light",I463="D","Dark")</f>
        <v>Dark</v>
      </c>
      <c r="O463" t="str">
        <f>_xlfn.XLOOKUP(Orders[[#This Row],[Customer ID]],customers!$A$2:$A$1001,customers!$I$2:$I$1001,,0)</f>
        <v>Yes</v>
      </c>
    </row>
    <row r="464" spans="1:15" x14ac:dyDescent="0.3">
      <c r="A464" s="2" t="s">
        <v>3100</v>
      </c>
      <c r="B464" s="3">
        <v>44124</v>
      </c>
      <c r="C464" s="2" t="s">
        <v>3101</v>
      </c>
      <c r="D464" t="s">
        <v>6147</v>
      </c>
      <c r="E464" s="2">
        <v>5</v>
      </c>
      <c r="F464" s="2" t="str">
        <f>_xlfn.XLOOKUP(C464,customers!$A$2:$A$1001,customers!$B$2:$B$1001,,0)</f>
        <v>Borg Daile</v>
      </c>
      <c r="G464" s="2" t="str">
        <f>_xlfn.XLOOKUP(C464,customers!$A$2:$A$1001,customers!$G$2:$G$1001,,0)</f>
        <v>United States</v>
      </c>
      <c r="H464" t="str">
        <f>INDEX(products!$A$1:$G$49,MATCH(orders!$D464,products!$A$1:$A$49,0),MATCH(orders!H$1,products!$A$1:$G$1,0))</f>
        <v>Ara</v>
      </c>
      <c r="I464" t="str">
        <f>INDEX(products!$A$1:$G$49,MATCH(orders!$D464,products!$A$1:$A$49,0),MATCH(orders!I$1,products!$A$1:$G$1,0))</f>
        <v>D</v>
      </c>
      <c r="J464" s="5">
        <f>INDEX(products!$A$1:$G$49,MATCH(orders!$D464,products!$A$1:$A$49,0),MATCH(orders!J$1,products!$A$1:$G$1,0))</f>
        <v>1</v>
      </c>
      <c r="K464" s="6">
        <f>INDEX(products!$A$1:$G$49,MATCH(orders!$D464,products!$A$1:$A$49,0),MATCH(orders!K$1,products!$A$1:$G$1,0))</f>
        <v>9.9499999999999993</v>
      </c>
      <c r="L464" s="6">
        <f>K464*E464</f>
        <v>49.75</v>
      </c>
      <c r="M464" t="str" cm="1">
        <f t="array" ref="M464">_xlfn.IFS(H464="Rob","Robusta",H464="Exc","Excelsa",H464="Ara","Arabica",H464="Lib","Liberica")</f>
        <v>Arabica</v>
      </c>
      <c r="N464" t="str" cm="1">
        <f t="array" ref="N464">_xlfn.IFS(I464="M","Medium",I464="L","Light",I464="D","Dark")</f>
        <v>Dark</v>
      </c>
      <c r="O464" t="str">
        <f>_xlfn.XLOOKUP(Orders[[#This Row],[Customer ID]],customers!$A$2:$A$1001,customers!$I$2:$I$1001,,0)</f>
        <v>Yes</v>
      </c>
    </row>
    <row r="465" spans="1:15" x14ac:dyDescent="0.3">
      <c r="A465" s="2" t="s">
        <v>3106</v>
      </c>
      <c r="B465" s="3">
        <v>43730</v>
      </c>
      <c r="C465" s="2" t="s">
        <v>3107</v>
      </c>
      <c r="D465" t="s">
        <v>6141</v>
      </c>
      <c r="E465" s="2">
        <v>2</v>
      </c>
      <c r="F465" s="2" t="str">
        <f>_xlfn.XLOOKUP(C465,customers!$A$2:$A$1001,customers!$B$2:$B$1001,,0)</f>
        <v>Adolphe Treherne</v>
      </c>
      <c r="G465" s="2" t="str">
        <f>_xlfn.XLOOKUP(C465,customers!$A$2:$A$1001,customers!$G$2:$G$1001,,0)</f>
        <v>Ireland</v>
      </c>
      <c r="H465" t="str">
        <f>INDEX(products!$A$1:$G$49,MATCH(orders!$D465,products!$A$1:$A$49,0),MATCH(orders!H$1,products!$A$1:$G$1,0))</f>
        <v>Exc</v>
      </c>
      <c r="I465" t="str">
        <f>INDEX(products!$A$1:$G$49,MATCH(orders!$D465,products!$A$1:$A$49,0),MATCH(orders!I$1,products!$A$1:$G$1,0))</f>
        <v>M</v>
      </c>
      <c r="J465" s="5">
        <f>INDEX(products!$A$1:$G$49,MATCH(orders!$D465,products!$A$1:$A$49,0),MATCH(orders!J$1,products!$A$1:$G$1,0))</f>
        <v>1</v>
      </c>
      <c r="K465" s="6">
        <f>INDEX(products!$A$1:$G$49,MATCH(orders!$D465,products!$A$1:$A$49,0),MATCH(orders!K$1,products!$A$1:$G$1,0))</f>
        <v>13.75</v>
      </c>
      <c r="L465" s="6">
        <f>K465*E465</f>
        <v>27.5</v>
      </c>
      <c r="M465" t="str" cm="1">
        <f t="array" ref="M465">_xlfn.IFS(H465="Rob","Robusta",H465="Exc","Excelsa",H465="Ara","Arabica",H465="Lib","Liberica")</f>
        <v>Excelsa</v>
      </c>
      <c r="N465" t="str" cm="1">
        <f t="array" ref="N465">_xlfn.IFS(I465="M","Medium",I465="L","Light",I465="D","Dark")</f>
        <v>Medium</v>
      </c>
      <c r="O465" t="str">
        <f>_xlfn.XLOOKUP(Orders[[#This Row],[Customer ID]],customers!$A$2:$A$1001,customers!$I$2:$I$1001,,0)</f>
        <v>No</v>
      </c>
    </row>
    <row r="466" spans="1:15" x14ac:dyDescent="0.3">
      <c r="A466" s="2" t="s">
        <v>3112</v>
      </c>
      <c r="B466" s="3">
        <v>43989</v>
      </c>
      <c r="C466" s="2" t="s">
        <v>3113</v>
      </c>
      <c r="D466" t="s">
        <v>6165</v>
      </c>
      <c r="E466" s="2">
        <v>4</v>
      </c>
      <c r="F466" s="2" t="str">
        <f>_xlfn.XLOOKUP(C466,customers!$A$2:$A$1001,customers!$B$2:$B$1001,,0)</f>
        <v>Annetta Brentnall</v>
      </c>
      <c r="G466" s="2" t="str">
        <f>_xlfn.XLOOKUP(C466,customers!$A$2:$A$1001,customers!$G$2:$G$1001,,0)</f>
        <v>United Kingdom</v>
      </c>
      <c r="H466" t="str">
        <f>INDEX(products!$A$1:$G$49,MATCH(orders!$D466,products!$A$1:$A$49,0),MATCH(orders!H$1,products!$A$1:$G$1,0))</f>
        <v>Lib</v>
      </c>
      <c r="I466" t="str">
        <f>INDEX(products!$A$1:$G$49,MATCH(orders!$D466,products!$A$1:$A$49,0),MATCH(orders!I$1,products!$A$1:$G$1,0))</f>
        <v>D</v>
      </c>
      <c r="J466" s="5">
        <f>INDEX(products!$A$1:$G$49,MATCH(orders!$D466,products!$A$1:$A$49,0),MATCH(orders!J$1,products!$A$1:$G$1,0))</f>
        <v>2.5</v>
      </c>
      <c r="K466" s="6">
        <f>INDEX(products!$A$1:$G$49,MATCH(orders!$D466,products!$A$1:$A$49,0),MATCH(orders!K$1,products!$A$1:$G$1,0))</f>
        <v>29.784999999999997</v>
      </c>
      <c r="L466" s="6">
        <f>K466*E466</f>
        <v>119.13999999999999</v>
      </c>
      <c r="M466" t="str" cm="1">
        <f t="array" ref="M466">_xlfn.IFS(H466="Rob","Robusta",H466="Exc","Excelsa",H466="Ara","Arabica",H466="Lib","Liberica")</f>
        <v>Liberica</v>
      </c>
      <c r="N466" t="str" cm="1">
        <f t="array" ref="N466">_xlfn.IFS(I466="M","Medium",I466="L","Light",I466="D","Dark")</f>
        <v>Dark</v>
      </c>
      <c r="O466" t="str">
        <f>_xlfn.XLOOKUP(Orders[[#This Row],[Customer ID]],customers!$A$2:$A$1001,customers!$I$2:$I$1001,,0)</f>
        <v>No</v>
      </c>
    </row>
    <row r="467" spans="1:15" x14ac:dyDescent="0.3">
      <c r="A467" s="2" t="s">
        <v>3118</v>
      </c>
      <c r="B467" s="3">
        <v>43814</v>
      </c>
      <c r="C467" s="2" t="s">
        <v>3119</v>
      </c>
      <c r="D467" t="s">
        <v>6149</v>
      </c>
      <c r="E467" s="2">
        <v>1</v>
      </c>
      <c r="F467" s="2" t="str">
        <f>_xlfn.XLOOKUP(C467,customers!$A$2:$A$1001,customers!$B$2:$B$1001,,0)</f>
        <v>Dick Drinkall</v>
      </c>
      <c r="G467" s="2" t="str">
        <f>_xlfn.XLOOKUP(C467,customers!$A$2:$A$1001,customers!$G$2:$G$1001,,0)</f>
        <v>United States</v>
      </c>
      <c r="H467" t="str">
        <f>INDEX(products!$A$1:$G$49,MATCH(orders!$D467,products!$A$1:$A$49,0),MATCH(orders!H$1,products!$A$1:$G$1,0))</f>
        <v>Rob</v>
      </c>
      <c r="I467" t="str">
        <f>INDEX(products!$A$1:$G$49,MATCH(orders!$D467,products!$A$1:$A$49,0),MATCH(orders!I$1,products!$A$1:$G$1,0))</f>
        <v>D</v>
      </c>
      <c r="J467" s="5">
        <f>INDEX(products!$A$1:$G$49,MATCH(orders!$D467,products!$A$1:$A$49,0),MATCH(orders!J$1,products!$A$1:$G$1,0))</f>
        <v>2.5</v>
      </c>
      <c r="K467" s="6">
        <f>INDEX(products!$A$1:$G$49,MATCH(orders!$D467,products!$A$1:$A$49,0),MATCH(orders!K$1,products!$A$1:$G$1,0))</f>
        <v>20.584999999999997</v>
      </c>
      <c r="L467" s="6">
        <f>K467*E467</f>
        <v>20.584999999999997</v>
      </c>
      <c r="M467" t="str" cm="1">
        <f t="array" ref="M467">_xlfn.IFS(H467="Rob","Robusta",H467="Exc","Excelsa",H467="Ara","Arabica",H467="Lib","Liberica")</f>
        <v>Robusta</v>
      </c>
      <c r="N467" t="str" cm="1">
        <f t="array" ref="N467">_xlfn.IFS(I467="M","Medium",I467="L","Light",I467="D","Dark")</f>
        <v>Dark</v>
      </c>
      <c r="O467" t="str">
        <f>_xlfn.XLOOKUP(Orders[[#This Row],[Customer ID]],customers!$A$2:$A$1001,customers!$I$2:$I$1001,,0)</f>
        <v>Yes</v>
      </c>
    </row>
    <row r="468" spans="1:15" x14ac:dyDescent="0.3">
      <c r="A468" s="2" t="s">
        <v>3124</v>
      </c>
      <c r="B468" s="3">
        <v>44171</v>
      </c>
      <c r="C468" s="2" t="s">
        <v>3125</v>
      </c>
      <c r="D468" t="s">
        <v>6154</v>
      </c>
      <c r="E468" s="2">
        <v>3</v>
      </c>
      <c r="F468" s="2" t="str">
        <f>_xlfn.XLOOKUP(C468,customers!$A$2:$A$1001,customers!$B$2:$B$1001,,0)</f>
        <v>Dagny Kornel</v>
      </c>
      <c r="G468" s="2" t="str">
        <f>_xlfn.XLOOKUP(C468,customers!$A$2:$A$1001,customers!$G$2:$G$1001,,0)</f>
        <v>United States</v>
      </c>
      <c r="H468" t="str">
        <f>INDEX(products!$A$1:$G$49,MATCH(orders!$D468,products!$A$1:$A$49,0),MATCH(orders!H$1,products!$A$1:$G$1,0))</f>
        <v>Ara</v>
      </c>
      <c r="I468" t="str">
        <f>INDEX(products!$A$1:$G$49,MATCH(orders!$D468,products!$A$1:$A$49,0),MATCH(orders!I$1,products!$A$1:$G$1,0))</f>
        <v>D</v>
      </c>
      <c r="J468" s="5">
        <f>INDEX(products!$A$1:$G$49,MATCH(orders!$D468,products!$A$1:$A$49,0),MATCH(orders!J$1,products!$A$1:$G$1,0))</f>
        <v>0.2</v>
      </c>
      <c r="K468" s="6">
        <f>INDEX(products!$A$1:$G$49,MATCH(orders!$D468,products!$A$1:$A$49,0),MATCH(orders!K$1,products!$A$1:$G$1,0))</f>
        <v>2.9849999999999999</v>
      </c>
      <c r="L468" s="6">
        <f>K468*E468</f>
        <v>8.9550000000000001</v>
      </c>
      <c r="M468" t="str" cm="1">
        <f t="array" ref="M468">_xlfn.IFS(H468="Rob","Robusta",H468="Exc","Excelsa",H468="Ara","Arabica",H468="Lib","Liberica")</f>
        <v>Arabica</v>
      </c>
      <c r="N468" t="str" cm="1">
        <f t="array" ref="N468">_xlfn.IFS(I468="M","Medium",I468="L","Light",I468="D","Dark")</f>
        <v>Dark</v>
      </c>
      <c r="O468" t="str">
        <f>_xlfn.XLOOKUP(Orders[[#This Row],[Customer ID]],customers!$A$2:$A$1001,customers!$I$2:$I$1001,,0)</f>
        <v>Yes</v>
      </c>
    </row>
    <row r="469" spans="1:15" x14ac:dyDescent="0.3">
      <c r="A469" s="2" t="s">
        <v>3130</v>
      </c>
      <c r="B469" s="3">
        <v>44536</v>
      </c>
      <c r="C469" s="2" t="s">
        <v>3131</v>
      </c>
      <c r="D469" t="s">
        <v>6158</v>
      </c>
      <c r="E469" s="2">
        <v>1</v>
      </c>
      <c r="F469" s="2" t="str">
        <f>_xlfn.XLOOKUP(C469,customers!$A$2:$A$1001,customers!$B$2:$B$1001,,0)</f>
        <v>Rhona Lequeux</v>
      </c>
      <c r="G469" s="2" t="str">
        <f>_xlfn.XLOOKUP(C469,customers!$A$2:$A$1001,customers!$G$2:$G$1001,,0)</f>
        <v>United States</v>
      </c>
      <c r="H469" t="str">
        <f>INDEX(products!$A$1:$G$49,MATCH(orders!$D469,products!$A$1:$A$49,0),MATCH(orders!H$1,products!$A$1:$G$1,0))</f>
        <v>Ara</v>
      </c>
      <c r="I469" t="str">
        <f>INDEX(products!$A$1:$G$49,MATCH(orders!$D469,products!$A$1:$A$49,0),MATCH(orders!I$1,products!$A$1:$G$1,0))</f>
        <v>D</v>
      </c>
      <c r="J469" s="5">
        <f>INDEX(products!$A$1:$G$49,MATCH(orders!$D469,products!$A$1:$A$49,0),MATCH(orders!J$1,products!$A$1:$G$1,0))</f>
        <v>0.5</v>
      </c>
      <c r="K469" s="6">
        <f>INDEX(products!$A$1:$G$49,MATCH(orders!$D469,products!$A$1:$A$49,0),MATCH(orders!K$1,products!$A$1:$G$1,0))</f>
        <v>5.97</v>
      </c>
      <c r="L469" s="6">
        <f>K469*E469</f>
        <v>5.97</v>
      </c>
      <c r="M469" t="str" cm="1">
        <f t="array" ref="M469">_xlfn.IFS(H469="Rob","Robusta",H469="Exc","Excelsa",H469="Ara","Arabica",H469="Lib","Liberica")</f>
        <v>Arabica</v>
      </c>
      <c r="N469" t="str" cm="1">
        <f t="array" ref="N469">_xlfn.IFS(I469="M","Medium",I469="L","Light",I469="D","Dark")</f>
        <v>Dark</v>
      </c>
      <c r="O469" t="str">
        <f>_xlfn.XLOOKUP(Orders[[#This Row],[Customer ID]],customers!$A$2:$A$1001,customers!$I$2:$I$1001,,0)</f>
        <v>No</v>
      </c>
    </row>
    <row r="470" spans="1:15" x14ac:dyDescent="0.3">
      <c r="A470" s="2" t="s">
        <v>3136</v>
      </c>
      <c r="B470" s="3">
        <v>44023</v>
      </c>
      <c r="C470" s="2" t="s">
        <v>3137</v>
      </c>
      <c r="D470" t="s">
        <v>6141</v>
      </c>
      <c r="E470" s="2">
        <v>3</v>
      </c>
      <c r="F470" s="2" t="str">
        <f>_xlfn.XLOOKUP(C470,customers!$A$2:$A$1001,customers!$B$2:$B$1001,,0)</f>
        <v>Julius Mccaull</v>
      </c>
      <c r="G470" s="2" t="str">
        <f>_xlfn.XLOOKUP(C470,customers!$A$2:$A$1001,customers!$G$2:$G$1001,,0)</f>
        <v>United States</v>
      </c>
      <c r="H470" t="str">
        <f>INDEX(products!$A$1:$G$49,MATCH(orders!$D470,products!$A$1:$A$49,0),MATCH(orders!H$1,products!$A$1:$G$1,0))</f>
        <v>Exc</v>
      </c>
      <c r="I470" t="str">
        <f>INDEX(products!$A$1:$G$49,MATCH(orders!$D470,products!$A$1:$A$49,0),MATCH(orders!I$1,products!$A$1:$G$1,0))</f>
        <v>M</v>
      </c>
      <c r="J470" s="5">
        <f>INDEX(products!$A$1:$G$49,MATCH(orders!$D470,products!$A$1:$A$49,0),MATCH(orders!J$1,products!$A$1:$G$1,0))</f>
        <v>1</v>
      </c>
      <c r="K470" s="6">
        <f>INDEX(products!$A$1:$G$49,MATCH(orders!$D470,products!$A$1:$A$49,0),MATCH(orders!K$1,products!$A$1:$G$1,0))</f>
        <v>13.75</v>
      </c>
      <c r="L470" s="6">
        <f>K470*E470</f>
        <v>41.25</v>
      </c>
      <c r="M470" t="str" cm="1">
        <f t="array" ref="M470">_xlfn.IFS(H470="Rob","Robusta",H470="Exc","Excelsa",H470="Ara","Arabica",H470="Lib","Liberica")</f>
        <v>Excelsa</v>
      </c>
      <c r="N470" t="str" cm="1">
        <f t="array" ref="N470">_xlfn.IFS(I470="M","Medium",I470="L","Light",I470="D","Dark")</f>
        <v>Medium</v>
      </c>
      <c r="O470" t="str">
        <f>_xlfn.XLOOKUP(Orders[[#This Row],[Customer ID]],customers!$A$2:$A$1001,customers!$I$2:$I$1001,,0)</f>
        <v>Yes</v>
      </c>
    </row>
    <row r="471" spans="1:15" x14ac:dyDescent="0.3">
      <c r="A471" s="2" t="s">
        <v>3141</v>
      </c>
      <c r="B471" s="3">
        <v>44375</v>
      </c>
      <c r="C471" s="2" t="s">
        <v>3194</v>
      </c>
      <c r="D471" t="s">
        <v>6184</v>
      </c>
      <c r="E471" s="2">
        <v>5</v>
      </c>
      <c r="F471" s="2" t="str">
        <f>_xlfn.XLOOKUP(C471,customers!$A$2:$A$1001,customers!$B$2:$B$1001,,0)</f>
        <v>Ailey Brash</v>
      </c>
      <c r="G471" s="2" t="str">
        <f>_xlfn.XLOOKUP(C471,customers!$A$2:$A$1001,customers!$G$2:$G$1001,,0)</f>
        <v>United States</v>
      </c>
      <c r="H471" t="str">
        <f>INDEX(products!$A$1:$G$49,MATCH(orders!$D471,products!$A$1:$A$49,0),MATCH(orders!H$1,products!$A$1:$G$1,0))</f>
        <v>Exc</v>
      </c>
      <c r="I471" t="str">
        <f>INDEX(products!$A$1:$G$49,MATCH(orders!$D471,products!$A$1:$A$49,0),MATCH(orders!I$1,products!$A$1:$G$1,0))</f>
        <v>L</v>
      </c>
      <c r="J471" s="5">
        <f>INDEX(products!$A$1:$G$49,MATCH(orders!$D471,products!$A$1:$A$49,0),MATCH(orders!J$1,products!$A$1:$G$1,0))</f>
        <v>0.2</v>
      </c>
      <c r="K471" s="6">
        <f>INDEX(products!$A$1:$G$49,MATCH(orders!$D471,products!$A$1:$A$49,0),MATCH(orders!K$1,products!$A$1:$G$1,0))</f>
        <v>4.4550000000000001</v>
      </c>
      <c r="L471" s="6">
        <f>K471*E471</f>
        <v>22.274999999999999</v>
      </c>
      <c r="M471" t="str" cm="1">
        <f t="array" ref="M471">_xlfn.IFS(H471="Rob","Robusta",H471="Exc","Excelsa",H471="Ara","Arabica",H471="Lib","Liberica")</f>
        <v>Excelsa</v>
      </c>
      <c r="N471" t="str" cm="1">
        <f t="array" ref="N471">_xlfn.IFS(I471="M","Medium",I471="L","Light",I471="D","Dark")</f>
        <v>Light</v>
      </c>
      <c r="O471" t="str">
        <f>_xlfn.XLOOKUP(Orders[[#This Row],[Customer ID]],customers!$A$2:$A$1001,customers!$I$2:$I$1001,,0)</f>
        <v>Yes</v>
      </c>
    </row>
    <row r="472" spans="1:15" x14ac:dyDescent="0.3">
      <c r="A472" s="2" t="s">
        <v>3147</v>
      </c>
      <c r="B472" s="3">
        <v>44656</v>
      </c>
      <c r="C472" s="2" t="s">
        <v>3148</v>
      </c>
      <c r="D472" t="s">
        <v>6157</v>
      </c>
      <c r="E472" s="2">
        <v>1</v>
      </c>
      <c r="F472" s="2" t="str">
        <f>_xlfn.XLOOKUP(C472,customers!$A$2:$A$1001,customers!$B$2:$B$1001,,0)</f>
        <v>Alberto Hutchinson</v>
      </c>
      <c r="G472" s="2" t="str">
        <f>_xlfn.XLOOKUP(C472,customers!$A$2:$A$1001,customers!$G$2:$G$1001,,0)</f>
        <v>United States</v>
      </c>
      <c r="H472" t="str">
        <f>INDEX(products!$A$1:$G$49,MATCH(orders!$D472,products!$A$1:$A$49,0),MATCH(orders!H$1,products!$A$1:$G$1,0))</f>
        <v>Ara</v>
      </c>
      <c r="I472" t="str">
        <f>INDEX(products!$A$1:$G$49,MATCH(orders!$D472,products!$A$1:$A$49,0),MATCH(orders!I$1,products!$A$1:$G$1,0))</f>
        <v>M</v>
      </c>
      <c r="J472" s="5">
        <f>INDEX(products!$A$1:$G$49,MATCH(orders!$D472,products!$A$1:$A$49,0),MATCH(orders!J$1,products!$A$1:$G$1,0))</f>
        <v>0.5</v>
      </c>
      <c r="K472" s="6">
        <f>INDEX(products!$A$1:$G$49,MATCH(orders!$D472,products!$A$1:$A$49,0),MATCH(orders!K$1,products!$A$1:$G$1,0))</f>
        <v>6.75</v>
      </c>
      <c r="L472" s="6">
        <f>K472*E472</f>
        <v>6.75</v>
      </c>
      <c r="M472" t="str" cm="1">
        <f t="array" ref="M472">_xlfn.IFS(H472="Rob","Robusta",H472="Exc","Excelsa",H472="Ara","Arabica",H472="Lib","Liberica")</f>
        <v>Arabica</v>
      </c>
      <c r="N472" t="str" cm="1">
        <f t="array" ref="N472">_xlfn.IFS(I472="M","Medium",I472="L","Light",I472="D","Dark")</f>
        <v>Medium</v>
      </c>
      <c r="O472" t="str">
        <f>_xlfn.XLOOKUP(Orders[[#This Row],[Customer ID]],customers!$A$2:$A$1001,customers!$I$2:$I$1001,,0)</f>
        <v>Yes</v>
      </c>
    </row>
    <row r="473" spans="1:15" x14ac:dyDescent="0.3">
      <c r="A473" s="2" t="s">
        <v>3153</v>
      </c>
      <c r="B473" s="3">
        <v>44644</v>
      </c>
      <c r="C473" s="2" t="s">
        <v>3154</v>
      </c>
      <c r="D473" t="s">
        <v>6181</v>
      </c>
      <c r="E473" s="2">
        <v>4</v>
      </c>
      <c r="F473" s="2" t="str">
        <f>_xlfn.XLOOKUP(C473,customers!$A$2:$A$1001,customers!$B$2:$B$1001,,0)</f>
        <v>Lamond Gheeraert</v>
      </c>
      <c r="G473" s="2" t="str">
        <f>_xlfn.XLOOKUP(C473,customers!$A$2:$A$1001,customers!$G$2:$G$1001,,0)</f>
        <v>United States</v>
      </c>
      <c r="H473" t="str">
        <f>INDEX(products!$A$1:$G$49,MATCH(orders!$D473,products!$A$1:$A$49,0),MATCH(orders!H$1,products!$A$1:$G$1,0))</f>
        <v>Lib</v>
      </c>
      <c r="I473" t="str">
        <f>INDEX(products!$A$1:$G$49,MATCH(orders!$D473,products!$A$1:$A$49,0),MATCH(orders!I$1,products!$A$1:$G$1,0))</f>
        <v>M</v>
      </c>
      <c r="J473" s="5">
        <f>INDEX(products!$A$1:$G$49,MATCH(orders!$D473,products!$A$1:$A$49,0),MATCH(orders!J$1,products!$A$1:$G$1,0))</f>
        <v>2.5</v>
      </c>
      <c r="K473" s="6">
        <f>INDEX(products!$A$1:$G$49,MATCH(orders!$D473,products!$A$1:$A$49,0),MATCH(orders!K$1,products!$A$1:$G$1,0))</f>
        <v>33.464999999999996</v>
      </c>
      <c r="L473" s="6">
        <f>K473*E473</f>
        <v>133.85999999999999</v>
      </c>
      <c r="M473" t="str" cm="1">
        <f t="array" ref="M473">_xlfn.IFS(H473="Rob","Robusta",H473="Exc","Excelsa",H473="Ara","Arabica",H473="Lib","Liberica")</f>
        <v>Liberica</v>
      </c>
      <c r="N473" t="str" cm="1">
        <f t="array" ref="N473">_xlfn.IFS(I473="M","Medium",I473="L","Light",I473="D","Dark")</f>
        <v>Medium</v>
      </c>
      <c r="O473" t="str">
        <f>_xlfn.XLOOKUP(Orders[[#This Row],[Customer ID]],customers!$A$2:$A$1001,customers!$I$2:$I$1001,,0)</f>
        <v>Yes</v>
      </c>
    </row>
    <row r="474" spans="1:15" x14ac:dyDescent="0.3">
      <c r="A474" s="2" t="s">
        <v>3158</v>
      </c>
      <c r="B474" s="3">
        <v>43869</v>
      </c>
      <c r="C474" s="2" t="s">
        <v>3159</v>
      </c>
      <c r="D474" t="s">
        <v>6154</v>
      </c>
      <c r="E474" s="2">
        <v>2</v>
      </c>
      <c r="F474" s="2" t="str">
        <f>_xlfn.XLOOKUP(C474,customers!$A$2:$A$1001,customers!$B$2:$B$1001,,0)</f>
        <v>Roxine Drivers</v>
      </c>
      <c r="G474" s="2" t="str">
        <f>_xlfn.XLOOKUP(C474,customers!$A$2:$A$1001,customers!$G$2:$G$1001,,0)</f>
        <v>United States</v>
      </c>
      <c r="H474" t="str">
        <f>INDEX(products!$A$1:$G$49,MATCH(orders!$D474,products!$A$1:$A$49,0),MATCH(orders!H$1,products!$A$1:$G$1,0))</f>
        <v>Ara</v>
      </c>
      <c r="I474" t="str">
        <f>INDEX(products!$A$1:$G$49,MATCH(orders!$D474,products!$A$1:$A$49,0),MATCH(orders!I$1,products!$A$1:$G$1,0))</f>
        <v>D</v>
      </c>
      <c r="J474" s="5">
        <f>INDEX(products!$A$1:$G$49,MATCH(orders!$D474,products!$A$1:$A$49,0),MATCH(orders!J$1,products!$A$1:$G$1,0))</f>
        <v>0.2</v>
      </c>
      <c r="K474" s="6">
        <f>INDEX(products!$A$1:$G$49,MATCH(orders!$D474,products!$A$1:$A$49,0),MATCH(orders!K$1,products!$A$1:$G$1,0))</f>
        <v>2.9849999999999999</v>
      </c>
      <c r="L474" s="6">
        <f>K474*E474</f>
        <v>5.97</v>
      </c>
      <c r="M474" t="str" cm="1">
        <f t="array" ref="M474">_xlfn.IFS(H474="Rob","Robusta",H474="Exc","Excelsa",H474="Ara","Arabica",H474="Lib","Liberica")</f>
        <v>Arabica</v>
      </c>
      <c r="N474" t="str" cm="1">
        <f t="array" ref="N474">_xlfn.IFS(I474="M","Medium",I474="L","Light",I474="D","Dark")</f>
        <v>Dark</v>
      </c>
      <c r="O474" t="str">
        <f>_xlfn.XLOOKUP(Orders[[#This Row],[Customer ID]],customers!$A$2:$A$1001,customers!$I$2:$I$1001,,0)</f>
        <v>No</v>
      </c>
    </row>
    <row r="475" spans="1:15" x14ac:dyDescent="0.3">
      <c r="A475" s="2" t="s">
        <v>3164</v>
      </c>
      <c r="B475" s="3">
        <v>44603</v>
      </c>
      <c r="C475" s="2" t="s">
        <v>3165</v>
      </c>
      <c r="D475" t="s">
        <v>6140</v>
      </c>
      <c r="E475" s="2">
        <v>2</v>
      </c>
      <c r="F475" s="2" t="str">
        <f>_xlfn.XLOOKUP(C475,customers!$A$2:$A$1001,customers!$B$2:$B$1001,,0)</f>
        <v>Heloise Zeal</v>
      </c>
      <c r="G475" s="2" t="str">
        <f>_xlfn.XLOOKUP(C475,customers!$A$2:$A$1001,customers!$G$2:$G$1001,,0)</f>
        <v>United States</v>
      </c>
      <c r="H475" t="str">
        <f>INDEX(products!$A$1:$G$49,MATCH(orders!$D475,products!$A$1:$A$49,0),MATCH(orders!H$1,products!$A$1:$G$1,0))</f>
        <v>Ara</v>
      </c>
      <c r="I475" t="str">
        <f>INDEX(products!$A$1:$G$49,MATCH(orders!$D475,products!$A$1:$A$49,0),MATCH(orders!I$1,products!$A$1:$G$1,0))</f>
        <v>L</v>
      </c>
      <c r="J475" s="5">
        <f>INDEX(products!$A$1:$G$49,MATCH(orders!$D475,products!$A$1:$A$49,0),MATCH(orders!J$1,products!$A$1:$G$1,0))</f>
        <v>1</v>
      </c>
      <c r="K475" s="6">
        <f>INDEX(products!$A$1:$G$49,MATCH(orders!$D475,products!$A$1:$A$49,0),MATCH(orders!K$1,products!$A$1:$G$1,0))</f>
        <v>12.95</v>
      </c>
      <c r="L475" s="6">
        <f>K475*E475</f>
        <v>25.9</v>
      </c>
      <c r="M475" t="str" cm="1">
        <f t="array" ref="M475">_xlfn.IFS(H475="Rob","Robusta",H475="Exc","Excelsa",H475="Ara","Arabica",H475="Lib","Liberica")</f>
        <v>Arabica</v>
      </c>
      <c r="N475" t="str" cm="1">
        <f t="array" ref="N475">_xlfn.IFS(I475="M","Medium",I475="L","Light",I475="D","Dark")</f>
        <v>Light</v>
      </c>
      <c r="O475" t="str">
        <f>_xlfn.XLOOKUP(Orders[[#This Row],[Customer ID]],customers!$A$2:$A$1001,customers!$I$2:$I$1001,,0)</f>
        <v>No</v>
      </c>
    </row>
    <row r="476" spans="1:15" x14ac:dyDescent="0.3">
      <c r="A476" s="2" t="s">
        <v>3170</v>
      </c>
      <c r="B476" s="3">
        <v>44014</v>
      </c>
      <c r="C476" s="2" t="s">
        <v>3171</v>
      </c>
      <c r="D476" t="s">
        <v>6166</v>
      </c>
      <c r="E476" s="2">
        <v>1</v>
      </c>
      <c r="F476" s="2" t="str">
        <f>_xlfn.XLOOKUP(C476,customers!$A$2:$A$1001,customers!$B$2:$B$1001,,0)</f>
        <v>Granger Smallcombe</v>
      </c>
      <c r="G476" s="2" t="str">
        <f>_xlfn.XLOOKUP(C476,customers!$A$2:$A$1001,customers!$G$2:$G$1001,,0)</f>
        <v>Ireland</v>
      </c>
      <c r="H476" t="str">
        <f>INDEX(products!$A$1:$G$49,MATCH(orders!$D476,products!$A$1:$A$49,0),MATCH(orders!H$1,products!$A$1:$G$1,0))</f>
        <v>Exc</v>
      </c>
      <c r="I476" t="str">
        <f>INDEX(products!$A$1:$G$49,MATCH(orders!$D476,products!$A$1:$A$49,0),MATCH(orders!I$1,products!$A$1:$G$1,0))</f>
        <v>M</v>
      </c>
      <c r="J476" s="5">
        <f>INDEX(products!$A$1:$G$49,MATCH(orders!$D476,products!$A$1:$A$49,0),MATCH(orders!J$1,products!$A$1:$G$1,0))</f>
        <v>2.5</v>
      </c>
      <c r="K476" s="6">
        <f>INDEX(products!$A$1:$G$49,MATCH(orders!$D476,products!$A$1:$A$49,0),MATCH(orders!K$1,products!$A$1:$G$1,0))</f>
        <v>31.624999999999996</v>
      </c>
      <c r="L476" s="6">
        <f>K476*E476</f>
        <v>31.624999999999996</v>
      </c>
      <c r="M476" t="str" cm="1">
        <f t="array" ref="M476">_xlfn.IFS(H476="Rob","Robusta",H476="Exc","Excelsa",H476="Ara","Arabica",H476="Lib","Liberica")</f>
        <v>Excelsa</v>
      </c>
      <c r="N476" t="str" cm="1">
        <f t="array" ref="N476">_xlfn.IFS(I476="M","Medium",I476="L","Light",I476="D","Dark")</f>
        <v>Medium</v>
      </c>
      <c r="O476" t="str">
        <f>_xlfn.XLOOKUP(Orders[[#This Row],[Customer ID]],customers!$A$2:$A$1001,customers!$I$2:$I$1001,,0)</f>
        <v>Yes</v>
      </c>
    </row>
    <row r="477" spans="1:15" x14ac:dyDescent="0.3">
      <c r="A477" s="2" t="s">
        <v>3176</v>
      </c>
      <c r="B477" s="3">
        <v>44767</v>
      </c>
      <c r="C477" s="2" t="s">
        <v>3177</v>
      </c>
      <c r="D477" t="s">
        <v>6159</v>
      </c>
      <c r="E477" s="2">
        <v>2</v>
      </c>
      <c r="F477" s="2" t="str">
        <f>_xlfn.XLOOKUP(C477,customers!$A$2:$A$1001,customers!$B$2:$B$1001,,0)</f>
        <v>Daryn Dibley</v>
      </c>
      <c r="G477" s="2" t="str">
        <f>_xlfn.XLOOKUP(C477,customers!$A$2:$A$1001,customers!$G$2:$G$1001,,0)</f>
        <v>United States</v>
      </c>
      <c r="H477" t="str">
        <f>INDEX(products!$A$1:$G$49,MATCH(orders!$D477,products!$A$1:$A$49,0),MATCH(orders!H$1,products!$A$1:$G$1,0))</f>
        <v>Lib</v>
      </c>
      <c r="I477" t="str">
        <f>INDEX(products!$A$1:$G$49,MATCH(orders!$D477,products!$A$1:$A$49,0),MATCH(orders!I$1,products!$A$1:$G$1,0))</f>
        <v>M</v>
      </c>
      <c r="J477" s="5">
        <f>INDEX(products!$A$1:$G$49,MATCH(orders!$D477,products!$A$1:$A$49,0),MATCH(orders!J$1,products!$A$1:$G$1,0))</f>
        <v>0.2</v>
      </c>
      <c r="K477" s="6">
        <f>INDEX(products!$A$1:$G$49,MATCH(orders!$D477,products!$A$1:$A$49,0),MATCH(orders!K$1,products!$A$1:$G$1,0))</f>
        <v>4.3650000000000002</v>
      </c>
      <c r="L477" s="6">
        <f>K477*E477</f>
        <v>8.73</v>
      </c>
      <c r="M477" t="str" cm="1">
        <f t="array" ref="M477">_xlfn.IFS(H477="Rob","Robusta",H477="Exc","Excelsa",H477="Ara","Arabica",H477="Lib","Liberica")</f>
        <v>Liberica</v>
      </c>
      <c r="N477" t="str" cm="1">
        <f t="array" ref="N477">_xlfn.IFS(I477="M","Medium",I477="L","Light",I477="D","Dark")</f>
        <v>Medium</v>
      </c>
      <c r="O477" t="str">
        <f>_xlfn.XLOOKUP(Orders[[#This Row],[Customer ID]],customers!$A$2:$A$1001,customers!$I$2:$I$1001,,0)</f>
        <v>No</v>
      </c>
    </row>
    <row r="478" spans="1:15" x14ac:dyDescent="0.3">
      <c r="A478" s="2" t="s">
        <v>3181</v>
      </c>
      <c r="B478" s="3">
        <v>44274</v>
      </c>
      <c r="C478" s="2" t="s">
        <v>3182</v>
      </c>
      <c r="D478" t="s">
        <v>6184</v>
      </c>
      <c r="E478" s="2">
        <v>6</v>
      </c>
      <c r="F478" s="2" t="str">
        <f>_xlfn.XLOOKUP(C478,customers!$A$2:$A$1001,customers!$B$2:$B$1001,,0)</f>
        <v>Gardy Dimitriou</v>
      </c>
      <c r="G478" s="2" t="str">
        <f>_xlfn.XLOOKUP(C478,customers!$A$2:$A$1001,customers!$G$2:$G$1001,,0)</f>
        <v>United States</v>
      </c>
      <c r="H478" t="str">
        <f>INDEX(products!$A$1:$G$49,MATCH(orders!$D478,products!$A$1:$A$49,0),MATCH(orders!H$1,products!$A$1:$G$1,0))</f>
        <v>Exc</v>
      </c>
      <c r="I478" t="str">
        <f>INDEX(products!$A$1:$G$49,MATCH(orders!$D478,products!$A$1:$A$49,0),MATCH(orders!I$1,products!$A$1:$G$1,0))</f>
        <v>L</v>
      </c>
      <c r="J478" s="5">
        <f>INDEX(products!$A$1:$G$49,MATCH(orders!$D478,products!$A$1:$A$49,0),MATCH(orders!J$1,products!$A$1:$G$1,0))</f>
        <v>0.2</v>
      </c>
      <c r="K478" s="6">
        <f>INDEX(products!$A$1:$G$49,MATCH(orders!$D478,products!$A$1:$A$49,0),MATCH(orders!K$1,products!$A$1:$G$1,0))</f>
        <v>4.4550000000000001</v>
      </c>
      <c r="L478" s="6">
        <f>K478*E478</f>
        <v>26.73</v>
      </c>
      <c r="M478" t="str" cm="1">
        <f t="array" ref="M478">_xlfn.IFS(H478="Rob","Robusta",H478="Exc","Excelsa",H478="Ara","Arabica",H478="Lib","Liberica")</f>
        <v>Excelsa</v>
      </c>
      <c r="N478" t="str" cm="1">
        <f t="array" ref="N478">_xlfn.IFS(I478="M","Medium",I478="L","Light",I478="D","Dark")</f>
        <v>Light</v>
      </c>
      <c r="O478" t="str">
        <f>_xlfn.XLOOKUP(Orders[[#This Row],[Customer ID]],customers!$A$2:$A$1001,customers!$I$2:$I$1001,,0)</f>
        <v>Yes</v>
      </c>
    </row>
    <row r="479" spans="1:15" x14ac:dyDescent="0.3">
      <c r="A479" s="2" t="s">
        <v>3187</v>
      </c>
      <c r="B479" s="3">
        <v>43962</v>
      </c>
      <c r="C479" s="2" t="s">
        <v>3188</v>
      </c>
      <c r="D479" t="s">
        <v>6159</v>
      </c>
      <c r="E479" s="2">
        <v>6</v>
      </c>
      <c r="F479" s="2" t="str">
        <f>_xlfn.XLOOKUP(C479,customers!$A$2:$A$1001,customers!$B$2:$B$1001,,0)</f>
        <v>Fanny Flanagan</v>
      </c>
      <c r="G479" s="2" t="str">
        <f>_xlfn.XLOOKUP(C479,customers!$A$2:$A$1001,customers!$G$2:$G$1001,,0)</f>
        <v>United States</v>
      </c>
      <c r="H479" t="str">
        <f>INDEX(products!$A$1:$G$49,MATCH(orders!$D479,products!$A$1:$A$49,0),MATCH(orders!H$1,products!$A$1:$G$1,0))</f>
        <v>Lib</v>
      </c>
      <c r="I479" t="str">
        <f>INDEX(products!$A$1:$G$49,MATCH(orders!$D479,products!$A$1:$A$49,0),MATCH(orders!I$1,products!$A$1:$G$1,0))</f>
        <v>M</v>
      </c>
      <c r="J479" s="5">
        <f>INDEX(products!$A$1:$G$49,MATCH(orders!$D479,products!$A$1:$A$49,0),MATCH(orders!J$1,products!$A$1:$G$1,0))</f>
        <v>0.2</v>
      </c>
      <c r="K479" s="6">
        <f>INDEX(products!$A$1:$G$49,MATCH(orders!$D479,products!$A$1:$A$49,0),MATCH(orders!K$1,products!$A$1:$G$1,0))</f>
        <v>4.3650000000000002</v>
      </c>
      <c r="L479" s="6">
        <f>K479*E479</f>
        <v>26.19</v>
      </c>
      <c r="M479" t="str" cm="1">
        <f t="array" ref="M479">_xlfn.IFS(H479="Rob","Robusta",H479="Exc","Excelsa",H479="Ara","Arabica",H479="Lib","Liberica")</f>
        <v>Liberica</v>
      </c>
      <c r="N479" t="str" cm="1">
        <f t="array" ref="N479">_xlfn.IFS(I479="M","Medium",I479="L","Light",I479="D","Dark")</f>
        <v>Medium</v>
      </c>
      <c r="O479" t="str">
        <f>_xlfn.XLOOKUP(Orders[[#This Row],[Customer ID]],customers!$A$2:$A$1001,customers!$I$2:$I$1001,,0)</f>
        <v>No</v>
      </c>
    </row>
    <row r="480" spans="1:15" x14ac:dyDescent="0.3">
      <c r="A480" s="2" t="s">
        <v>3193</v>
      </c>
      <c r="B480" s="3">
        <v>43624</v>
      </c>
      <c r="C480" s="2" t="s">
        <v>3194</v>
      </c>
      <c r="D480" t="s">
        <v>6177</v>
      </c>
      <c r="E480" s="2">
        <v>6</v>
      </c>
      <c r="F480" s="2" t="str">
        <f>_xlfn.XLOOKUP(C480,customers!$A$2:$A$1001,customers!$B$2:$B$1001,,0)</f>
        <v>Ailey Brash</v>
      </c>
      <c r="G480" s="2" t="str">
        <f>_xlfn.XLOOKUP(C480,customers!$A$2:$A$1001,customers!$G$2:$G$1001,,0)</f>
        <v>United States</v>
      </c>
      <c r="H480" t="str">
        <f>INDEX(products!$A$1:$G$49,MATCH(orders!$D480,products!$A$1:$A$49,0),MATCH(orders!H$1,products!$A$1:$G$1,0))</f>
        <v>Rob</v>
      </c>
      <c r="I480" t="str">
        <f>INDEX(products!$A$1:$G$49,MATCH(orders!$D480,products!$A$1:$A$49,0),MATCH(orders!I$1,products!$A$1:$G$1,0))</f>
        <v>D</v>
      </c>
      <c r="J480" s="5">
        <f>INDEX(products!$A$1:$G$49,MATCH(orders!$D480,products!$A$1:$A$49,0),MATCH(orders!J$1,products!$A$1:$G$1,0))</f>
        <v>1</v>
      </c>
      <c r="K480" s="6">
        <f>INDEX(products!$A$1:$G$49,MATCH(orders!$D480,products!$A$1:$A$49,0),MATCH(orders!K$1,products!$A$1:$G$1,0))</f>
        <v>8.9499999999999993</v>
      </c>
      <c r="L480" s="6">
        <f>K480*E480</f>
        <v>53.699999999999996</v>
      </c>
      <c r="M480" t="str" cm="1">
        <f t="array" ref="M480">_xlfn.IFS(H480="Rob","Robusta",H480="Exc","Excelsa",H480="Ara","Arabica",H480="Lib","Liberica")</f>
        <v>Robusta</v>
      </c>
      <c r="N480" t="str" cm="1">
        <f t="array" ref="N480">_xlfn.IFS(I480="M","Medium",I480="L","Light",I480="D","Dark")</f>
        <v>Dark</v>
      </c>
      <c r="O480" t="str">
        <f>_xlfn.XLOOKUP(Orders[[#This Row],[Customer ID]],customers!$A$2:$A$1001,customers!$I$2:$I$1001,,0)</f>
        <v>Yes</v>
      </c>
    </row>
    <row r="481" spans="1:15" x14ac:dyDescent="0.3">
      <c r="A481" s="2" t="s">
        <v>3193</v>
      </c>
      <c r="B481" s="3">
        <v>43624</v>
      </c>
      <c r="C481" s="2" t="s">
        <v>3194</v>
      </c>
      <c r="D481" t="s">
        <v>6166</v>
      </c>
      <c r="E481" s="2">
        <v>4</v>
      </c>
      <c r="F481" s="2" t="str">
        <f>_xlfn.XLOOKUP(C481,customers!$A$2:$A$1001,customers!$B$2:$B$1001,,0)</f>
        <v>Ailey Brash</v>
      </c>
      <c r="G481" s="2" t="str">
        <f>_xlfn.XLOOKUP(C481,customers!$A$2:$A$1001,customers!$G$2:$G$1001,,0)</f>
        <v>United States</v>
      </c>
      <c r="H481" t="str">
        <f>INDEX(products!$A$1:$G$49,MATCH(orders!$D481,products!$A$1:$A$49,0),MATCH(orders!H$1,products!$A$1:$G$1,0))</f>
        <v>Exc</v>
      </c>
      <c r="I481" t="str">
        <f>INDEX(products!$A$1:$G$49,MATCH(orders!$D481,products!$A$1:$A$49,0),MATCH(orders!I$1,products!$A$1:$G$1,0))</f>
        <v>M</v>
      </c>
      <c r="J481" s="5">
        <f>INDEX(products!$A$1:$G$49,MATCH(orders!$D481,products!$A$1:$A$49,0),MATCH(orders!J$1,products!$A$1:$G$1,0))</f>
        <v>2.5</v>
      </c>
      <c r="K481" s="6">
        <f>INDEX(products!$A$1:$G$49,MATCH(orders!$D481,products!$A$1:$A$49,0),MATCH(orders!K$1,products!$A$1:$G$1,0))</f>
        <v>31.624999999999996</v>
      </c>
      <c r="L481" s="6">
        <f>K481*E481</f>
        <v>126.49999999999999</v>
      </c>
      <c r="M481" t="str" cm="1">
        <f t="array" ref="M481">_xlfn.IFS(H481="Rob","Robusta",H481="Exc","Excelsa",H481="Ara","Arabica",H481="Lib","Liberica")</f>
        <v>Excelsa</v>
      </c>
      <c r="N481" t="str" cm="1">
        <f t="array" ref="N481">_xlfn.IFS(I481="M","Medium",I481="L","Light",I481="D","Dark")</f>
        <v>Medium</v>
      </c>
      <c r="O481" t="str">
        <f>_xlfn.XLOOKUP(Orders[[#This Row],[Customer ID]],customers!$A$2:$A$1001,customers!$I$2:$I$1001,,0)</f>
        <v>Yes</v>
      </c>
    </row>
    <row r="482" spans="1:15" x14ac:dyDescent="0.3">
      <c r="A482" s="2" t="s">
        <v>3193</v>
      </c>
      <c r="B482" s="3">
        <v>43624</v>
      </c>
      <c r="C482" s="2" t="s">
        <v>3194</v>
      </c>
      <c r="D482" t="s">
        <v>6156</v>
      </c>
      <c r="E482" s="2">
        <v>1</v>
      </c>
      <c r="F482" s="2" t="str">
        <f>_xlfn.XLOOKUP(C482,customers!$A$2:$A$1001,customers!$B$2:$B$1001,,0)</f>
        <v>Ailey Brash</v>
      </c>
      <c r="G482" s="2" t="str">
        <f>_xlfn.XLOOKUP(C482,customers!$A$2:$A$1001,customers!$G$2:$G$1001,,0)</f>
        <v>United States</v>
      </c>
      <c r="H482" t="str">
        <f>INDEX(products!$A$1:$G$49,MATCH(orders!$D482,products!$A$1:$A$49,0),MATCH(orders!H$1,products!$A$1:$G$1,0))</f>
        <v>Exc</v>
      </c>
      <c r="I482" t="str">
        <f>INDEX(products!$A$1:$G$49,MATCH(orders!$D482,products!$A$1:$A$49,0),MATCH(orders!I$1,products!$A$1:$G$1,0))</f>
        <v>M</v>
      </c>
      <c r="J482" s="5">
        <f>INDEX(products!$A$1:$G$49,MATCH(orders!$D482,products!$A$1:$A$49,0),MATCH(orders!J$1,products!$A$1:$G$1,0))</f>
        <v>0.2</v>
      </c>
      <c r="K482" s="6">
        <f>INDEX(products!$A$1:$G$49,MATCH(orders!$D482,products!$A$1:$A$49,0),MATCH(orders!K$1,products!$A$1:$G$1,0))</f>
        <v>4.125</v>
      </c>
      <c r="L482" s="6">
        <f>K482*E482</f>
        <v>4.125</v>
      </c>
      <c r="M482" t="str" cm="1">
        <f t="array" ref="M482">_xlfn.IFS(H482="Rob","Robusta",H482="Exc","Excelsa",H482="Ara","Arabica",H482="Lib","Liberica")</f>
        <v>Excelsa</v>
      </c>
      <c r="N482" t="str" cm="1">
        <f t="array" ref="N482">_xlfn.IFS(I482="M","Medium",I482="L","Light",I482="D","Dark")</f>
        <v>Medium</v>
      </c>
      <c r="O482" t="str">
        <f>_xlfn.XLOOKUP(Orders[[#This Row],[Customer ID]],customers!$A$2:$A$1001,customers!$I$2:$I$1001,,0)</f>
        <v>Yes</v>
      </c>
    </row>
    <row r="483" spans="1:15" x14ac:dyDescent="0.3">
      <c r="A483" s="2" t="s">
        <v>3208</v>
      </c>
      <c r="B483" s="3">
        <v>43747</v>
      </c>
      <c r="C483" s="2" t="s">
        <v>3209</v>
      </c>
      <c r="D483" t="s">
        <v>6179</v>
      </c>
      <c r="E483" s="2">
        <v>2</v>
      </c>
      <c r="F483" s="2" t="str">
        <f>_xlfn.XLOOKUP(C483,customers!$A$2:$A$1001,customers!$B$2:$B$1001,,0)</f>
        <v>Nanny Izhakov</v>
      </c>
      <c r="G483" s="2" t="str">
        <f>_xlfn.XLOOKUP(C483,customers!$A$2:$A$1001,customers!$G$2:$G$1001,,0)</f>
        <v>United Kingdom</v>
      </c>
      <c r="H483" t="str">
        <f>INDEX(products!$A$1:$G$49,MATCH(orders!$D483,products!$A$1:$A$49,0),MATCH(orders!H$1,products!$A$1:$G$1,0))</f>
        <v>Rob</v>
      </c>
      <c r="I483" t="str">
        <f>INDEX(products!$A$1:$G$49,MATCH(orders!$D483,products!$A$1:$A$49,0),MATCH(orders!I$1,products!$A$1:$G$1,0))</f>
        <v>L</v>
      </c>
      <c r="J483" s="5">
        <f>INDEX(products!$A$1:$G$49,MATCH(orders!$D483,products!$A$1:$A$49,0),MATCH(orders!J$1,products!$A$1:$G$1,0))</f>
        <v>1</v>
      </c>
      <c r="K483" s="6">
        <f>INDEX(products!$A$1:$G$49,MATCH(orders!$D483,products!$A$1:$A$49,0),MATCH(orders!K$1,products!$A$1:$G$1,0))</f>
        <v>11.95</v>
      </c>
      <c r="L483" s="6">
        <f>K483*E483</f>
        <v>23.9</v>
      </c>
      <c r="M483" t="str" cm="1">
        <f t="array" ref="M483">_xlfn.IFS(H483="Rob","Robusta",H483="Exc","Excelsa",H483="Ara","Arabica",H483="Lib","Liberica")</f>
        <v>Robusta</v>
      </c>
      <c r="N483" t="str" cm="1">
        <f t="array" ref="N483">_xlfn.IFS(I483="M","Medium",I483="L","Light",I483="D","Dark")</f>
        <v>Light</v>
      </c>
      <c r="O483" t="str">
        <f>_xlfn.XLOOKUP(Orders[[#This Row],[Customer ID]],customers!$A$2:$A$1001,customers!$I$2:$I$1001,,0)</f>
        <v>No</v>
      </c>
    </row>
    <row r="484" spans="1:15" x14ac:dyDescent="0.3">
      <c r="A484" s="2" t="s">
        <v>3214</v>
      </c>
      <c r="B484" s="3">
        <v>44247</v>
      </c>
      <c r="C484" s="2" t="s">
        <v>3215</v>
      </c>
      <c r="D484" t="s">
        <v>6185</v>
      </c>
      <c r="E484" s="2">
        <v>5</v>
      </c>
      <c r="F484" s="2" t="str">
        <f>_xlfn.XLOOKUP(C484,customers!$A$2:$A$1001,customers!$B$2:$B$1001,,0)</f>
        <v>Stanly Keets</v>
      </c>
      <c r="G484" s="2" t="str">
        <f>_xlfn.XLOOKUP(C484,customers!$A$2:$A$1001,customers!$G$2:$G$1001,,0)</f>
        <v>United States</v>
      </c>
      <c r="H484" t="str">
        <f>INDEX(products!$A$1:$G$49,MATCH(orders!$D484,products!$A$1:$A$49,0),MATCH(orders!H$1,products!$A$1:$G$1,0))</f>
        <v>Exc</v>
      </c>
      <c r="I484" t="str">
        <f>INDEX(products!$A$1:$G$49,MATCH(orders!$D484,products!$A$1:$A$49,0),MATCH(orders!I$1,products!$A$1:$G$1,0))</f>
        <v>D</v>
      </c>
      <c r="J484" s="5">
        <f>INDEX(products!$A$1:$G$49,MATCH(orders!$D484,products!$A$1:$A$49,0),MATCH(orders!J$1,products!$A$1:$G$1,0))</f>
        <v>2.5</v>
      </c>
      <c r="K484" s="6">
        <f>INDEX(products!$A$1:$G$49,MATCH(orders!$D484,products!$A$1:$A$49,0),MATCH(orders!K$1,products!$A$1:$G$1,0))</f>
        <v>27.945</v>
      </c>
      <c r="L484" s="6">
        <f>K484*E484</f>
        <v>139.72499999999999</v>
      </c>
      <c r="M484" t="str" cm="1">
        <f t="array" ref="M484">_xlfn.IFS(H484="Rob","Robusta",H484="Exc","Excelsa",H484="Ara","Arabica",H484="Lib","Liberica")</f>
        <v>Excelsa</v>
      </c>
      <c r="N484" t="str" cm="1">
        <f t="array" ref="N484">_xlfn.IFS(I484="M","Medium",I484="L","Light",I484="D","Dark")</f>
        <v>Dark</v>
      </c>
      <c r="O484" t="str">
        <f>_xlfn.XLOOKUP(Orders[[#This Row],[Customer ID]],customers!$A$2:$A$1001,customers!$I$2:$I$1001,,0)</f>
        <v>Yes</v>
      </c>
    </row>
    <row r="485" spans="1:15" x14ac:dyDescent="0.3">
      <c r="A485" s="2" t="s">
        <v>3220</v>
      </c>
      <c r="B485" s="3">
        <v>43790</v>
      </c>
      <c r="C485" s="2" t="s">
        <v>3221</v>
      </c>
      <c r="D485" t="s">
        <v>6165</v>
      </c>
      <c r="E485" s="2">
        <v>2</v>
      </c>
      <c r="F485" s="2" t="str">
        <f>_xlfn.XLOOKUP(C485,customers!$A$2:$A$1001,customers!$B$2:$B$1001,,0)</f>
        <v>Orion Dyott</v>
      </c>
      <c r="G485" s="2" t="str">
        <f>_xlfn.XLOOKUP(C485,customers!$A$2:$A$1001,customers!$G$2:$G$1001,,0)</f>
        <v>United States</v>
      </c>
      <c r="H485" t="str">
        <f>INDEX(products!$A$1:$G$49,MATCH(orders!$D485,products!$A$1:$A$49,0),MATCH(orders!H$1,products!$A$1:$G$1,0))</f>
        <v>Lib</v>
      </c>
      <c r="I485" t="str">
        <f>INDEX(products!$A$1:$G$49,MATCH(orders!$D485,products!$A$1:$A$49,0),MATCH(orders!I$1,products!$A$1:$G$1,0))</f>
        <v>D</v>
      </c>
      <c r="J485" s="5">
        <f>INDEX(products!$A$1:$G$49,MATCH(orders!$D485,products!$A$1:$A$49,0),MATCH(orders!J$1,products!$A$1:$G$1,0))</f>
        <v>2.5</v>
      </c>
      <c r="K485" s="6">
        <f>INDEX(products!$A$1:$G$49,MATCH(orders!$D485,products!$A$1:$A$49,0),MATCH(orders!K$1,products!$A$1:$G$1,0))</f>
        <v>29.784999999999997</v>
      </c>
      <c r="L485" s="6">
        <f>K485*E485</f>
        <v>59.569999999999993</v>
      </c>
      <c r="M485" t="str" cm="1">
        <f t="array" ref="M485">_xlfn.IFS(H485="Rob","Robusta",H485="Exc","Excelsa",H485="Ara","Arabica",H485="Lib","Liberica")</f>
        <v>Liberica</v>
      </c>
      <c r="N485" t="str" cm="1">
        <f t="array" ref="N485">_xlfn.IFS(I485="M","Medium",I485="L","Light",I485="D","Dark")</f>
        <v>Dark</v>
      </c>
      <c r="O485" t="str">
        <f>_xlfn.XLOOKUP(Orders[[#This Row],[Customer ID]],customers!$A$2:$A$1001,customers!$I$2:$I$1001,,0)</f>
        <v>Yes</v>
      </c>
    </row>
    <row r="486" spans="1:15" x14ac:dyDescent="0.3">
      <c r="A486" s="2" t="s">
        <v>3225</v>
      </c>
      <c r="B486" s="3">
        <v>44479</v>
      </c>
      <c r="C486" s="2" t="s">
        <v>3226</v>
      </c>
      <c r="D486" t="s">
        <v>6161</v>
      </c>
      <c r="E486" s="2">
        <v>6</v>
      </c>
      <c r="F486" s="2" t="str">
        <f>_xlfn.XLOOKUP(C486,customers!$A$2:$A$1001,customers!$B$2:$B$1001,,0)</f>
        <v>Keefer Cake</v>
      </c>
      <c r="G486" s="2" t="str">
        <f>_xlfn.XLOOKUP(C486,customers!$A$2:$A$1001,customers!$G$2:$G$1001,,0)</f>
        <v>United States</v>
      </c>
      <c r="H486" t="str">
        <f>INDEX(products!$A$1:$G$49,MATCH(orders!$D486,products!$A$1:$A$49,0),MATCH(orders!H$1,products!$A$1:$G$1,0))</f>
        <v>Lib</v>
      </c>
      <c r="I486" t="str">
        <f>INDEX(products!$A$1:$G$49,MATCH(orders!$D486,products!$A$1:$A$49,0),MATCH(orders!I$1,products!$A$1:$G$1,0))</f>
        <v>L</v>
      </c>
      <c r="J486" s="5">
        <f>INDEX(products!$A$1:$G$49,MATCH(orders!$D486,products!$A$1:$A$49,0),MATCH(orders!J$1,products!$A$1:$G$1,0))</f>
        <v>0.5</v>
      </c>
      <c r="K486" s="6">
        <f>INDEX(products!$A$1:$G$49,MATCH(orders!$D486,products!$A$1:$A$49,0),MATCH(orders!K$1,products!$A$1:$G$1,0))</f>
        <v>9.51</v>
      </c>
      <c r="L486" s="6">
        <f>K486*E486</f>
        <v>57.06</v>
      </c>
      <c r="M486" t="str" cm="1">
        <f t="array" ref="M486">_xlfn.IFS(H486="Rob","Robusta",H486="Exc","Excelsa",H486="Ara","Arabica",H486="Lib","Liberica")</f>
        <v>Liberica</v>
      </c>
      <c r="N486" t="str" cm="1">
        <f t="array" ref="N486">_xlfn.IFS(I486="M","Medium",I486="L","Light",I486="D","Dark")</f>
        <v>Light</v>
      </c>
      <c r="O486" t="str">
        <f>_xlfn.XLOOKUP(Orders[[#This Row],[Customer ID]],customers!$A$2:$A$1001,customers!$I$2:$I$1001,,0)</f>
        <v>No</v>
      </c>
    </row>
    <row r="487" spans="1:15" x14ac:dyDescent="0.3">
      <c r="A487" s="2" t="s">
        <v>3230</v>
      </c>
      <c r="B487" s="3">
        <v>44413</v>
      </c>
      <c r="C487" s="2" t="s">
        <v>3231</v>
      </c>
      <c r="D487" t="s">
        <v>6178</v>
      </c>
      <c r="E487" s="2">
        <v>6</v>
      </c>
      <c r="F487" s="2" t="str">
        <f>_xlfn.XLOOKUP(C487,customers!$A$2:$A$1001,customers!$B$2:$B$1001,,0)</f>
        <v>Morna Hansed</v>
      </c>
      <c r="G487" s="2" t="str">
        <f>_xlfn.XLOOKUP(C487,customers!$A$2:$A$1001,customers!$G$2:$G$1001,,0)</f>
        <v>Ireland</v>
      </c>
      <c r="H487" t="str">
        <f>INDEX(products!$A$1:$G$49,MATCH(orders!$D487,products!$A$1:$A$49,0),MATCH(orders!H$1,products!$A$1:$G$1,0))</f>
        <v>Rob</v>
      </c>
      <c r="I487" t="str">
        <f>INDEX(products!$A$1:$G$49,MATCH(orders!$D487,products!$A$1:$A$49,0),MATCH(orders!I$1,products!$A$1:$G$1,0))</f>
        <v>L</v>
      </c>
      <c r="J487" s="5">
        <f>INDEX(products!$A$1:$G$49,MATCH(orders!$D487,products!$A$1:$A$49,0),MATCH(orders!J$1,products!$A$1:$G$1,0))</f>
        <v>0.2</v>
      </c>
      <c r="K487" s="6">
        <f>INDEX(products!$A$1:$G$49,MATCH(orders!$D487,products!$A$1:$A$49,0),MATCH(orders!K$1,products!$A$1:$G$1,0))</f>
        <v>3.5849999999999995</v>
      </c>
      <c r="L487" s="6">
        <f>K487*E487</f>
        <v>21.509999999999998</v>
      </c>
      <c r="M487" t="str" cm="1">
        <f t="array" ref="M487">_xlfn.IFS(H487="Rob","Robusta",H487="Exc","Excelsa",H487="Ara","Arabica",H487="Lib","Liberica")</f>
        <v>Robusta</v>
      </c>
      <c r="N487" t="str" cm="1">
        <f t="array" ref="N487">_xlfn.IFS(I487="M","Medium",I487="L","Light",I487="D","Dark")</f>
        <v>Light</v>
      </c>
      <c r="O487" t="str">
        <f>_xlfn.XLOOKUP(Orders[[#This Row],[Customer ID]],customers!$A$2:$A$1001,customers!$I$2:$I$1001,,0)</f>
        <v>Yes</v>
      </c>
    </row>
    <row r="488" spans="1:15" x14ac:dyDescent="0.3">
      <c r="A488" s="2" t="s">
        <v>3236</v>
      </c>
      <c r="B488" s="3">
        <v>44043</v>
      </c>
      <c r="C488" s="2" t="s">
        <v>3237</v>
      </c>
      <c r="D488" t="s">
        <v>6160</v>
      </c>
      <c r="E488" s="2">
        <v>6</v>
      </c>
      <c r="F488" s="2" t="str">
        <f>_xlfn.XLOOKUP(C488,customers!$A$2:$A$1001,customers!$B$2:$B$1001,,0)</f>
        <v>Franny Kienlein</v>
      </c>
      <c r="G488" s="2" t="str">
        <f>_xlfn.XLOOKUP(C488,customers!$A$2:$A$1001,customers!$G$2:$G$1001,,0)</f>
        <v>Ireland</v>
      </c>
      <c r="H488" t="str">
        <f>INDEX(products!$A$1:$G$49,MATCH(orders!$D488,products!$A$1:$A$49,0),MATCH(orders!H$1,products!$A$1:$G$1,0))</f>
        <v>Lib</v>
      </c>
      <c r="I488" t="str">
        <f>INDEX(products!$A$1:$G$49,MATCH(orders!$D488,products!$A$1:$A$49,0),MATCH(orders!I$1,products!$A$1:$G$1,0))</f>
        <v>M</v>
      </c>
      <c r="J488" s="5">
        <f>INDEX(products!$A$1:$G$49,MATCH(orders!$D488,products!$A$1:$A$49,0),MATCH(orders!J$1,products!$A$1:$G$1,0))</f>
        <v>0.5</v>
      </c>
      <c r="K488" s="6">
        <f>INDEX(products!$A$1:$G$49,MATCH(orders!$D488,products!$A$1:$A$49,0),MATCH(orders!K$1,products!$A$1:$G$1,0))</f>
        <v>8.73</v>
      </c>
      <c r="L488" s="6">
        <f>K488*E488</f>
        <v>52.38</v>
      </c>
      <c r="M488" t="str" cm="1">
        <f t="array" ref="M488">_xlfn.IFS(H488="Rob","Robusta",H488="Exc","Excelsa",H488="Ara","Arabica",H488="Lib","Liberica")</f>
        <v>Liberica</v>
      </c>
      <c r="N488" t="str" cm="1">
        <f t="array" ref="N488">_xlfn.IFS(I488="M","Medium",I488="L","Light",I488="D","Dark")</f>
        <v>Medium</v>
      </c>
      <c r="O488" t="str">
        <f>_xlfn.XLOOKUP(Orders[[#This Row],[Customer ID]],customers!$A$2:$A$1001,customers!$I$2:$I$1001,,0)</f>
        <v>Yes</v>
      </c>
    </row>
    <row r="489" spans="1:15" x14ac:dyDescent="0.3">
      <c r="A489" s="2" t="s">
        <v>3242</v>
      </c>
      <c r="B489" s="3">
        <v>44093</v>
      </c>
      <c r="C489" s="2" t="s">
        <v>3243</v>
      </c>
      <c r="D489" t="s">
        <v>6183</v>
      </c>
      <c r="E489" s="2">
        <v>6</v>
      </c>
      <c r="F489" s="2" t="str">
        <f>_xlfn.XLOOKUP(C489,customers!$A$2:$A$1001,customers!$B$2:$B$1001,,0)</f>
        <v>Klarika Egglestone</v>
      </c>
      <c r="G489" s="2" t="str">
        <f>_xlfn.XLOOKUP(C489,customers!$A$2:$A$1001,customers!$G$2:$G$1001,,0)</f>
        <v>Ireland</v>
      </c>
      <c r="H489" t="str">
        <f>INDEX(products!$A$1:$G$49,MATCH(orders!$D489,products!$A$1:$A$49,0),MATCH(orders!H$1,products!$A$1:$G$1,0))</f>
        <v>Exc</v>
      </c>
      <c r="I489" t="str">
        <f>INDEX(products!$A$1:$G$49,MATCH(orders!$D489,products!$A$1:$A$49,0),MATCH(orders!I$1,products!$A$1:$G$1,0))</f>
        <v>D</v>
      </c>
      <c r="J489" s="5">
        <f>INDEX(products!$A$1:$G$49,MATCH(orders!$D489,products!$A$1:$A$49,0),MATCH(orders!J$1,products!$A$1:$G$1,0))</f>
        <v>1</v>
      </c>
      <c r="K489" s="6">
        <f>INDEX(products!$A$1:$G$49,MATCH(orders!$D489,products!$A$1:$A$49,0),MATCH(orders!K$1,products!$A$1:$G$1,0))</f>
        <v>12.15</v>
      </c>
      <c r="L489" s="6">
        <f>K489*E489</f>
        <v>72.900000000000006</v>
      </c>
      <c r="M489" t="str" cm="1">
        <f t="array" ref="M489">_xlfn.IFS(H489="Rob","Robusta",H489="Exc","Excelsa",H489="Ara","Arabica",H489="Lib","Liberica")</f>
        <v>Excelsa</v>
      </c>
      <c r="N489" t="str" cm="1">
        <f t="array" ref="N489">_xlfn.IFS(I489="M","Medium",I489="L","Light",I489="D","Dark")</f>
        <v>Dark</v>
      </c>
      <c r="O489" t="str">
        <f>_xlfn.XLOOKUP(Orders[[#This Row],[Customer ID]],customers!$A$2:$A$1001,customers!$I$2:$I$1001,,0)</f>
        <v>No</v>
      </c>
    </row>
    <row r="490" spans="1:15" x14ac:dyDescent="0.3">
      <c r="A490" s="2" t="s">
        <v>3248</v>
      </c>
      <c r="B490" s="3">
        <v>43954</v>
      </c>
      <c r="C490" s="2" t="s">
        <v>3249</v>
      </c>
      <c r="D490" t="s">
        <v>6174</v>
      </c>
      <c r="E490" s="2">
        <v>5</v>
      </c>
      <c r="F490" s="2" t="str">
        <f>_xlfn.XLOOKUP(C490,customers!$A$2:$A$1001,customers!$B$2:$B$1001,,0)</f>
        <v>Becky Semkins</v>
      </c>
      <c r="G490" s="2" t="str">
        <f>_xlfn.XLOOKUP(C490,customers!$A$2:$A$1001,customers!$G$2:$G$1001,,0)</f>
        <v>Ireland</v>
      </c>
      <c r="H490" t="str">
        <f>INDEX(products!$A$1:$G$49,MATCH(orders!$D490,products!$A$1:$A$49,0),MATCH(orders!H$1,products!$A$1:$G$1,0))</f>
        <v>Rob</v>
      </c>
      <c r="I490" t="str">
        <f>INDEX(products!$A$1:$G$49,MATCH(orders!$D490,products!$A$1:$A$49,0),MATCH(orders!I$1,products!$A$1:$G$1,0))</f>
        <v>M</v>
      </c>
      <c r="J490" s="5">
        <f>INDEX(products!$A$1:$G$49,MATCH(orders!$D490,products!$A$1:$A$49,0),MATCH(orders!J$1,products!$A$1:$G$1,0))</f>
        <v>0.2</v>
      </c>
      <c r="K490" s="6">
        <f>INDEX(products!$A$1:$G$49,MATCH(orders!$D490,products!$A$1:$A$49,0),MATCH(orders!K$1,products!$A$1:$G$1,0))</f>
        <v>2.9849999999999999</v>
      </c>
      <c r="L490" s="6">
        <f>K490*E490</f>
        <v>14.924999999999999</v>
      </c>
      <c r="M490" t="str" cm="1">
        <f t="array" ref="M490">_xlfn.IFS(H490="Rob","Robusta",H490="Exc","Excelsa",H490="Ara","Arabica",H490="Lib","Liberica")</f>
        <v>Robusta</v>
      </c>
      <c r="N490" t="str" cm="1">
        <f t="array" ref="N490">_xlfn.IFS(I490="M","Medium",I490="L","Light",I490="D","Dark")</f>
        <v>Medium</v>
      </c>
      <c r="O490" t="str">
        <f>_xlfn.XLOOKUP(Orders[[#This Row],[Customer ID]],customers!$A$2:$A$1001,customers!$I$2:$I$1001,,0)</f>
        <v>Yes</v>
      </c>
    </row>
    <row r="491" spans="1:15" x14ac:dyDescent="0.3">
      <c r="A491" s="2" t="s">
        <v>3254</v>
      </c>
      <c r="B491" s="3">
        <v>43654</v>
      </c>
      <c r="C491" s="2" t="s">
        <v>3255</v>
      </c>
      <c r="D491" t="s">
        <v>6170</v>
      </c>
      <c r="E491" s="2">
        <v>6</v>
      </c>
      <c r="F491" s="2" t="str">
        <f>_xlfn.XLOOKUP(C491,customers!$A$2:$A$1001,customers!$B$2:$B$1001,,0)</f>
        <v>Sean Lorenzetti</v>
      </c>
      <c r="G491" s="2" t="str">
        <f>_xlfn.XLOOKUP(C491,customers!$A$2:$A$1001,customers!$G$2:$G$1001,,0)</f>
        <v>United States</v>
      </c>
      <c r="H491" t="str">
        <f>INDEX(products!$A$1:$G$49,MATCH(orders!$D491,products!$A$1:$A$49,0),MATCH(orders!H$1,products!$A$1:$G$1,0))</f>
        <v>Lib</v>
      </c>
      <c r="I491" t="str">
        <f>INDEX(products!$A$1:$G$49,MATCH(orders!$D491,products!$A$1:$A$49,0),MATCH(orders!I$1,products!$A$1:$G$1,0))</f>
        <v>L</v>
      </c>
      <c r="J491" s="5">
        <f>INDEX(products!$A$1:$G$49,MATCH(orders!$D491,products!$A$1:$A$49,0),MATCH(orders!J$1,products!$A$1:$G$1,0))</f>
        <v>1</v>
      </c>
      <c r="K491" s="6">
        <f>INDEX(products!$A$1:$G$49,MATCH(orders!$D491,products!$A$1:$A$49,0),MATCH(orders!K$1,products!$A$1:$G$1,0))</f>
        <v>15.85</v>
      </c>
      <c r="L491" s="6">
        <f>K491*E491</f>
        <v>95.1</v>
      </c>
      <c r="M491" t="str" cm="1">
        <f t="array" ref="M491">_xlfn.IFS(H491="Rob","Robusta",H491="Exc","Excelsa",H491="Ara","Arabica",H491="Lib","Liberica")</f>
        <v>Liberica</v>
      </c>
      <c r="N491" t="str" cm="1">
        <f t="array" ref="N491">_xlfn.IFS(I491="M","Medium",I491="L","Light",I491="D","Dark")</f>
        <v>Light</v>
      </c>
      <c r="O491" t="str">
        <f>_xlfn.XLOOKUP(Orders[[#This Row],[Customer ID]],customers!$A$2:$A$1001,customers!$I$2:$I$1001,,0)</f>
        <v>No</v>
      </c>
    </row>
    <row r="492" spans="1:15" x14ac:dyDescent="0.3">
      <c r="A492" s="2" t="s">
        <v>3260</v>
      </c>
      <c r="B492" s="3">
        <v>43764</v>
      </c>
      <c r="C492" s="2" t="s">
        <v>3261</v>
      </c>
      <c r="D492" t="s">
        <v>6169</v>
      </c>
      <c r="E492" s="2">
        <v>2</v>
      </c>
      <c r="F492" s="2" t="str">
        <f>_xlfn.XLOOKUP(C492,customers!$A$2:$A$1001,customers!$B$2:$B$1001,,0)</f>
        <v>Bob Giannazzi</v>
      </c>
      <c r="G492" s="2" t="str">
        <f>_xlfn.XLOOKUP(C492,customers!$A$2:$A$1001,customers!$G$2:$G$1001,,0)</f>
        <v>United States</v>
      </c>
      <c r="H492" t="str">
        <f>INDEX(products!$A$1:$G$49,MATCH(orders!$D492,products!$A$1:$A$49,0),MATCH(orders!H$1,products!$A$1:$G$1,0))</f>
        <v>Lib</v>
      </c>
      <c r="I492" t="str">
        <f>INDEX(products!$A$1:$G$49,MATCH(orders!$D492,products!$A$1:$A$49,0),MATCH(orders!I$1,products!$A$1:$G$1,0))</f>
        <v>D</v>
      </c>
      <c r="J492" s="5">
        <f>INDEX(products!$A$1:$G$49,MATCH(orders!$D492,products!$A$1:$A$49,0),MATCH(orders!J$1,products!$A$1:$G$1,0))</f>
        <v>0.5</v>
      </c>
      <c r="K492" s="6">
        <f>INDEX(products!$A$1:$G$49,MATCH(orders!$D492,products!$A$1:$A$49,0),MATCH(orders!K$1,products!$A$1:$G$1,0))</f>
        <v>7.77</v>
      </c>
      <c r="L492" s="6">
        <f>K492*E492</f>
        <v>15.54</v>
      </c>
      <c r="M492" t="str" cm="1">
        <f t="array" ref="M492">_xlfn.IFS(H492="Rob","Robusta",H492="Exc","Excelsa",H492="Ara","Arabica",H492="Lib","Liberica")</f>
        <v>Liberica</v>
      </c>
      <c r="N492" t="str" cm="1">
        <f t="array" ref="N492">_xlfn.IFS(I492="M","Medium",I492="L","Light",I492="D","Dark")</f>
        <v>Dark</v>
      </c>
      <c r="O492" t="str">
        <f>_xlfn.XLOOKUP(Orders[[#This Row],[Customer ID]],customers!$A$2:$A$1001,customers!$I$2:$I$1001,,0)</f>
        <v>No</v>
      </c>
    </row>
    <row r="493" spans="1:15" x14ac:dyDescent="0.3">
      <c r="A493" s="2" t="s">
        <v>3266</v>
      </c>
      <c r="B493" s="3">
        <v>44101</v>
      </c>
      <c r="C493" s="2" t="s">
        <v>3267</v>
      </c>
      <c r="D493" t="s">
        <v>6150</v>
      </c>
      <c r="E493" s="2">
        <v>6</v>
      </c>
      <c r="F493" s="2" t="str">
        <f>_xlfn.XLOOKUP(C493,customers!$A$2:$A$1001,customers!$B$2:$B$1001,,0)</f>
        <v>Kendra Backshell</v>
      </c>
      <c r="G493" s="2" t="str">
        <f>_xlfn.XLOOKUP(C493,customers!$A$2:$A$1001,customers!$G$2:$G$1001,,0)</f>
        <v>United States</v>
      </c>
      <c r="H493" t="str">
        <f>INDEX(products!$A$1:$G$49,MATCH(orders!$D493,products!$A$1:$A$49,0),MATCH(orders!H$1,products!$A$1:$G$1,0))</f>
        <v>Lib</v>
      </c>
      <c r="I493" t="str">
        <f>INDEX(products!$A$1:$G$49,MATCH(orders!$D493,products!$A$1:$A$49,0),MATCH(orders!I$1,products!$A$1:$G$1,0))</f>
        <v>D</v>
      </c>
      <c r="J493" s="5">
        <f>INDEX(products!$A$1:$G$49,MATCH(orders!$D493,products!$A$1:$A$49,0),MATCH(orders!J$1,products!$A$1:$G$1,0))</f>
        <v>0.2</v>
      </c>
      <c r="K493" s="6">
        <f>INDEX(products!$A$1:$G$49,MATCH(orders!$D493,products!$A$1:$A$49,0),MATCH(orders!K$1,products!$A$1:$G$1,0))</f>
        <v>3.8849999999999998</v>
      </c>
      <c r="L493" s="6">
        <f>K493*E493</f>
        <v>23.31</v>
      </c>
      <c r="M493" t="str" cm="1">
        <f t="array" ref="M493">_xlfn.IFS(H493="Rob","Robusta",H493="Exc","Excelsa",H493="Ara","Arabica",H493="Lib","Liberica")</f>
        <v>Liberica</v>
      </c>
      <c r="N493" t="str" cm="1">
        <f t="array" ref="N493">_xlfn.IFS(I493="M","Medium",I493="L","Light",I493="D","Dark")</f>
        <v>Dark</v>
      </c>
      <c r="O493" t="str">
        <f>_xlfn.XLOOKUP(Orders[[#This Row],[Customer ID]],customers!$A$2:$A$1001,customers!$I$2:$I$1001,,0)</f>
        <v>No</v>
      </c>
    </row>
    <row r="494" spans="1:15" x14ac:dyDescent="0.3">
      <c r="A494" s="2" t="s">
        <v>3271</v>
      </c>
      <c r="B494" s="3">
        <v>44620</v>
      </c>
      <c r="C494" s="2" t="s">
        <v>3272</v>
      </c>
      <c r="D494" t="s">
        <v>6156</v>
      </c>
      <c r="E494" s="2">
        <v>1</v>
      </c>
      <c r="F494" s="2" t="str">
        <f>_xlfn.XLOOKUP(C494,customers!$A$2:$A$1001,customers!$B$2:$B$1001,,0)</f>
        <v>Uriah Lethbrig</v>
      </c>
      <c r="G494" s="2" t="str">
        <f>_xlfn.XLOOKUP(C494,customers!$A$2:$A$1001,customers!$G$2:$G$1001,,0)</f>
        <v>United States</v>
      </c>
      <c r="H494" t="str">
        <f>INDEX(products!$A$1:$G$49,MATCH(orders!$D494,products!$A$1:$A$49,0),MATCH(orders!H$1,products!$A$1:$G$1,0))</f>
        <v>Exc</v>
      </c>
      <c r="I494" t="str">
        <f>INDEX(products!$A$1:$G$49,MATCH(orders!$D494,products!$A$1:$A$49,0),MATCH(orders!I$1,products!$A$1:$G$1,0))</f>
        <v>M</v>
      </c>
      <c r="J494" s="5">
        <f>INDEX(products!$A$1:$G$49,MATCH(orders!$D494,products!$A$1:$A$49,0),MATCH(orders!J$1,products!$A$1:$G$1,0))</f>
        <v>0.2</v>
      </c>
      <c r="K494" s="6">
        <f>INDEX(products!$A$1:$G$49,MATCH(orders!$D494,products!$A$1:$A$49,0),MATCH(orders!K$1,products!$A$1:$G$1,0))</f>
        <v>4.125</v>
      </c>
      <c r="L494" s="6">
        <f>K494*E494</f>
        <v>4.125</v>
      </c>
      <c r="M494" t="str" cm="1">
        <f t="array" ref="M494">_xlfn.IFS(H494="Rob","Robusta",H494="Exc","Excelsa",H494="Ara","Arabica",H494="Lib","Liberica")</f>
        <v>Excelsa</v>
      </c>
      <c r="N494" t="str" cm="1">
        <f t="array" ref="N494">_xlfn.IFS(I494="M","Medium",I494="L","Light",I494="D","Dark")</f>
        <v>Medium</v>
      </c>
      <c r="O494" t="str">
        <f>_xlfn.XLOOKUP(Orders[[#This Row],[Customer ID]],customers!$A$2:$A$1001,customers!$I$2:$I$1001,,0)</f>
        <v>Yes</v>
      </c>
    </row>
    <row r="495" spans="1:15" x14ac:dyDescent="0.3">
      <c r="A495" s="2" t="s">
        <v>3277</v>
      </c>
      <c r="B495" s="3">
        <v>44090</v>
      </c>
      <c r="C495" s="2" t="s">
        <v>3278</v>
      </c>
      <c r="D495" t="s">
        <v>6146</v>
      </c>
      <c r="E495" s="2">
        <v>6</v>
      </c>
      <c r="F495" s="2" t="str">
        <f>_xlfn.XLOOKUP(C495,customers!$A$2:$A$1001,customers!$B$2:$B$1001,,0)</f>
        <v>Sky Farnish</v>
      </c>
      <c r="G495" s="2" t="str">
        <f>_xlfn.XLOOKUP(C495,customers!$A$2:$A$1001,customers!$G$2:$G$1001,,0)</f>
        <v>United Kingdom</v>
      </c>
      <c r="H495" t="str">
        <f>INDEX(products!$A$1:$G$49,MATCH(orders!$D495,products!$A$1:$A$49,0),MATCH(orders!H$1,products!$A$1:$G$1,0))</f>
        <v>Rob</v>
      </c>
      <c r="I495" t="str">
        <f>INDEX(products!$A$1:$G$49,MATCH(orders!$D495,products!$A$1:$A$49,0),MATCH(orders!I$1,products!$A$1:$G$1,0))</f>
        <v>M</v>
      </c>
      <c r="J495" s="5">
        <f>INDEX(products!$A$1:$G$49,MATCH(orders!$D495,products!$A$1:$A$49,0),MATCH(orders!J$1,products!$A$1:$G$1,0))</f>
        <v>0.5</v>
      </c>
      <c r="K495" s="6">
        <f>INDEX(products!$A$1:$G$49,MATCH(orders!$D495,products!$A$1:$A$49,0),MATCH(orders!K$1,products!$A$1:$G$1,0))</f>
        <v>5.97</v>
      </c>
      <c r="L495" s="6">
        <f>K495*E495</f>
        <v>35.82</v>
      </c>
      <c r="M495" t="str" cm="1">
        <f t="array" ref="M495">_xlfn.IFS(H495="Rob","Robusta",H495="Exc","Excelsa",H495="Ara","Arabica",H495="Lib","Liberica")</f>
        <v>Robusta</v>
      </c>
      <c r="N495" t="str" cm="1">
        <f t="array" ref="N495">_xlfn.IFS(I495="M","Medium",I495="L","Light",I495="D","Dark")</f>
        <v>Medium</v>
      </c>
      <c r="O495" t="str">
        <f>_xlfn.XLOOKUP(Orders[[#This Row],[Customer ID]],customers!$A$2:$A$1001,customers!$I$2:$I$1001,,0)</f>
        <v>No</v>
      </c>
    </row>
    <row r="496" spans="1:15" x14ac:dyDescent="0.3">
      <c r="A496" s="2" t="s">
        <v>3283</v>
      </c>
      <c r="B496" s="3">
        <v>44132</v>
      </c>
      <c r="C496" s="2" t="s">
        <v>3284</v>
      </c>
      <c r="D496" t="s">
        <v>6170</v>
      </c>
      <c r="E496" s="2">
        <v>2</v>
      </c>
      <c r="F496" s="2" t="str">
        <f>_xlfn.XLOOKUP(C496,customers!$A$2:$A$1001,customers!$B$2:$B$1001,,0)</f>
        <v>Felicia Jecock</v>
      </c>
      <c r="G496" s="2" t="str">
        <f>_xlfn.XLOOKUP(C496,customers!$A$2:$A$1001,customers!$G$2:$G$1001,,0)</f>
        <v>United States</v>
      </c>
      <c r="H496" t="str">
        <f>INDEX(products!$A$1:$G$49,MATCH(orders!$D496,products!$A$1:$A$49,0),MATCH(orders!H$1,products!$A$1:$G$1,0))</f>
        <v>Lib</v>
      </c>
      <c r="I496" t="str">
        <f>INDEX(products!$A$1:$G$49,MATCH(orders!$D496,products!$A$1:$A$49,0),MATCH(orders!I$1,products!$A$1:$G$1,0))</f>
        <v>L</v>
      </c>
      <c r="J496" s="5">
        <f>INDEX(products!$A$1:$G$49,MATCH(orders!$D496,products!$A$1:$A$49,0),MATCH(orders!J$1,products!$A$1:$G$1,0))</f>
        <v>1</v>
      </c>
      <c r="K496" s="6">
        <f>INDEX(products!$A$1:$G$49,MATCH(orders!$D496,products!$A$1:$A$49,0),MATCH(orders!K$1,products!$A$1:$G$1,0))</f>
        <v>15.85</v>
      </c>
      <c r="L496" s="6">
        <f>K496*E496</f>
        <v>31.7</v>
      </c>
      <c r="M496" t="str" cm="1">
        <f t="array" ref="M496">_xlfn.IFS(H496="Rob","Robusta",H496="Exc","Excelsa",H496="Ara","Arabica",H496="Lib","Liberica")</f>
        <v>Liberica</v>
      </c>
      <c r="N496" t="str" cm="1">
        <f t="array" ref="N496">_xlfn.IFS(I496="M","Medium",I496="L","Light",I496="D","Dark")</f>
        <v>Light</v>
      </c>
      <c r="O496" t="str">
        <f>_xlfn.XLOOKUP(Orders[[#This Row],[Customer ID]],customers!$A$2:$A$1001,customers!$I$2:$I$1001,,0)</f>
        <v>No</v>
      </c>
    </row>
    <row r="497" spans="1:15" x14ac:dyDescent="0.3">
      <c r="A497" s="2" t="s">
        <v>3289</v>
      </c>
      <c r="B497" s="3">
        <v>43710</v>
      </c>
      <c r="C497" s="2" t="s">
        <v>3290</v>
      </c>
      <c r="D497" t="s">
        <v>6170</v>
      </c>
      <c r="E497" s="2">
        <v>5</v>
      </c>
      <c r="F497" s="2" t="str">
        <f>_xlfn.XLOOKUP(C497,customers!$A$2:$A$1001,customers!$B$2:$B$1001,,0)</f>
        <v>Currey MacAllister</v>
      </c>
      <c r="G497" s="2" t="str">
        <f>_xlfn.XLOOKUP(C497,customers!$A$2:$A$1001,customers!$G$2:$G$1001,,0)</f>
        <v>United States</v>
      </c>
      <c r="H497" t="str">
        <f>INDEX(products!$A$1:$G$49,MATCH(orders!$D497,products!$A$1:$A$49,0),MATCH(orders!H$1,products!$A$1:$G$1,0))</f>
        <v>Lib</v>
      </c>
      <c r="I497" t="str">
        <f>INDEX(products!$A$1:$G$49,MATCH(orders!$D497,products!$A$1:$A$49,0),MATCH(orders!I$1,products!$A$1:$G$1,0))</f>
        <v>L</v>
      </c>
      <c r="J497" s="5">
        <f>INDEX(products!$A$1:$G$49,MATCH(orders!$D497,products!$A$1:$A$49,0),MATCH(orders!J$1,products!$A$1:$G$1,0))</f>
        <v>1</v>
      </c>
      <c r="K497" s="6">
        <f>INDEX(products!$A$1:$G$49,MATCH(orders!$D497,products!$A$1:$A$49,0),MATCH(orders!K$1,products!$A$1:$G$1,0))</f>
        <v>15.85</v>
      </c>
      <c r="L497" s="6">
        <f>K497*E497</f>
        <v>79.25</v>
      </c>
      <c r="M497" t="str" cm="1">
        <f t="array" ref="M497">_xlfn.IFS(H497="Rob","Robusta",H497="Exc","Excelsa",H497="Ara","Arabica",H497="Lib","Liberica")</f>
        <v>Liberica</v>
      </c>
      <c r="N497" t="str" cm="1">
        <f t="array" ref="N497">_xlfn.IFS(I497="M","Medium",I497="L","Light",I497="D","Dark")</f>
        <v>Light</v>
      </c>
      <c r="O497" t="str">
        <f>_xlfn.XLOOKUP(Orders[[#This Row],[Customer ID]],customers!$A$2:$A$1001,customers!$I$2:$I$1001,,0)</f>
        <v>Yes</v>
      </c>
    </row>
    <row r="498" spans="1:15" x14ac:dyDescent="0.3">
      <c r="A498" s="2" t="s">
        <v>3294</v>
      </c>
      <c r="B498" s="3">
        <v>44438</v>
      </c>
      <c r="C498" s="2" t="s">
        <v>3295</v>
      </c>
      <c r="D498" t="s">
        <v>6153</v>
      </c>
      <c r="E498" s="2">
        <v>3</v>
      </c>
      <c r="F498" s="2" t="str">
        <f>_xlfn.XLOOKUP(C498,customers!$A$2:$A$1001,customers!$B$2:$B$1001,,0)</f>
        <v>Hamlen Pallister</v>
      </c>
      <c r="G498" s="2" t="str">
        <f>_xlfn.XLOOKUP(C498,customers!$A$2:$A$1001,customers!$G$2:$G$1001,,0)</f>
        <v>United States</v>
      </c>
      <c r="H498" t="str">
        <f>INDEX(products!$A$1:$G$49,MATCH(orders!$D498,products!$A$1:$A$49,0),MATCH(orders!H$1,products!$A$1:$G$1,0))</f>
        <v>Exc</v>
      </c>
      <c r="I498" t="str">
        <f>INDEX(products!$A$1:$G$49,MATCH(orders!$D498,products!$A$1:$A$49,0),MATCH(orders!I$1,products!$A$1:$G$1,0))</f>
        <v>D</v>
      </c>
      <c r="J498" s="5">
        <f>INDEX(products!$A$1:$G$49,MATCH(orders!$D498,products!$A$1:$A$49,0),MATCH(orders!J$1,products!$A$1:$G$1,0))</f>
        <v>0.2</v>
      </c>
      <c r="K498" s="6">
        <f>INDEX(products!$A$1:$G$49,MATCH(orders!$D498,products!$A$1:$A$49,0),MATCH(orders!K$1,products!$A$1:$G$1,0))</f>
        <v>3.645</v>
      </c>
      <c r="L498" s="6">
        <f>K498*E498</f>
        <v>10.935</v>
      </c>
      <c r="M498" t="str" cm="1">
        <f t="array" ref="M498">_xlfn.IFS(H498="Rob","Robusta",H498="Exc","Excelsa",H498="Ara","Arabica",H498="Lib","Liberica")</f>
        <v>Excelsa</v>
      </c>
      <c r="N498" t="str" cm="1">
        <f t="array" ref="N498">_xlfn.IFS(I498="M","Medium",I498="L","Light",I498="D","Dark")</f>
        <v>Dark</v>
      </c>
      <c r="O498" t="str">
        <f>_xlfn.XLOOKUP(Orders[[#This Row],[Customer ID]],customers!$A$2:$A$1001,customers!$I$2:$I$1001,,0)</f>
        <v>No</v>
      </c>
    </row>
    <row r="499" spans="1:15" x14ac:dyDescent="0.3">
      <c r="A499" s="2" t="s">
        <v>3300</v>
      </c>
      <c r="B499" s="3">
        <v>44351</v>
      </c>
      <c r="C499" s="2" t="s">
        <v>3301</v>
      </c>
      <c r="D499" t="s">
        <v>6147</v>
      </c>
      <c r="E499" s="2">
        <v>4</v>
      </c>
      <c r="F499" s="2" t="str">
        <f>_xlfn.XLOOKUP(C499,customers!$A$2:$A$1001,customers!$B$2:$B$1001,,0)</f>
        <v>Chantal Mersh</v>
      </c>
      <c r="G499" s="2" t="str">
        <f>_xlfn.XLOOKUP(C499,customers!$A$2:$A$1001,customers!$G$2:$G$1001,,0)</f>
        <v>Ireland</v>
      </c>
      <c r="H499" t="str">
        <f>INDEX(products!$A$1:$G$49,MATCH(orders!$D499,products!$A$1:$A$49,0),MATCH(orders!H$1,products!$A$1:$G$1,0))</f>
        <v>Ara</v>
      </c>
      <c r="I499" t="str">
        <f>INDEX(products!$A$1:$G$49,MATCH(orders!$D499,products!$A$1:$A$49,0),MATCH(orders!I$1,products!$A$1:$G$1,0))</f>
        <v>D</v>
      </c>
      <c r="J499" s="5">
        <f>INDEX(products!$A$1:$G$49,MATCH(orders!$D499,products!$A$1:$A$49,0),MATCH(orders!J$1,products!$A$1:$G$1,0))</f>
        <v>1</v>
      </c>
      <c r="K499" s="6">
        <f>INDEX(products!$A$1:$G$49,MATCH(orders!$D499,products!$A$1:$A$49,0),MATCH(orders!K$1,products!$A$1:$G$1,0))</f>
        <v>9.9499999999999993</v>
      </c>
      <c r="L499" s="6">
        <f>K499*E499</f>
        <v>39.799999999999997</v>
      </c>
      <c r="M499" t="str" cm="1">
        <f t="array" ref="M499">_xlfn.IFS(H499="Rob","Robusta",H499="Exc","Excelsa",H499="Ara","Arabica",H499="Lib","Liberica")</f>
        <v>Arabica</v>
      </c>
      <c r="N499" t="str" cm="1">
        <f t="array" ref="N499">_xlfn.IFS(I499="M","Medium",I499="L","Light",I499="D","Dark")</f>
        <v>Dark</v>
      </c>
      <c r="O499" t="str">
        <f>_xlfn.XLOOKUP(Orders[[#This Row],[Customer ID]],customers!$A$2:$A$1001,customers!$I$2:$I$1001,,0)</f>
        <v>No</v>
      </c>
    </row>
    <row r="500" spans="1:15" x14ac:dyDescent="0.3">
      <c r="A500" s="2" t="s">
        <v>3307</v>
      </c>
      <c r="B500" s="3">
        <v>44159</v>
      </c>
      <c r="C500" s="2" t="s">
        <v>3368</v>
      </c>
      <c r="D500" t="s">
        <v>6138</v>
      </c>
      <c r="E500" s="2">
        <v>5</v>
      </c>
      <c r="F500" s="2" t="str">
        <f>_xlfn.XLOOKUP(C500,customers!$A$2:$A$1001,customers!$B$2:$B$1001,,0)</f>
        <v>Marja Urion</v>
      </c>
      <c r="G500" s="2" t="str">
        <f>_xlfn.XLOOKUP(C500,customers!$A$2:$A$1001,customers!$G$2:$G$1001,,0)</f>
        <v>Ireland</v>
      </c>
      <c r="H500" t="str">
        <f>INDEX(products!$A$1:$G$49,MATCH(orders!$D500,products!$A$1:$A$49,0),MATCH(orders!H$1,products!$A$1:$G$1,0))</f>
        <v>Rob</v>
      </c>
      <c r="I500" t="str">
        <f>INDEX(products!$A$1:$G$49,MATCH(orders!$D500,products!$A$1:$A$49,0),MATCH(orders!I$1,products!$A$1:$G$1,0))</f>
        <v>M</v>
      </c>
      <c r="J500" s="5">
        <f>INDEX(products!$A$1:$G$49,MATCH(orders!$D500,products!$A$1:$A$49,0),MATCH(orders!J$1,products!$A$1:$G$1,0))</f>
        <v>1</v>
      </c>
      <c r="K500" s="6">
        <f>INDEX(products!$A$1:$G$49,MATCH(orders!$D500,products!$A$1:$A$49,0),MATCH(orders!K$1,products!$A$1:$G$1,0))</f>
        <v>9.9499999999999993</v>
      </c>
      <c r="L500" s="6">
        <f>K500*E500</f>
        <v>49.75</v>
      </c>
      <c r="M500" t="str" cm="1">
        <f t="array" ref="M500">_xlfn.IFS(H500="Rob","Robusta",H500="Exc","Excelsa",H500="Ara","Arabica",H500="Lib","Liberica")</f>
        <v>Robusta</v>
      </c>
      <c r="N500" t="str" cm="1">
        <f t="array" ref="N500">_xlfn.IFS(I500="M","Medium",I500="L","Light",I500="D","Dark")</f>
        <v>Medium</v>
      </c>
      <c r="O500" t="str">
        <f>_xlfn.XLOOKUP(Orders[[#This Row],[Customer ID]],customers!$A$2:$A$1001,customers!$I$2:$I$1001,,0)</f>
        <v>Yes</v>
      </c>
    </row>
    <row r="501" spans="1:15" x14ac:dyDescent="0.3">
      <c r="A501" s="2" t="s">
        <v>3313</v>
      </c>
      <c r="B501" s="3">
        <v>44003</v>
      </c>
      <c r="C501" s="2" t="s">
        <v>3314</v>
      </c>
      <c r="D501" t="s">
        <v>6163</v>
      </c>
      <c r="E501" s="2">
        <v>3</v>
      </c>
      <c r="F501" s="2" t="str">
        <f>_xlfn.XLOOKUP(C501,customers!$A$2:$A$1001,customers!$B$2:$B$1001,,0)</f>
        <v>Malynda Purbrick</v>
      </c>
      <c r="G501" s="2" t="str">
        <f>_xlfn.XLOOKUP(C501,customers!$A$2:$A$1001,customers!$G$2:$G$1001,,0)</f>
        <v>Ireland</v>
      </c>
      <c r="H501" t="str">
        <f>INDEX(products!$A$1:$G$49,MATCH(orders!$D501,products!$A$1:$A$49,0),MATCH(orders!H$1,products!$A$1:$G$1,0))</f>
        <v>Rob</v>
      </c>
      <c r="I501" t="str">
        <f>INDEX(products!$A$1:$G$49,MATCH(orders!$D501,products!$A$1:$A$49,0),MATCH(orders!I$1,products!$A$1:$G$1,0))</f>
        <v>D</v>
      </c>
      <c r="J501" s="5">
        <f>INDEX(products!$A$1:$G$49,MATCH(orders!$D501,products!$A$1:$A$49,0),MATCH(orders!J$1,products!$A$1:$G$1,0))</f>
        <v>0.2</v>
      </c>
      <c r="K501" s="6">
        <f>INDEX(products!$A$1:$G$49,MATCH(orders!$D501,products!$A$1:$A$49,0),MATCH(orders!K$1,products!$A$1:$G$1,0))</f>
        <v>2.6849999999999996</v>
      </c>
      <c r="L501" s="6">
        <f>K501*E501</f>
        <v>8.0549999999999997</v>
      </c>
      <c r="M501" t="str" cm="1">
        <f t="array" ref="M501">_xlfn.IFS(H501="Rob","Robusta",H501="Exc","Excelsa",H501="Ara","Arabica",H501="Lib","Liberica")</f>
        <v>Robusta</v>
      </c>
      <c r="N501" t="str" cm="1">
        <f t="array" ref="N501">_xlfn.IFS(I501="M","Medium",I501="L","Light",I501="D","Dark")</f>
        <v>Dark</v>
      </c>
      <c r="O501" t="str">
        <f>_xlfn.XLOOKUP(Orders[[#This Row],[Customer ID]],customers!$A$2:$A$1001,customers!$I$2:$I$1001,,0)</f>
        <v>Yes</v>
      </c>
    </row>
    <row r="502" spans="1:15" x14ac:dyDescent="0.3">
      <c r="A502" s="2" t="s">
        <v>3318</v>
      </c>
      <c r="B502" s="3">
        <v>44025</v>
      </c>
      <c r="C502" s="2" t="s">
        <v>3319</v>
      </c>
      <c r="D502" t="s">
        <v>6179</v>
      </c>
      <c r="E502" s="2">
        <v>4</v>
      </c>
      <c r="F502" s="2" t="str">
        <f>_xlfn.XLOOKUP(C502,customers!$A$2:$A$1001,customers!$B$2:$B$1001,,0)</f>
        <v>Alf Housaman</v>
      </c>
      <c r="G502" s="2" t="str">
        <f>_xlfn.XLOOKUP(C502,customers!$A$2:$A$1001,customers!$G$2:$G$1001,,0)</f>
        <v>United States</v>
      </c>
      <c r="H502" t="str">
        <f>INDEX(products!$A$1:$G$49,MATCH(orders!$D502,products!$A$1:$A$49,0),MATCH(orders!H$1,products!$A$1:$G$1,0))</f>
        <v>Rob</v>
      </c>
      <c r="I502" t="str">
        <f>INDEX(products!$A$1:$G$49,MATCH(orders!$D502,products!$A$1:$A$49,0),MATCH(orders!I$1,products!$A$1:$G$1,0))</f>
        <v>L</v>
      </c>
      <c r="J502" s="5">
        <f>INDEX(products!$A$1:$G$49,MATCH(orders!$D502,products!$A$1:$A$49,0),MATCH(orders!J$1,products!$A$1:$G$1,0))</f>
        <v>1</v>
      </c>
      <c r="K502" s="6">
        <f>INDEX(products!$A$1:$G$49,MATCH(orders!$D502,products!$A$1:$A$49,0),MATCH(orders!K$1,products!$A$1:$G$1,0))</f>
        <v>11.95</v>
      </c>
      <c r="L502" s="6">
        <f>K502*E502</f>
        <v>47.8</v>
      </c>
      <c r="M502" t="str" cm="1">
        <f t="array" ref="M502">_xlfn.IFS(H502="Rob","Robusta",H502="Exc","Excelsa",H502="Ara","Arabica",H502="Lib","Liberica")</f>
        <v>Robusta</v>
      </c>
      <c r="N502" t="str" cm="1">
        <f t="array" ref="N502">_xlfn.IFS(I502="M","Medium",I502="L","Light",I502="D","Dark")</f>
        <v>Light</v>
      </c>
      <c r="O502" t="str">
        <f>_xlfn.XLOOKUP(Orders[[#This Row],[Customer ID]],customers!$A$2:$A$1001,customers!$I$2:$I$1001,,0)</f>
        <v>No</v>
      </c>
    </row>
    <row r="503" spans="1:15" x14ac:dyDescent="0.3">
      <c r="A503" s="2" t="s">
        <v>3323</v>
      </c>
      <c r="B503" s="3">
        <v>43467</v>
      </c>
      <c r="C503" s="2" t="s">
        <v>3324</v>
      </c>
      <c r="D503" t="s">
        <v>6174</v>
      </c>
      <c r="E503" s="2">
        <v>4</v>
      </c>
      <c r="F503" s="2" t="str">
        <f>_xlfn.XLOOKUP(C503,customers!$A$2:$A$1001,customers!$B$2:$B$1001,,0)</f>
        <v>Gladi Ducker</v>
      </c>
      <c r="G503" s="2" t="str">
        <f>_xlfn.XLOOKUP(C503,customers!$A$2:$A$1001,customers!$G$2:$G$1001,,0)</f>
        <v>United Kingdom</v>
      </c>
      <c r="H503" t="str">
        <f>INDEX(products!$A$1:$G$49,MATCH(orders!$D503,products!$A$1:$A$49,0),MATCH(orders!H$1,products!$A$1:$G$1,0))</f>
        <v>Rob</v>
      </c>
      <c r="I503" t="str">
        <f>INDEX(products!$A$1:$G$49,MATCH(orders!$D503,products!$A$1:$A$49,0),MATCH(orders!I$1,products!$A$1:$G$1,0))</f>
        <v>M</v>
      </c>
      <c r="J503" s="5">
        <f>INDEX(products!$A$1:$G$49,MATCH(orders!$D503,products!$A$1:$A$49,0),MATCH(orders!J$1,products!$A$1:$G$1,0))</f>
        <v>0.2</v>
      </c>
      <c r="K503" s="6">
        <f>INDEX(products!$A$1:$G$49,MATCH(orders!$D503,products!$A$1:$A$49,0),MATCH(orders!K$1,products!$A$1:$G$1,0))</f>
        <v>2.9849999999999999</v>
      </c>
      <c r="L503" s="6">
        <f>K503*E503</f>
        <v>11.94</v>
      </c>
      <c r="M503" t="str" cm="1">
        <f t="array" ref="M503">_xlfn.IFS(H503="Rob","Robusta",H503="Exc","Excelsa",H503="Ara","Arabica",H503="Lib","Liberica")</f>
        <v>Robusta</v>
      </c>
      <c r="N503" t="str" cm="1">
        <f t="array" ref="N503">_xlfn.IFS(I503="M","Medium",I503="L","Light",I503="D","Dark")</f>
        <v>Medium</v>
      </c>
      <c r="O503" t="str">
        <f>_xlfn.XLOOKUP(Orders[[#This Row],[Customer ID]],customers!$A$2:$A$1001,customers!$I$2:$I$1001,,0)</f>
        <v>No</v>
      </c>
    </row>
    <row r="504" spans="1:15" x14ac:dyDescent="0.3">
      <c r="A504" s="2" t="s">
        <v>3323</v>
      </c>
      <c r="B504" s="3">
        <v>43467</v>
      </c>
      <c r="C504" s="2" t="s">
        <v>3324</v>
      </c>
      <c r="D504" t="s">
        <v>6156</v>
      </c>
      <c r="E504" s="2">
        <v>4</v>
      </c>
      <c r="F504" s="2" t="str">
        <f>_xlfn.XLOOKUP(C504,customers!$A$2:$A$1001,customers!$B$2:$B$1001,,0)</f>
        <v>Gladi Ducker</v>
      </c>
      <c r="G504" s="2" t="str">
        <f>_xlfn.XLOOKUP(C504,customers!$A$2:$A$1001,customers!$G$2:$G$1001,,0)</f>
        <v>United Kingdom</v>
      </c>
      <c r="H504" t="str">
        <f>INDEX(products!$A$1:$G$49,MATCH(orders!$D504,products!$A$1:$A$49,0),MATCH(orders!H$1,products!$A$1:$G$1,0))</f>
        <v>Exc</v>
      </c>
      <c r="I504" t="str">
        <f>INDEX(products!$A$1:$G$49,MATCH(orders!$D504,products!$A$1:$A$49,0),MATCH(orders!I$1,products!$A$1:$G$1,0))</f>
        <v>M</v>
      </c>
      <c r="J504" s="5">
        <f>INDEX(products!$A$1:$G$49,MATCH(orders!$D504,products!$A$1:$A$49,0),MATCH(orders!J$1,products!$A$1:$G$1,0))</f>
        <v>0.2</v>
      </c>
      <c r="K504" s="6">
        <f>INDEX(products!$A$1:$G$49,MATCH(orders!$D504,products!$A$1:$A$49,0),MATCH(orders!K$1,products!$A$1:$G$1,0))</f>
        <v>4.125</v>
      </c>
      <c r="L504" s="6">
        <f>K504*E504</f>
        <v>16.5</v>
      </c>
      <c r="M504" t="str" cm="1">
        <f t="array" ref="M504">_xlfn.IFS(H504="Rob","Robusta",H504="Exc","Excelsa",H504="Ara","Arabica",H504="Lib","Liberica")</f>
        <v>Excelsa</v>
      </c>
      <c r="N504" t="str" cm="1">
        <f t="array" ref="N504">_xlfn.IFS(I504="M","Medium",I504="L","Light",I504="D","Dark")</f>
        <v>Medium</v>
      </c>
      <c r="O504" t="str">
        <f>_xlfn.XLOOKUP(Orders[[#This Row],[Customer ID]],customers!$A$2:$A$1001,customers!$I$2:$I$1001,,0)</f>
        <v>No</v>
      </c>
    </row>
    <row r="505" spans="1:15" x14ac:dyDescent="0.3">
      <c r="A505" s="2" t="s">
        <v>3323</v>
      </c>
      <c r="B505" s="3">
        <v>43467</v>
      </c>
      <c r="C505" s="2" t="s">
        <v>3324</v>
      </c>
      <c r="D505" t="s">
        <v>6143</v>
      </c>
      <c r="E505" s="2">
        <v>4</v>
      </c>
      <c r="F505" s="2" t="str">
        <f>_xlfn.XLOOKUP(C505,customers!$A$2:$A$1001,customers!$B$2:$B$1001,,0)</f>
        <v>Gladi Ducker</v>
      </c>
      <c r="G505" s="2" t="str">
        <f>_xlfn.XLOOKUP(C505,customers!$A$2:$A$1001,customers!$G$2:$G$1001,,0)</f>
        <v>United Kingdom</v>
      </c>
      <c r="H505" t="str">
        <f>INDEX(products!$A$1:$G$49,MATCH(orders!$D505,products!$A$1:$A$49,0),MATCH(orders!H$1,products!$A$1:$G$1,0))</f>
        <v>Lib</v>
      </c>
      <c r="I505" t="str">
        <f>INDEX(products!$A$1:$G$49,MATCH(orders!$D505,products!$A$1:$A$49,0),MATCH(orders!I$1,products!$A$1:$G$1,0))</f>
        <v>D</v>
      </c>
      <c r="J505" s="5">
        <f>INDEX(products!$A$1:$G$49,MATCH(orders!$D505,products!$A$1:$A$49,0),MATCH(orders!J$1,products!$A$1:$G$1,0))</f>
        <v>1</v>
      </c>
      <c r="K505" s="6">
        <f>INDEX(products!$A$1:$G$49,MATCH(orders!$D505,products!$A$1:$A$49,0),MATCH(orders!K$1,products!$A$1:$G$1,0))</f>
        <v>12.95</v>
      </c>
      <c r="L505" s="6">
        <f>K505*E505</f>
        <v>51.8</v>
      </c>
      <c r="M505" t="str" cm="1">
        <f t="array" ref="M505">_xlfn.IFS(H505="Rob","Robusta",H505="Exc","Excelsa",H505="Ara","Arabica",H505="Lib","Liberica")</f>
        <v>Liberica</v>
      </c>
      <c r="N505" t="str" cm="1">
        <f t="array" ref="N505">_xlfn.IFS(I505="M","Medium",I505="L","Light",I505="D","Dark")</f>
        <v>Dark</v>
      </c>
      <c r="O505" t="str">
        <f>_xlfn.XLOOKUP(Orders[[#This Row],[Customer ID]],customers!$A$2:$A$1001,customers!$I$2:$I$1001,,0)</f>
        <v>No</v>
      </c>
    </row>
    <row r="506" spans="1:15" x14ac:dyDescent="0.3">
      <c r="A506" s="2" t="s">
        <v>3323</v>
      </c>
      <c r="B506" s="3">
        <v>43467</v>
      </c>
      <c r="C506" s="2" t="s">
        <v>3324</v>
      </c>
      <c r="D506" t="s">
        <v>6145</v>
      </c>
      <c r="E506" s="2">
        <v>3</v>
      </c>
      <c r="F506" s="2" t="str">
        <f>_xlfn.XLOOKUP(C506,customers!$A$2:$A$1001,customers!$B$2:$B$1001,,0)</f>
        <v>Gladi Ducker</v>
      </c>
      <c r="G506" s="2" t="str">
        <f>_xlfn.XLOOKUP(C506,customers!$A$2:$A$1001,customers!$G$2:$G$1001,,0)</f>
        <v>United Kingdom</v>
      </c>
      <c r="H506" t="str">
        <f>INDEX(products!$A$1:$G$49,MATCH(orders!$D506,products!$A$1:$A$49,0),MATCH(orders!H$1,products!$A$1:$G$1,0))</f>
        <v>Lib</v>
      </c>
      <c r="I506" t="str">
        <f>INDEX(products!$A$1:$G$49,MATCH(orders!$D506,products!$A$1:$A$49,0),MATCH(orders!I$1,products!$A$1:$G$1,0))</f>
        <v>L</v>
      </c>
      <c r="J506" s="5">
        <f>INDEX(products!$A$1:$G$49,MATCH(orders!$D506,products!$A$1:$A$49,0),MATCH(orders!J$1,products!$A$1:$G$1,0))</f>
        <v>0.2</v>
      </c>
      <c r="K506" s="6">
        <f>INDEX(products!$A$1:$G$49,MATCH(orders!$D506,products!$A$1:$A$49,0),MATCH(orders!K$1,products!$A$1:$G$1,0))</f>
        <v>4.7549999999999999</v>
      </c>
      <c r="L506" s="6">
        <f>K506*E506</f>
        <v>14.265000000000001</v>
      </c>
      <c r="M506" t="str" cm="1">
        <f t="array" ref="M506">_xlfn.IFS(H506="Rob","Robusta",H506="Exc","Excelsa",H506="Ara","Arabica",H506="Lib","Liberica")</f>
        <v>Liberica</v>
      </c>
      <c r="N506" t="str" cm="1">
        <f t="array" ref="N506">_xlfn.IFS(I506="M","Medium",I506="L","Light",I506="D","Dark")</f>
        <v>Light</v>
      </c>
      <c r="O506" t="str">
        <f>_xlfn.XLOOKUP(Orders[[#This Row],[Customer ID]],customers!$A$2:$A$1001,customers!$I$2:$I$1001,,0)</f>
        <v>No</v>
      </c>
    </row>
    <row r="507" spans="1:15" x14ac:dyDescent="0.3">
      <c r="A507" s="2" t="s">
        <v>3343</v>
      </c>
      <c r="B507" s="3">
        <v>44609</v>
      </c>
      <c r="C507" s="2" t="s">
        <v>3344</v>
      </c>
      <c r="D507" t="s">
        <v>6159</v>
      </c>
      <c r="E507" s="2">
        <v>6</v>
      </c>
      <c r="F507" s="2" t="str">
        <f>_xlfn.XLOOKUP(C507,customers!$A$2:$A$1001,customers!$B$2:$B$1001,,0)</f>
        <v>Wain Stearley</v>
      </c>
      <c r="G507" s="2" t="str">
        <f>_xlfn.XLOOKUP(C507,customers!$A$2:$A$1001,customers!$G$2:$G$1001,,0)</f>
        <v>United States</v>
      </c>
      <c r="H507" t="str">
        <f>INDEX(products!$A$1:$G$49,MATCH(orders!$D507,products!$A$1:$A$49,0),MATCH(orders!H$1,products!$A$1:$G$1,0))</f>
        <v>Lib</v>
      </c>
      <c r="I507" t="str">
        <f>INDEX(products!$A$1:$G$49,MATCH(orders!$D507,products!$A$1:$A$49,0),MATCH(orders!I$1,products!$A$1:$G$1,0))</f>
        <v>M</v>
      </c>
      <c r="J507" s="5">
        <f>INDEX(products!$A$1:$G$49,MATCH(orders!$D507,products!$A$1:$A$49,0),MATCH(orders!J$1,products!$A$1:$G$1,0))</f>
        <v>0.2</v>
      </c>
      <c r="K507" s="6">
        <f>INDEX(products!$A$1:$G$49,MATCH(orders!$D507,products!$A$1:$A$49,0),MATCH(orders!K$1,products!$A$1:$G$1,0))</f>
        <v>4.3650000000000002</v>
      </c>
      <c r="L507" s="6">
        <f>K507*E507</f>
        <v>26.19</v>
      </c>
      <c r="M507" t="str" cm="1">
        <f t="array" ref="M507">_xlfn.IFS(H507="Rob","Robusta",H507="Exc","Excelsa",H507="Ara","Arabica",H507="Lib","Liberica")</f>
        <v>Liberica</v>
      </c>
      <c r="N507" t="str" cm="1">
        <f t="array" ref="N507">_xlfn.IFS(I507="M","Medium",I507="L","Light",I507="D","Dark")</f>
        <v>Medium</v>
      </c>
      <c r="O507" t="str">
        <f>_xlfn.XLOOKUP(Orders[[#This Row],[Customer ID]],customers!$A$2:$A$1001,customers!$I$2:$I$1001,,0)</f>
        <v>No</v>
      </c>
    </row>
    <row r="508" spans="1:15" x14ac:dyDescent="0.3">
      <c r="A508" s="2" t="s">
        <v>3349</v>
      </c>
      <c r="B508" s="3">
        <v>44184</v>
      </c>
      <c r="C508" s="2" t="s">
        <v>3350</v>
      </c>
      <c r="D508" t="s">
        <v>6140</v>
      </c>
      <c r="E508" s="2">
        <v>2</v>
      </c>
      <c r="F508" s="2" t="str">
        <f>_xlfn.XLOOKUP(C508,customers!$A$2:$A$1001,customers!$B$2:$B$1001,,0)</f>
        <v>Diane-marie Wincer</v>
      </c>
      <c r="G508" s="2" t="str">
        <f>_xlfn.XLOOKUP(C508,customers!$A$2:$A$1001,customers!$G$2:$G$1001,,0)</f>
        <v>United States</v>
      </c>
      <c r="H508" t="str">
        <f>INDEX(products!$A$1:$G$49,MATCH(orders!$D508,products!$A$1:$A$49,0),MATCH(orders!H$1,products!$A$1:$G$1,0))</f>
        <v>Ara</v>
      </c>
      <c r="I508" t="str">
        <f>INDEX(products!$A$1:$G$49,MATCH(orders!$D508,products!$A$1:$A$49,0),MATCH(orders!I$1,products!$A$1:$G$1,0))</f>
        <v>L</v>
      </c>
      <c r="J508" s="5">
        <f>INDEX(products!$A$1:$G$49,MATCH(orders!$D508,products!$A$1:$A$49,0),MATCH(orders!J$1,products!$A$1:$G$1,0))</f>
        <v>1</v>
      </c>
      <c r="K508" s="6">
        <f>INDEX(products!$A$1:$G$49,MATCH(orders!$D508,products!$A$1:$A$49,0),MATCH(orders!K$1,products!$A$1:$G$1,0))</f>
        <v>12.95</v>
      </c>
      <c r="L508" s="6">
        <f>K508*E508</f>
        <v>25.9</v>
      </c>
      <c r="M508" t="str" cm="1">
        <f t="array" ref="M508">_xlfn.IFS(H508="Rob","Robusta",H508="Exc","Excelsa",H508="Ara","Arabica",H508="Lib","Liberica")</f>
        <v>Arabica</v>
      </c>
      <c r="N508" t="str" cm="1">
        <f t="array" ref="N508">_xlfn.IFS(I508="M","Medium",I508="L","Light",I508="D","Dark")</f>
        <v>Light</v>
      </c>
      <c r="O508" t="str">
        <f>_xlfn.XLOOKUP(Orders[[#This Row],[Customer ID]],customers!$A$2:$A$1001,customers!$I$2:$I$1001,,0)</f>
        <v>Yes</v>
      </c>
    </row>
    <row r="509" spans="1:15" x14ac:dyDescent="0.3">
      <c r="A509" s="2" t="s">
        <v>3355</v>
      </c>
      <c r="B509" s="3">
        <v>43516</v>
      </c>
      <c r="C509" s="2" t="s">
        <v>3356</v>
      </c>
      <c r="D509" t="s">
        <v>6182</v>
      </c>
      <c r="E509" s="2">
        <v>3</v>
      </c>
      <c r="F509" s="2" t="str">
        <f>_xlfn.XLOOKUP(C509,customers!$A$2:$A$1001,customers!$B$2:$B$1001,,0)</f>
        <v>Perry Lyfield</v>
      </c>
      <c r="G509" s="2" t="str">
        <f>_xlfn.XLOOKUP(C509,customers!$A$2:$A$1001,customers!$G$2:$G$1001,,0)</f>
        <v>United States</v>
      </c>
      <c r="H509" t="str">
        <f>INDEX(products!$A$1:$G$49,MATCH(orders!$D509,products!$A$1:$A$49,0),MATCH(orders!H$1,products!$A$1:$G$1,0))</f>
        <v>Ara</v>
      </c>
      <c r="I509" t="str">
        <f>INDEX(products!$A$1:$G$49,MATCH(orders!$D509,products!$A$1:$A$49,0),MATCH(orders!I$1,products!$A$1:$G$1,0))</f>
        <v>L</v>
      </c>
      <c r="J509" s="5">
        <f>INDEX(products!$A$1:$G$49,MATCH(orders!$D509,products!$A$1:$A$49,0),MATCH(orders!J$1,products!$A$1:$G$1,0))</f>
        <v>2.5</v>
      </c>
      <c r="K509" s="6">
        <f>INDEX(products!$A$1:$G$49,MATCH(orders!$D509,products!$A$1:$A$49,0),MATCH(orders!K$1,products!$A$1:$G$1,0))</f>
        <v>29.784999999999997</v>
      </c>
      <c r="L509" s="6">
        <f>K509*E509</f>
        <v>89.35499999999999</v>
      </c>
      <c r="M509" t="str" cm="1">
        <f t="array" ref="M509">_xlfn.IFS(H509="Rob","Robusta",H509="Exc","Excelsa",H509="Ara","Arabica",H509="Lib","Liberica")</f>
        <v>Arabica</v>
      </c>
      <c r="N509" t="str" cm="1">
        <f t="array" ref="N509">_xlfn.IFS(I509="M","Medium",I509="L","Light",I509="D","Dark")</f>
        <v>Light</v>
      </c>
      <c r="O509" t="str">
        <f>_xlfn.XLOOKUP(Orders[[#This Row],[Customer ID]],customers!$A$2:$A$1001,customers!$I$2:$I$1001,,0)</f>
        <v>Yes</v>
      </c>
    </row>
    <row r="510" spans="1:15" x14ac:dyDescent="0.3">
      <c r="A510" s="2" t="s">
        <v>3361</v>
      </c>
      <c r="B510" s="3">
        <v>44210</v>
      </c>
      <c r="C510" s="2" t="s">
        <v>3362</v>
      </c>
      <c r="D510" t="s">
        <v>6169</v>
      </c>
      <c r="E510" s="2">
        <v>6</v>
      </c>
      <c r="F510" s="2" t="str">
        <f>_xlfn.XLOOKUP(C510,customers!$A$2:$A$1001,customers!$B$2:$B$1001,,0)</f>
        <v>Heall Perris</v>
      </c>
      <c r="G510" s="2" t="str">
        <f>_xlfn.XLOOKUP(C510,customers!$A$2:$A$1001,customers!$G$2:$G$1001,,0)</f>
        <v>Ireland</v>
      </c>
      <c r="H510" t="str">
        <f>INDEX(products!$A$1:$G$49,MATCH(orders!$D510,products!$A$1:$A$49,0),MATCH(orders!H$1,products!$A$1:$G$1,0))</f>
        <v>Lib</v>
      </c>
      <c r="I510" t="str">
        <f>INDEX(products!$A$1:$G$49,MATCH(orders!$D510,products!$A$1:$A$49,0),MATCH(orders!I$1,products!$A$1:$G$1,0))</f>
        <v>D</v>
      </c>
      <c r="J510" s="5">
        <f>INDEX(products!$A$1:$G$49,MATCH(orders!$D510,products!$A$1:$A$49,0),MATCH(orders!J$1,products!$A$1:$G$1,0))</f>
        <v>0.5</v>
      </c>
      <c r="K510" s="6">
        <f>INDEX(products!$A$1:$G$49,MATCH(orders!$D510,products!$A$1:$A$49,0),MATCH(orders!K$1,products!$A$1:$G$1,0))</f>
        <v>7.77</v>
      </c>
      <c r="L510" s="6">
        <f>K510*E510</f>
        <v>46.62</v>
      </c>
      <c r="M510" t="str" cm="1">
        <f t="array" ref="M510">_xlfn.IFS(H510="Rob","Robusta",H510="Exc","Excelsa",H510="Ara","Arabica",H510="Lib","Liberica")</f>
        <v>Liberica</v>
      </c>
      <c r="N510" t="str" cm="1">
        <f t="array" ref="N510">_xlfn.IFS(I510="M","Medium",I510="L","Light",I510="D","Dark")</f>
        <v>Dark</v>
      </c>
      <c r="O510" t="str">
        <f>_xlfn.XLOOKUP(Orders[[#This Row],[Customer ID]],customers!$A$2:$A$1001,customers!$I$2:$I$1001,,0)</f>
        <v>No</v>
      </c>
    </row>
    <row r="511" spans="1:15" x14ac:dyDescent="0.3">
      <c r="A511" s="2" t="s">
        <v>3367</v>
      </c>
      <c r="B511" s="3">
        <v>43785</v>
      </c>
      <c r="C511" s="2" t="s">
        <v>3368</v>
      </c>
      <c r="D511" t="s">
        <v>6147</v>
      </c>
      <c r="E511" s="2">
        <v>3</v>
      </c>
      <c r="F511" s="2" t="str">
        <f>_xlfn.XLOOKUP(C511,customers!$A$2:$A$1001,customers!$B$2:$B$1001,,0)</f>
        <v>Marja Urion</v>
      </c>
      <c r="G511" s="2" t="str">
        <f>_xlfn.XLOOKUP(C511,customers!$A$2:$A$1001,customers!$G$2:$G$1001,,0)</f>
        <v>Ireland</v>
      </c>
      <c r="H511" t="str">
        <f>INDEX(products!$A$1:$G$49,MATCH(orders!$D511,products!$A$1:$A$49,0),MATCH(orders!H$1,products!$A$1:$G$1,0))</f>
        <v>Ara</v>
      </c>
      <c r="I511" t="str">
        <f>INDEX(products!$A$1:$G$49,MATCH(orders!$D511,products!$A$1:$A$49,0),MATCH(orders!I$1,products!$A$1:$G$1,0))</f>
        <v>D</v>
      </c>
      <c r="J511" s="5">
        <f>INDEX(products!$A$1:$G$49,MATCH(orders!$D511,products!$A$1:$A$49,0),MATCH(orders!J$1,products!$A$1:$G$1,0))</f>
        <v>1</v>
      </c>
      <c r="K511" s="6">
        <f>INDEX(products!$A$1:$G$49,MATCH(orders!$D511,products!$A$1:$A$49,0),MATCH(orders!K$1,products!$A$1:$G$1,0))</f>
        <v>9.9499999999999993</v>
      </c>
      <c r="L511" s="6">
        <f>K511*E511</f>
        <v>29.849999999999998</v>
      </c>
      <c r="M511" t="str" cm="1">
        <f t="array" ref="M511">_xlfn.IFS(H511="Rob","Robusta",H511="Exc","Excelsa",H511="Ara","Arabica",H511="Lib","Liberica")</f>
        <v>Arabica</v>
      </c>
      <c r="N511" t="str" cm="1">
        <f t="array" ref="N511">_xlfn.IFS(I511="M","Medium",I511="L","Light",I511="D","Dark")</f>
        <v>Dark</v>
      </c>
      <c r="O511" t="str">
        <f>_xlfn.XLOOKUP(Orders[[#This Row],[Customer ID]],customers!$A$2:$A$1001,customers!$I$2:$I$1001,,0)</f>
        <v>Yes</v>
      </c>
    </row>
    <row r="512" spans="1:15" x14ac:dyDescent="0.3">
      <c r="A512" s="2" t="s">
        <v>3373</v>
      </c>
      <c r="B512" s="3">
        <v>43803</v>
      </c>
      <c r="C512" s="2" t="s">
        <v>3374</v>
      </c>
      <c r="D512" t="s">
        <v>6178</v>
      </c>
      <c r="E512" s="2">
        <v>3</v>
      </c>
      <c r="F512" s="2" t="str">
        <f>_xlfn.XLOOKUP(C512,customers!$A$2:$A$1001,customers!$B$2:$B$1001,,0)</f>
        <v>Camellia Kid</v>
      </c>
      <c r="G512" s="2" t="str">
        <f>_xlfn.XLOOKUP(C512,customers!$A$2:$A$1001,customers!$G$2:$G$1001,,0)</f>
        <v>Ireland</v>
      </c>
      <c r="H512" t="str">
        <f>INDEX(products!$A$1:$G$49,MATCH(orders!$D512,products!$A$1:$A$49,0),MATCH(orders!H$1,products!$A$1:$G$1,0))</f>
        <v>Rob</v>
      </c>
      <c r="I512" t="str">
        <f>INDEX(products!$A$1:$G$49,MATCH(orders!$D512,products!$A$1:$A$49,0),MATCH(orders!I$1,products!$A$1:$G$1,0))</f>
        <v>L</v>
      </c>
      <c r="J512" s="5">
        <f>INDEX(products!$A$1:$G$49,MATCH(orders!$D512,products!$A$1:$A$49,0),MATCH(orders!J$1,products!$A$1:$G$1,0))</f>
        <v>0.2</v>
      </c>
      <c r="K512" s="6">
        <f>INDEX(products!$A$1:$G$49,MATCH(orders!$D512,products!$A$1:$A$49,0),MATCH(orders!K$1,products!$A$1:$G$1,0))</f>
        <v>3.5849999999999995</v>
      </c>
      <c r="L512" s="6">
        <f>K512*E512</f>
        <v>10.754999999999999</v>
      </c>
      <c r="M512" t="str" cm="1">
        <f t="array" ref="M512">_xlfn.IFS(H512="Rob","Robusta",H512="Exc","Excelsa",H512="Ara","Arabica",H512="Lib","Liberica")</f>
        <v>Robusta</v>
      </c>
      <c r="N512" t="str" cm="1">
        <f t="array" ref="N512">_xlfn.IFS(I512="M","Medium",I512="L","Light",I512="D","Dark")</f>
        <v>Light</v>
      </c>
      <c r="O512" t="str">
        <f>_xlfn.XLOOKUP(Orders[[#This Row],[Customer ID]],customers!$A$2:$A$1001,customers!$I$2:$I$1001,,0)</f>
        <v>Yes</v>
      </c>
    </row>
    <row r="513" spans="1:15" x14ac:dyDescent="0.3">
      <c r="A513" s="2" t="s">
        <v>3379</v>
      </c>
      <c r="B513" s="3">
        <v>44043</v>
      </c>
      <c r="C513" s="2" t="s">
        <v>3380</v>
      </c>
      <c r="D513" t="s">
        <v>6152</v>
      </c>
      <c r="E513" s="2">
        <v>4</v>
      </c>
      <c r="F513" s="2" t="str">
        <f>_xlfn.XLOOKUP(C513,customers!$A$2:$A$1001,customers!$B$2:$B$1001,,0)</f>
        <v>Carolann Beine</v>
      </c>
      <c r="G513" s="2" t="str">
        <f>_xlfn.XLOOKUP(C513,customers!$A$2:$A$1001,customers!$G$2:$G$1001,,0)</f>
        <v>United States</v>
      </c>
      <c r="H513" t="str">
        <f>INDEX(products!$A$1:$G$49,MATCH(orders!$D513,products!$A$1:$A$49,0),MATCH(orders!H$1,products!$A$1:$G$1,0))</f>
        <v>Ara</v>
      </c>
      <c r="I513" t="str">
        <f>INDEX(products!$A$1:$G$49,MATCH(orders!$D513,products!$A$1:$A$49,0),MATCH(orders!I$1,products!$A$1:$G$1,0))</f>
        <v>M</v>
      </c>
      <c r="J513" s="5">
        <f>INDEX(products!$A$1:$G$49,MATCH(orders!$D513,products!$A$1:$A$49,0),MATCH(orders!J$1,products!$A$1:$G$1,0))</f>
        <v>0.2</v>
      </c>
      <c r="K513" s="6">
        <f>INDEX(products!$A$1:$G$49,MATCH(orders!$D513,products!$A$1:$A$49,0),MATCH(orders!K$1,products!$A$1:$G$1,0))</f>
        <v>3.375</v>
      </c>
      <c r="L513" s="6">
        <f>K513*E513</f>
        <v>13.5</v>
      </c>
      <c r="M513" t="str" cm="1">
        <f t="array" ref="M513">_xlfn.IFS(H513="Rob","Robusta",H513="Exc","Excelsa",H513="Ara","Arabica",H513="Lib","Liberica")</f>
        <v>Arabica</v>
      </c>
      <c r="N513" t="str" cm="1">
        <f t="array" ref="N513">_xlfn.IFS(I513="M","Medium",I513="L","Light",I513="D","Dark")</f>
        <v>Medium</v>
      </c>
      <c r="O513" t="str">
        <f>_xlfn.XLOOKUP(Orders[[#This Row],[Customer ID]],customers!$A$2:$A$1001,customers!$I$2:$I$1001,,0)</f>
        <v>Yes</v>
      </c>
    </row>
    <row r="514" spans="1:15" x14ac:dyDescent="0.3">
      <c r="A514" s="2" t="s">
        <v>3385</v>
      </c>
      <c r="B514" s="3">
        <v>43535</v>
      </c>
      <c r="C514" s="2" t="s">
        <v>3386</v>
      </c>
      <c r="D514" t="s">
        <v>6170</v>
      </c>
      <c r="E514" s="2">
        <v>3</v>
      </c>
      <c r="F514" s="2" t="str">
        <f>_xlfn.XLOOKUP(C514,customers!$A$2:$A$1001,customers!$B$2:$B$1001,,0)</f>
        <v>Celia Bakeup</v>
      </c>
      <c r="G514" s="2" t="str">
        <f>_xlfn.XLOOKUP(C514,customers!$A$2:$A$1001,customers!$G$2:$G$1001,,0)</f>
        <v>United States</v>
      </c>
      <c r="H514" t="str">
        <f>INDEX(products!$A$1:$G$49,MATCH(orders!$D514,products!$A$1:$A$49,0),MATCH(orders!H$1,products!$A$1:$G$1,0))</f>
        <v>Lib</v>
      </c>
      <c r="I514" t="str">
        <f>INDEX(products!$A$1:$G$49,MATCH(orders!$D514,products!$A$1:$A$49,0),MATCH(orders!I$1,products!$A$1:$G$1,0))</f>
        <v>L</v>
      </c>
      <c r="J514" s="5">
        <f>INDEX(products!$A$1:$G$49,MATCH(orders!$D514,products!$A$1:$A$49,0),MATCH(orders!J$1,products!$A$1:$G$1,0))</f>
        <v>1</v>
      </c>
      <c r="K514" s="6">
        <f>INDEX(products!$A$1:$G$49,MATCH(orders!$D514,products!$A$1:$A$49,0),MATCH(orders!K$1,products!$A$1:$G$1,0))</f>
        <v>15.85</v>
      </c>
      <c r="L514" s="6">
        <f>K514*E514</f>
        <v>47.55</v>
      </c>
      <c r="M514" t="str" cm="1">
        <f t="array" ref="M514">_xlfn.IFS(H514="Rob","Robusta",H514="Exc","Excelsa",H514="Ara","Arabica",H514="Lib","Liberica")</f>
        <v>Liberica</v>
      </c>
      <c r="N514" t="str" cm="1">
        <f t="array" ref="N514">_xlfn.IFS(I514="M","Medium",I514="L","Light",I514="D","Dark")</f>
        <v>Light</v>
      </c>
      <c r="O514" t="str">
        <f>_xlfn.XLOOKUP(Orders[[#This Row],[Customer ID]],customers!$A$2:$A$1001,customers!$I$2:$I$1001,,0)</f>
        <v>No</v>
      </c>
    </row>
    <row r="515" spans="1:15" x14ac:dyDescent="0.3">
      <c r="A515" s="2" t="s">
        <v>3391</v>
      </c>
      <c r="B515" s="3">
        <v>44691</v>
      </c>
      <c r="C515" s="2" t="s">
        <v>3392</v>
      </c>
      <c r="D515" t="s">
        <v>6170</v>
      </c>
      <c r="E515" s="2">
        <v>5</v>
      </c>
      <c r="F515" s="2" t="str">
        <f>_xlfn.XLOOKUP(C515,customers!$A$2:$A$1001,customers!$B$2:$B$1001,,0)</f>
        <v>Nataniel Helkin</v>
      </c>
      <c r="G515" s="2" t="str">
        <f>_xlfn.XLOOKUP(C515,customers!$A$2:$A$1001,customers!$G$2:$G$1001,,0)</f>
        <v>United States</v>
      </c>
      <c r="H515" t="str">
        <f>INDEX(products!$A$1:$G$49,MATCH(orders!$D515,products!$A$1:$A$49,0),MATCH(orders!H$1,products!$A$1:$G$1,0))</f>
        <v>Lib</v>
      </c>
      <c r="I515" t="str">
        <f>INDEX(products!$A$1:$G$49,MATCH(orders!$D515,products!$A$1:$A$49,0),MATCH(orders!I$1,products!$A$1:$G$1,0))</f>
        <v>L</v>
      </c>
      <c r="J515" s="5">
        <f>INDEX(products!$A$1:$G$49,MATCH(orders!$D515,products!$A$1:$A$49,0),MATCH(orders!J$1,products!$A$1:$G$1,0))</f>
        <v>1</v>
      </c>
      <c r="K515" s="6">
        <f>INDEX(products!$A$1:$G$49,MATCH(orders!$D515,products!$A$1:$A$49,0),MATCH(orders!K$1,products!$A$1:$G$1,0))</f>
        <v>15.85</v>
      </c>
      <c r="L515" s="6">
        <f>K515*E515</f>
        <v>79.25</v>
      </c>
      <c r="M515" t="str" cm="1">
        <f t="array" ref="M515">_xlfn.IFS(H515="Rob","Robusta",H515="Exc","Excelsa",H515="Ara","Arabica",H515="Lib","Liberica")</f>
        <v>Liberica</v>
      </c>
      <c r="N515" t="str" cm="1">
        <f t="array" ref="N515">_xlfn.IFS(I515="M","Medium",I515="L","Light",I515="D","Dark")</f>
        <v>Light</v>
      </c>
      <c r="O515" t="str">
        <f>_xlfn.XLOOKUP(Orders[[#This Row],[Customer ID]],customers!$A$2:$A$1001,customers!$I$2:$I$1001,,0)</f>
        <v>No</v>
      </c>
    </row>
    <row r="516" spans="1:15" x14ac:dyDescent="0.3">
      <c r="A516" s="2" t="s">
        <v>3396</v>
      </c>
      <c r="B516" s="3">
        <v>44555</v>
      </c>
      <c r="C516" s="2" t="s">
        <v>3397</v>
      </c>
      <c r="D516" t="s">
        <v>6159</v>
      </c>
      <c r="E516" s="2">
        <v>6</v>
      </c>
      <c r="F516" s="2" t="str">
        <f>_xlfn.XLOOKUP(C516,customers!$A$2:$A$1001,customers!$B$2:$B$1001,,0)</f>
        <v>Pippo Witherington</v>
      </c>
      <c r="G516" s="2" t="str">
        <f>_xlfn.XLOOKUP(C516,customers!$A$2:$A$1001,customers!$G$2:$G$1001,,0)</f>
        <v>United States</v>
      </c>
      <c r="H516" t="str">
        <f>INDEX(products!$A$1:$G$49,MATCH(orders!$D516,products!$A$1:$A$49,0),MATCH(orders!H$1,products!$A$1:$G$1,0))</f>
        <v>Lib</v>
      </c>
      <c r="I516" t="str">
        <f>INDEX(products!$A$1:$G$49,MATCH(orders!$D516,products!$A$1:$A$49,0),MATCH(orders!I$1,products!$A$1:$G$1,0))</f>
        <v>M</v>
      </c>
      <c r="J516" s="5">
        <f>INDEX(products!$A$1:$G$49,MATCH(orders!$D516,products!$A$1:$A$49,0),MATCH(orders!J$1,products!$A$1:$G$1,0))</f>
        <v>0.2</v>
      </c>
      <c r="K516" s="6">
        <f>INDEX(products!$A$1:$G$49,MATCH(orders!$D516,products!$A$1:$A$49,0),MATCH(orders!K$1,products!$A$1:$G$1,0))</f>
        <v>4.3650000000000002</v>
      </c>
      <c r="L516" s="6">
        <f>K516*E516</f>
        <v>26.19</v>
      </c>
      <c r="M516" t="str" cm="1">
        <f t="array" ref="M516">_xlfn.IFS(H516="Rob","Robusta",H516="Exc","Excelsa",H516="Ara","Arabica",H516="Lib","Liberica")</f>
        <v>Liberica</v>
      </c>
      <c r="N516" t="str" cm="1">
        <f t="array" ref="N516">_xlfn.IFS(I516="M","Medium",I516="L","Light",I516="D","Dark")</f>
        <v>Medium</v>
      </c>
      <c r="O516" t="str">
        <f>_xlfn.XLOOKUP(Orders[[#This Row],[Customer ID]],customers!$A$2:$A$1001,customers!$I$2:$I$1001,,0)</f>
        <v>Yes</v>
      </c>
    </row>
    <row r="517" spans="1:15" x14ac:dyDescent="0.3">
      <c r="A517" s="2" t="s">
        <v>3402</v>
      </c>
      <c r="B517" s="3">
        <v>44673</v>
      </c>
      <c r="C517" s="2" t="s">
        <v>3403</v>
      </c>
      <c r="D517" t="s">
        <v>6173</v>
      </c>
      <c r="E517" s="2">
        <v>3</v>
      </c>
      <c r="F517" s="2" t="str">
        <f>_xlfn.XLOOKUP(C517,customers!$A$2:$A$1001,customers!$B$2:$B$1001,,0)</f>
        <v>Tildie Tilzey</v>
      </c>
      <c r="G517" s="2" t="str">
        <f>_xlfn.XLOOKUP(C517,customers!$A$2:$A$1001,customers!$G$2:$G$1001,,0)</f>
        <v>United States</v>
      </c>
      <c r="H517" t="str">
        <f>INDEX(products!$A$1:$G$49,MATCH(orders!$D517,products!$A$1:$A$49,0),MATCH(orders!H$1,products!$A$1:$G$1,0))</f>
        <v>Rob</v>
      </c>
      <c r="I517" t="str">
        <f>INDEX(products!$A$1:$G$49,MATCH(orders!$D517,products!$A$1:$A$49,0),MATCH(orders!I$1,products!$A$1:$G$1,0))</f>
        <v>L</v>
      </c>
      <c r="J517" s="5">
        <f>INDEX(products!$A$1:$G$49,MATCH(orders!$D517,products!$A$1:$A$49,0),MATCH(orders!J$1,products!$A$1:$G$1,0))</f>
        <v>0.5</v>
      </c>
      <c r="K517" s="6">
        <f>INDEX(products!$A$1:$G$49,MATCH(orders!$D517,products!$A$1:$A$49,0),MATCH(orders!K$1,products!$A$1:$G$1,0))</f>
        <v>7.169999999999999</v>
      </c>
      <c r="L517" s="6">
        <f>K517*E517</f>
        <v>21.509999999999998</v>
      </c>
      <c r="M517" t="str" cm="1">
        <f t="array" ref="M517">_xlfn.IFS(H517="Rob","Robusta",H517="Exc","Excelsa",H517="Ara","Arabica",H517="Lib","Liberica")</f>
        <v>Robusta</v>
      </c>
      <c r="N517" t="str" cm="1">
        <f t="array" ref="N517">_xlfn.IFS(I517="M","Medium",I517="L","Light",I517="D","Dark")</f>
        <v>Light</v>
      </c>
      <c r="O517" t="str">
        <f>_xlfn.XLOOKUP(Orders[[#This Row],[Customer ID]],customers!$A$2:$A$1001,customers!$I$2:$I$1001,,0)</f>
        <v>No</v>
      </c>
    </row>
    <row r="518" spans="1:15" x14ac:dyDescent="0.3">
      <c r="A518" s="2" t="s">
        <v>3408</v>
      </c>
      <c r="B518" s="3">
        <v>44723</v>
      </c>
      <c r="C518" s="2" t="s">
        <v>3409</v>
      </c>
      <c r="D518" t="s">
        <v>6149</v>
      </c>
      <c r="E518" s="2">
        <v>5</v>
      </c>
      <c r="F518" s="2" t="str">
        <f>_xlfn.XLOOKUP(C518,customers!$A$2:$A$1001,customers!$B$2:$B$1001,,0)</f>
        <v>Cindra Burling</v>
      </c>
      <c r="G518" s="2" t="str">
        <f>_xlfn.XLOOKUP(C518,customers!$A$2:$A$1001,customers!$G$2:$G$1001,,0)</f>
        <v>United States</v>
      </c>
      <c r="H518" t="str">
        <f>INDEX(products!$A$1:$G$49,MATCH(orders!$D518,products!$A$1:$A$49,0),MATCH(orders!H$1,products!$A$1:$G$1,0))</f>
        <v>Rob</v>
      </c>
      <c r="I518" t="str">
        <f>INDEX(products!$A$1:$G$49,MATCH(orders!$D518,products!$A$1:$A$49,0),MATCH(orders!I$1,products!$A$1:$G$1,0))</f>
        <v>D</v>
      </c>
      <c r="J518" s="5">
        <f>INDEX(products!$A$1:$G$49,MATCH(orders!$D518,products!$A$1:$A$49,0),MATCH(orders!J$1,products!$A$1:$G$1,0))</f>
        <v>2.5</v>
      </c>
      <c r="K518" s="6">
        <f>INDEX(products!$A$1:$G$49,MATCH(orders!$D518,products!$A$1:$A$49,0),MATCH(orders!K$1,products!$A$1:$G$1,0))</f>
        <v>20.584999999999997</v>
      </c>
      <c r="L518" s="6">
        <f>K518*E518</f>
        <v>102.92499999999998</v>
      </c>
      <c r="M518" t="str" cm="1">
        <f t="array" ref="M518">_xlfn.IFS(H518="Rob","Robusta",H518="Exc","Excelsa",H518="Ara","Arabica",H518="Lib","Liberica")</f>
        <v>Robusta</v>
      </c>
      <c r="N518" t="str" cm="1">
        <f t="array" ref="N518">_xlfn.IFS(I518="M","Medium",I518="L","Light",I518="D","Dark")</f>
        <v>Dark</v>
      </c>
      <c r="O518" t="str">
        <f>_xlfn.XLOOKUP(Orders[[#This Row],[Customer ID]],customers!$A$2:$A$1001,customers!$I$2:$I$1001,,0)</f>
        <v>Yes</v>
      </c>
    </row>
    <row r="519" spans="1:15" x14ac:dyDescent="0.3">
      <c r="A519" s="2" t="s">
        <v>3413</v>
      </c>
      <c r="B519" s="3">
        <v>44678</v>
      </c>
      <c r="C519" s="2" t="s">
        <v>3414</v>
      </c>
      <c r="D519" t="s">
        <v>6150</v>
      </c>
      <c r="E519" s="2">
        <v>2</v>
      </c>
      <c r="F519" s="2" t="str">
        <f>_xlfn.XLOOKUP(C519,customers!$A$2:$A$1001,customers!$B$2:$B$1001,,0)</f>
        <v>Channa Belamy</v>
      </c>
      <c r="G519" s="2" t="str">
        <f>_xlfn.XLOOKUP(C519,customers!$A$2:$A$1001,customers!$G$2:$G$1001,,0)</f>
        <v>United States</v>
      </c>
      <c r="H519" t="str">
        <f>INDEX(products!$A$1:$G$49,MATCH(orders!$D519,products!$A$1:$A$49,0),MATCH(orders!H$1,products!$A$1:$G$1,0))</f>
        <v>Lib</v>
      </c>
      <c r="I519" t="str">
        <f>INDEX(products!$A$1:$G$49,MATCH(orders!$D519,products!$A$1:$A$49,0),MATCH(orders!I$1,products!$A$1:$G$1,0))</f>
        <v>D</v>
      </c>
      <c r="J519" s="5">
        <f>INDEX(products!$A$1:$G$49,MATCH(orders!$D519,products!$A$1:$A$49,0),MATCH(orders!J$1,products!$A$1:$G$1,0))</f>
        <v>0.2</v>
      </c>
      <c r="K519" s="6">
        <f>INDEX(products!$A$1:$G$49,MATCH(orders!$D519,products!$A$1:$A$49,0),MATCH(orders!K$1,products!$A$1:$G$1,0))</f>
        <v>3.8849999999999998</v>
      </c>
      <c r="L519" s="6">
        <f>K519*E519</f>
        <v>7.77</v>
      </c>
      <c r="M519" t="str" cm="1">
        <f t="array" ref="M519">_xlfn.IFS(H519="Rob","Robusta",H519="Exc","Excelsa",H519="Ara","Arabica",H519="Lib","Liberica")</f>
        <v>Liberica</v>
      </c>
      <c r="N519" t="str" cm="1">
        <f t="array" ref="N519">_xlfn.IFS(I519="M","Medium",I519="L","Light",I519="D","Dark")</f>
        <v>Dark</v>
      </c>
      <c r="O519" t="str">
        <f>_xlfn.XLOOKUP(Orders[[#This Row],[Customer ID]],customers!$A$2:$A$1001,customers!$I$2:$I$1001,,0)</f>
        <v>No</v>
      </c>
    </row>
    <row r="520" spans="1:15" x14ac:dyDescent="0.3">
      <c r="A520" s="2" t="s">
        <v>3418</v>
      </c>
      <c r="B520" s="3">
        <v>44194</v>
      </c>
      <c r="C520" s="2" t="s">
        <v>3419</v>
      </c>
      <c r="D520" t="s">
        <v>6185</v>
      </c>
      <c r="E520" s="2">
        <v>5</v>
      </c>
      <c r="F520" s="2" t="str">
        <f>_xlfn.XLOOKUP(C520,customers!$A$2:$A$1001,customers!$B$2:$B$1001,,0)</f>
        <v>Karl Imorts</v>
      </c>
      <c r="G520" s="2" t="str">
        <f>_xlfn.XLOOKUP(C520,customers!$A$2:$A$1001,customers!$G$2:$G$1001,,0)</f>
        <v>United States</v>
      </c>
      <c r="H520" t="str">
        <f>INDEX(products!$A$1:$G$49,MATCH(orders!$D520,products!$A$1:$A$49,0),MATCH(orders!H$1,products!$A$1:$G$1,0))</f>
        <v>Exc</v>
      </c>
      <c r="I520" t="str">
        <f>INDEX(products!$A$1:$G$49,MATCH(orders!$D520,products!$A$1:$A$49,0),MATCH(orders!I$1,products!$A$1:$G$1,0))</f>
        <v>D</v>
      </c>
      <c r="J520" s="5">
        <f>INDEX(products!$A$1:$G$49,MATCH(orders!$D520,products!$A$1:$A$49,0),MATCH(orders!J$1,products!$A$1:$G$1,0))</f>
        <v>2.5</v>
      </c>
      <c r="K520" s="6">
        <f>INDEX(products!$A$1:$G$49,MATCH(orders!$D520,products!$A$1:$A$49,0),MATCH(orders!K$1,products!$A$1:$G$1,0))</f>
        <v>27.945</v>
      </c>
      <c r="L520" s="6">
        <f>K520*E520</f>
        <v>139.72499999999999</v>
      </c>
      <c r="M520" t="str" cm="1">
        <f t="array" ref="M520">_xlfn.IFS(H520="Rob","Robusta",H520="Exc","Excelsa",H520="Ara","Arabica",H520="Lib","Liberica")</f>
        <v>Excelsa</v>
      </c>
      <c r="N520" t="str" cm="1">
        <f t="array" ref="N520">_xlfn.IFS(I520="M","Medium",I520="L","Light",I520="D","Dark")</f>
        <v>Dark</v>
      </c>
      <c r="O520" t="str">
        <f>_xlfn.XLOOKUP(Orders[[#This Row],[Customer ID]],customers!$A$2:$A$1001,customers!$I$2:$I$1001,,0)</f>
        <v>No</v>
      </c>
    </row>
    <row r="521" spans="1:15" x14ac:dyDescent="0.3">
      <c r="A521" s="2" t="s">
        <v>3424</v>
      </c>
      <c r="B521" s="3">
        <v>44026</v>
      </c>
      <c r="C521" s="2" t="s">
        <v>3368</v>
      </c>
      <c r="D521" t="s">
        <v>6158</v>
      </c>
      <c r="E521" s="2">
        <v>2</v>
      </c>
      <c r="F521" s="2" t="str">
        <f>_xlfn.XLOOKUP(C521,customers!$A$2:$A$1001,customers!$B$2:$B$1001,,0)</f>
        <v>Marja Urion</v>
      </c>
      <c r="G521" s="2" t="str">
        <f>_xlfn.XLOOKUP(C521,customers!$A$2:$A$1001,customers!$G$2:$G$1001,,0)</f>
        <v>Ireland</v>
      </c>
      <c r="H521" t="str">
        <f>INDEX(products!$A$1:$G$49,MATCH(orders!$D521,products!$A$1:$A$49,0),MATCH(orders!H$1,products!$A$1:$G$1,0))</f>
        <v>Ara</v>
      </c>
      <c r="I521" t="str">
        <f>INDEX(products!$A$1:$G$49,MATCH(orders!$D521,products!$A$1:$A$49,0),MATCH(orders!I$1,products!$A$1:$G$1,0))</f>
        <v>D</v>
      </c>
      <c r="J521" s="5">
        <f>INDEX(products!$A$1:$G$49,MATCH(orders!$D521,products!$A$1:$A$49,0),MATCH(orders!J$1,products!$A$1:$G$1,0))</f>
        <v>0.5</v>
      </c>
      <c r="K521" s="6">
        <f>INDEX(products!$A$1:$G$49,MATCH(orders!$D521,products!$A$1:$A$49,0),MATCH(orders!K$1,products!$A$1:$G$1,0))</f>
        <v>5.97</v>
      </c>
      <c r="L521" s="6">
        <f>K521*E521</f>
        <v>11.94</v>
      </c>
      <c r="M521" t="str" cm="1">
        <f t="array" ref="M521">_xlfn.IFS(H521="Rob","Robusta",H521="Exc","Excelsa",H521="Ara","Arabica",H521="Lib","Liberica")</f>
        <v>Arabica</v>
      </c>
      <c r="N521" t="str" cm="1">
        <f t="array" ref="N521">_xlfn.IFS(I521="M","Medium",I521="L","Light",I521="D","Dark")</f>
        <v>Dark</v>
      </c>
      <c r="O521" t="str">
        <f>_xlfn.XLOOKUP(Orders[[#This Row],[Customer ID]],customers!$A$2:$A$1001,customers!$I$2:$I$1001,,0)</f>
        <v>Yes</v>
      </c>
    </row>
    <row r="522" spans="1:15" x14ac:dyDescent="0.3">
      <c r="A522" s="2" t="s">
        <v>3430</v>
      </c>
      <c r="B522" s="3">
        <v>44446</v>
      </c>
      <c r="C522" s="2" t="s">
        <v>3431</v>
      </c>
      <c r="D522" t="s">
        <v>6150</v>
      </c>
      <c r="E522" s="2">
        <v>1</v>
      </c>
      <c r="F522" s="2" t="str">
        <f>_xlfn.XLOOKUP(C522,customers!$A$2:$A$1001,customers!$B$2:$B$1001,,0)</f>
        <v>Mag Armistead</v>
      </c>
      <c r="G522" s="2" t="str">
        <f>_xlfn.XLOOKUP(C522,customers!$A$2:$A$1001,customers!$G$2:$G$1001,,0)</f>
        <v>United States</v>
      </c>
      <c r="H522" t="str">
        <f>INDEX(products!$A$1:$G$49,MATCH(orders!$D522,products!$A$1:$A$49,0),MATCH(orders!H$1,products!$A$1:$G$1,0))</f>
        <v>Lib</v>
      </c>
      <c r="I522" t="str">
        <f>INDEX(products!$A$1:$G$49,MATCH(orders!$D522,products!$A$1:$A$49,0),MATCH(orders!I$1,products!$A$1:$G$1,0))</f>
        <v>D</v>
      </c>
      <c r="J522" s="5">
        <f>INDEX(products!$A$1:$G$49,MATCH(orders!$D522,products!$A$1:$A$49,0),MATCH(orders!J$1,products!$A$1:$G$1,0))</f>
        <v>0.2</v>
      </c>
      <c r="K522" s="6">
        <f>INDEX(products!$A$1:$G$49,MATCH(orders!$D522,products!$A$1:$A$49,0),MATCH(orders!K$1,products!$A$1:$G$1,0))</f>
        <v>3.8849999999999998</v>
      </c>
      <c r="L522" s="6">
        <f>K522*E522</f>
        <v>3.8849999999999998</v>
      </c>
      <c r="M522" t="str" cm="1">
        <f t="array" ref="M522">_xlfn.IFS(H522="Rob","Robusta",H522="Exc","Excelsa",H522="Ara","Arabica",H522="Lib","Liberica")</f>
        <v>Liberica</v>
      </c>
      <c r="N522" t="str" cm="1">
        <f t="array" ref="N522">_xlfn.IFS(I522="M","Medium",I522="L","Light",I522="D","Dark")</f>
        <v>Dark</v>
      </c>
      <c r="O522" t="str">
        <f>_xlfn.XLOOKUP(Orders[[#This Row],[Customer ID]],customers!$A$2:$A$1001,customers!$I$2:$I$1001,,0)</f>
        <v>No</v>
      </c>
    </row>
    <row r="523" spans="1:15" x14ac:dyDescent="0.3">
      <c r="A523" s="2" t="s">
        <v>3430</v>
      </c>
      <c r="B523" s="3">
        <v>44446</v>
      </c>
      <c r="C523" s="2" t="s">
        <v>3431</v>
      </c>
      <c r="D523" t="s">
        <v>6138</v>
      </c>
      <c r="E523" s="2">
        <v>4</v>
      </c>
      <c r="F523" s="2" t="str">
        <f>_xlfn.XLOOKUP(C523,customers!$A$2:$A$1001,customers!$B$2:$B$1001,,0)</f>
        <v>Mag Armistead</v>
      </c>
      <c r="G523" s="2" t="str">
        <f>_xlfn.XLOOKUP(C523,customers!$A$2:$A$1001,customers!$G$2:$G$1001,,0)</f>
        <v>United States</v>
      </c>
      <c r="H523" t="str">
        <f>INDEX(products!$A$1:$G$49,MATCH(orders!$D523,products!$A$1:$A$49,0),MATCH(orders!H$1,products!$A$1:$G$1,0))</f>
        <v>Rob</v>
      </c>
      <c r="I523" t="str">
        <f>INDEX(products!$A$1:$G$49,MATCH(orders!$D523,products!$A$1:$A$49,0),MATCH(orders!I$1,products!$A$1:$G$1,0))</f>
        <v>M</v>
      </c>
      <c r="J523" s="5">
        <f>INDEX(products!$A$1:$G$49,MATCH(orders!$D523,products!$A$1:$A$49,0),MATCH(orders!J$1,products!$A$1:$G$1,0))</f>
        <v>1</v>
      </c>
      <c r="K523" s="6">
        <f>INDEX(products!$A$1:$G$49,MATCH(orders!$D523,products!$A$1:$A$49,0),MATCH(orders!K$1,products!$A$1:$G$1,0))</f>
        <v>9.9499999999999993</v>
      </c>
      <c r="L523" s="6">
        <f>K523*E523</f>
        <v>39.799999999999997</v>
      </c>
      <c r="M523" t="str" cm="1">
        <f t="array" ref="M523">_xlfn.IFS(H523="Rob","Robusta",H523="Exc","Excelsa",H523="Ara","Arabica",H523="Lib","Liberica")</f>
        <v>Robusta</v>
      </c>
      <c r="N523" t="str" cm="1">
        <f t="array" ref="N523">_xlfn.IFS(I523="M","Medium",I523="L","Light",I523="D","Dark")</f>
        <v>Medium</v>
      </c>
      <c r="O523" t="str">
        <f>_xlfn.XLOOKUP(Orders[[#This Row],[Customer ID]],customers!$A$2:$A$1001,customers!$I$2:$I$1001,,0)</f>
        <v>No</v>
      </c>
    </row>
    <row r="524" spans="1:15" x14ac:dyDescent="0.3">
      <c r="A524" s="2" t="s">
        <v>3441</v>
      </c>
      <c r="B524" s="3">
        <v>43625</v>
      </c>
      <c r="C524" s="2" t="s">
        <v>3442</v>
      </c>
      <c r="D524" t="s">
        <v>6146</v>
      </c>
      <c r="E524" s="2">
        <v>5</v>
      </c>
      <c r="F524" s="2" t="str">
        <f>_xlfn.XLOOKUP(C524,customers!$A$2:$A$1001,customers!$B$2:$B$1001,,0)</f>
        <v>Vasili Upstone</v>
      </c>
      <c r="G524" s="2" t="str">
        <f>_xlfn.XLOOKUP(C524,customers!$A$2:$A$1001,customers!$G$2:$G$1001,,0)</f>
        <v>United States</v>
      </c>
      <c r="H524" t="str">
        <f>INDEX(products!$A$1:$G$49,MATCH(orders!$D524,products!$A$1:$A$49,0),MATCH(orders!H$1,products!$A$1:$G$1,0))</f>
        <v>Rob</v>
      </c>
      <c r="I524" t="str">
        <f>INDEX(products!$A$1:$G$49,MATCH(orders!$D524,products!$A$1:$A$49,0),MATCH(orders!I$1,products!$A$1:$G$1,0))</f>
        <v>M</v>
      </c>
      <c r="J524" s="5">
        <f>INDEX(products!$A$1:$G$49,MATCH(orders!$D524,products!$A$1:$A$49,0),MATCH(orders!J$1,products!$A$1:$G$1,0))</f>
        <v>0.5</v>
      </c>
      <c r="K524" s="6">
        <f>INDEX(products!$A$1:$G$49,MATCH(orders!$D524,products!$A$1:$A$49,0),MATCH(orders!K$1,products!$A$1:$G$1,0))</f>
        <v>5.97</v>
      </c>
      <c r="L524" s="6">
        <f>K524*E524</f>
        <v>29.849999999999998</v>
      </c>
      <c r="M524" t="str" cm="1">
        <f t="array" ref="M524">_xlfn.IFS(H524="Rob","Robusta",H524="Exc","Excelsa",H524="Ara","Arabica",H524="Lib","Liberica")</f>
        <v>Robusta</v>
      </c>
      <c r="N524" t="str" cm="1">
        <f t="array" ref="N524">_xlfn.IFS(I524="M","Medium",I524="L","Light",I524="D","Dark")</f>
        <v>Medium</v>
      </c>
      <c r="O524" t="str">
        <f>_xlfn.XLOOKUP(Orders[[#This Row],[Customer ID]],customers!$A$2:$A$1001,customers!$I$2:$I$1001,,0)</f>
        <v>No</v>
      </c>
    </row>
    <row r="525" spans="1:15" x14ac:dyDescent="0.3">
      <c r="A525" s="2" t="s">
        <v>3447</v>
      </c>
      <c r="B525" s="3">
        <v>44129</v>
      </c>
      <c r="C525" s="2" t="s">
        <v>3448</v>
      </c>
      <c r="D525" t="s">
        <v>6165</v>
      </c>
      <c r="E525" s="2">
        <v>1</v>
      </c>
      <c r="F525" s="2" t="str">
        <f>_xlfn.XLOOKUP(C525,customers!$A$2:$A$1001,customers!$B$2:$B$1001,,0)</f>
        <v>Berty Beelby</v>
      </c>
      <c r="G525" s="2" t="str">
        <f>_xlfn.XLOOKUP(C525,customers!$A$2:$A$1001,customers!$G$2:$G$1001,,0)</f>
        <v>Ireland</v>
      </c>
      <c r="H525" t="str">
        <f>INDEX(products!$A$1:$G$49,MATCH(orders!$D525,products!$A$1:$A$49,0),MATCH(orders!H$1,products!$A$1:$G$1,0))</f>
        <v>Lib</v>
      </c>
      <c r="I525" t="str">
        <f>INDEX(products!$A$1:$G$49,MATCH(orders!$D525,products!$A$1:$A$49,0),MATCH(orders!I$1,products!$A$1:$G$1,0))</f>
        <v>D</v>
      </c>
      <c r="J525" s="5">
        <f>INDEX(products!$A$1:$G$49,MATCH(orders!$D525,products!$A$1:$A$49,0),MATCH(orders!J$1,products!$A$1:$G$1,0))</f>
        <v>2.5</v>
      </c>
      <c r="K525" s="6">
        <f>INDEX(products!$A$1:$G$49,MATCH(orders!$D525,products!$A$1:$A$49,0),MATCH(orders!K$1,products!$A$1:$G$1,0))</f>
        <v>29.784999999999997</v>
      </c>
      <c r="L525" s="6">
        <f>K525*E525</f>
        <v>29.784999999999997</v>
      </c>
      <c r="M525" t="str" cm="1">
        <f t="array" ref="M525">_xlfn.IFS(H525="Rob","Robusta",H525="Exc","Excelsa",H525="Ara","Arabica",H525="Lib","Liberica")</f>
        <v>Liberica</v>
      </c>
      <c r="N525" t="str" cm="1">
        <f t="array" ref="N525">_xlfn.IFS(I525="M","Medium",I525="L","Light",I525="D","Dark")</f>
        <v>Dark</v>
      </c>
      <c r="O525" t="str">
        <f>_xlfn.XLOOKUP(Orders[[#This Row],[Customer ID]],customers!$A$2:$A$1001,customers!$I$2:$I$1001,,0)</f>
        <v>No</v>
      </c>
    </row>
    <row r="526" spans="1:15" x14ac:dyDescent="0.3">
      <c r="A526" s="2" t="s">
        <v>3453</v>
      </c>
      <c r="B526" s="3">
        <v>44255</v>
      </c>
      <c r="C526" s="2" t="s">
        <v>3454</v>
      </c>
      <c r="D526" t="s">
        <v>6164</v>
      </c>
      <c r="E526" s="2">
        <v>2</v>
      </c>
      <c r="F526" s="2" t="str">
        <f>_xlfn.XLOOKUP(C526,customers!$A$2:$A$1001,customers!$B$2:$B$1001,,0)</f>
        <v>Erny Stenyng</v>
      </c>
      <c r="G526" s="2" t="str">
        <f>_xlfn.XLOOKUP(C526,customers!$A$2:$A$1001,customers!$G$2:$G$1001,,0)</f>
        <v>United States</v>
      </c>
      <c r="H526" t="str">
        <f>INDEX(products!$A$1:$G$49,MATCH(orders!$D526,products!$A$1:$A$49,0),MATCH(orders!H$1,products!$A$1:$G$1,0))</f>
        <v>Lib</v>
      </c>
      <c r="I526" t="str">
        <f>INDEX(products!$A$1:$G$49,MATCH(orders!$D526,products!$A$1:$A$49,0),MATCH(orders!I$1,products!$A$1:$G$1,0))</f>
        <v>L</v>
      </c>
      <c r="J526" s="5">
        <f>INDEX(products!$A$1:$G$49,MATCH(orders!$D526,products!$A$1:$A$49,0),MATCH(orders!J$1,products!$A$1:$G$1,0))</f>
        <v>2.5</v>
      </c>
      <c r="K526" s="6">
        <f>INDEX(products!$A$1:$G$49,MATCH(orders!$D526,products!$A$1:$A$49,0),MATCH(orders!K$1,products!$A$1:$G$1,0))</f>
        <v>36.454999999999998</v>
      </c>
      <c r="L526" s="6">
        <f>K526*E526</f>
        <v>72.91</v>
      </c>
      <c r="M526" t="str" cm="1">
        <f t="array" ref="M526">_xlfn.IFS(H526="Rob","Robusta",H526="Exc","Excelsa",H526="Ara","Arabica",H526="Lib","Liberica")</f>
        <v>Liberica</v>
      </c>
      <c r="N526" t="str" cm="1">
        <f t="array" ref="N526">_xlfn.IFS(I526="M","Medium",I526="L","Light",I526="D","Dark")</f>
        <v>Light</v>
      </c>
      <c r="O526" t="str">
        <f>_xlfn.XLOOKUP(Orders[[#This Row],[Customer ID]],customers!$A$2:$A$1001,customers!$I$2:$I$1001,,0)</f>
        <v>No</v>
      </c>
    </row>
    <row r="527" spans="1:15" x14ac:dyDescent="0.3">
      <c r="A527" s="2" t="s">
        <v>3458</v>
      </c>
      <c r="B527" s="3">
        <v>44038</v>
      </c>
      <c r="C527" s="2" t="s">
        <v>3459</v>
      </c>
      <c r="D527" t="s">
        <v>6163</v>
      </c>
      <c r="E527" s="2">
        <v>5</v>
      </c>
      <c r="F527" s="2" t="str">
        <f>_xlfn.XLOOKUP(C527,customers!$A$2:$A$1001,customers!$B$2:$B$1001,,0)</f>
        <v>Edin Yantsurev</v>
      </c>
      <c r="G527" s="2" t="str">
        <f>_xlfn.XLOOKUP(C527,customers!$A$2:$A$1001,customers!$G$2:$G$1001,,0)</f>
        <v>United States</v>
      </c>
      <c r="H527" t="str">
        <f>INDEX(products!$A$1:$G$49,MATCH(orders!$D527,products!$A$1:$A$49,0),MATCH(orders!H$1,products!$A$1:$G$1,0))</f>
        <v>Rob</v>
      </c>
      <c r="I527" t="str">
        <f>INDEX(products!$A$1:$G$49,MATCH(orders!$D527,products!$A$1:$A$49,0),MATCH(orders!I$1,products!$A$1:$G$1,0))</f>
        <v>D</v>
      </c>
      <c r="J527" s="5">
        <f>INDEX(products!$A$1:$G$49,MATCH(orders!$D527,products!$A$1:$A$49,0),MATCH(orders!J$1,products!$A$1:$G$1,0))</f>
        <v>0.2</v>
      </c>
      <c r="K527" s="6">
        <f>INDEX(products!$A$1:$G$49,MATCH(orders!$D527,products!$A$1:$A$49,0),MATCH(orders!K$1,products!$A$1:$G$1,0))</f>
        <v>2.6849999999999996</v>
      </c>
      <c r="L527" s="6">
        <f>K527*E527</f>
        <v>13.424999999999997</v>
      </c>
      <c r="M527" t="str" cm="1">
        <f t="array" ref="M527">_xlfn.IFS(H527="Rob","Robusta",H527="Exc","Excelsa",H527="Ara","Arabica",H527="Lib","Liberica")</f>
        <v>Robusta</v>
      </c>
      <c r="N527" t="str" cm="1">
        <f t="array" ref="N527">_xlfn.IFS(I527="M","Medium",I527="L","Light",I527="D","Dark")</f>
        <v>Dark</v>
      </c>
      <c r="O527" t="str">
        <f>_xlfn.XLOOKUP(Orders[[#This Row],[Customer ID]],customers!$A$2:$A$1001,customers!$I$2:$I$1001,,0)</f>
        <v>Yes</v>
      </c>
    </row>
    <row r="528" spans="1:15" x14ac:dyDescent="0.3">
      <c r="A528" s="2" t="s">
        <v>3463</v>
      </c>
      <c r="B528" s="3">
        <v>44717</v>
      </c>
      <c r="C528" s="2" t="s">
        <v>3464</v>
      </c>
      <c r="D528" t="s">
        <v>6166</v>
      </c>
      <c r="E528" s="2">
        <v>4</v>
      </c>
      <c r="F528" s="2" t="str">
        <f>_xlfn.XLOOKUP(C528,customers!$A$2:$A$1001,customers!$B$2:$B$1001,,0)</f>
        <v>Webb Speechly</v>
      </c>
      <c r="G528" s="2" t="str">
        <f>_xlfn.XLOOKUP(C528,customers!$A$2:$A$1001,customers!$G$2:$G$1001,,0)</f>
        <v>United States</v>
      </c>
      <c r="H528" t="str">
        <f>INDEX(products!$A$1:$G$49,MATCH(orders!$D528,products!$A$1:$A$49,0),MATCH(orders!H$1,products!$A$1:$G$1,0))</f>
        <v>Exc</v>
      </c>
      <c r="I528" t="str">
        <f>INDEX(products!$A$1:$G$49,MATCH(orders!$D528,products!$A$1:$A$49,0),MATCH(orders!I$1,products!$A$1:$G$1,0))</f>
        <v>M</v>
      </c>
      <c r="J528" s="5">
        <f>INDEX(products!$A$1:$G$49,MATCH(orders!$D528,products!$A$1:$A$49,0),MATCH(orders!J$1,products!$A$1:$G$1,0))</f>
        <v>2.5</v>
      </c>
      <c r="K528" s="6">
        <f>INDEX(products!$A$1:$G$49,MATCH(orders!$D528,products!$A$1:$A$49,0),MATCH(orders!K$1,products!$A$1:$G$1,0))</f>
        <v>31.624999999999996</v>
      </c>
      <c r="L528" s="6">
        <f>K528*E528</f>
        <v>126.49999999999999</v>
      </c>
      <c r="M528" t="str" cm="1">
        <f t="array" ref="M528">_xlfn.IFS(H528="Rob","Robusta",H528="Exc","Excelsa",H528="Ara","Arabica",H528="Lib","Liberica")</f>
        <v>Excelsa</v>
      </c>
      <c r="N528" t="str" cm="1">
        <f t="array" ref="N528">_xlfn.IFS(I528="M","Medium",I528="L","Light",I528="D","Dark")</f>
        <v>Medium</v>
      </c>
      <c r="O528" t="str">
        <f>_xlfn.XLOOKUP(Orders[[#This Row],[Customer ID]],customers!$A$2:$A$1001,customers!$I$2:$I$1001,,0)</f>
        <v>Yes</v>
      </c>
    </row>
    <row r="529" spans="1:15" x14ac:dyDescent="0.3">
      <c r="A529" s="2" t="s">
        <v>3469</v>
      </c>
      <c r="B529" s="3">
        <v>43517</v>
      </c>
      <c r="C529" s="2" t="s">
        <v>3470</v>
      </c>
      <c r="D529" t="s">
        <v>6139</v>
      </c>
      <c r="E529" s="2">
        <v>5</v>
      </c>
      <c r="F529" s="2" t="str">
        <f>_xlfn.XLOOKUP(C529,customers!$A$2:$A$1001,customers!$B$2:$B$1001,,0)</f>
        <v>Irvine Phillpot</v>
      </c>
      <c r="G529" s="2" t="str">
        <f>_xlfn.XLOOKUP(C529,customers!$A$2:$A$1001,customers!$G$2:$G$1001,,0)</f>
        <v>United Kingdom</v>
      </c>
      <c r="H529" t="str">
        <f>INDEX(products!$A$1:$G$49,MATCH(orders!$D529,products!$A$1:$A$49,0),MATCH(orders!H$1,products!$A$1:$G$1,0))</f>
        <v>Exc</v>
      </c>
      <c r="I529" t="str">
        <f>INDEX(products!$A$1:$G$49,MATCH(orders!$D529,products!$A$1:$A$49,0),MATCH(orders!I$1,products!$A$1:$G$1,0))</f>
        <v>M</v>
      </c>
      <c r="J529" s="5">
        <f>INDEX(products!$A$1:$G$49,MATCH(orders!$D529,products!$A$1:$A$49,0),MATCH(orders!J$1,products!$A$1:$G$1,0))</f>
        <v>0.5</v>
      </c>
      <c r="K529" s="6">
        <f>INDEX(products!$A$1:$G$49,MATCH(orders!$D529,products!$A$1:$A$49,0),MATCH(orders!K$1,products!$A$1:$G$1,0))</f>
        <v>8.25</v>
      </c>
      <c r="L529" s="6">
        <f>K529*E529</f>
        <v>41.25</v>
      </c>
      <c r="M529" t="str" cm="1">
        <f t="array" ref="M529">_xlfn.IFS(H529="Rob","Robusta",H529="Exc","Excelsa",H529="Ara","Arabica",H529="Lib","Liberica")</f>
        <v>Excelsa</v>
      </c>
      <c r="N529" t="str" cm="1">
        <f t="array" ref="N529">_xlfn.IFS(I529="M","Medium",I529="L","Light",I529="D","Dark")</f>
        <v>Medium</v>
      </c>
      <c r="O529" t="str">
        <f>_xlfn.XLOOKUP(Orders[[#This Row],[Customer ID]],customers!$A$2:$A$1001,customers!$I$2:$I$1001,,0)</f>
        <v>No</v>
      </c>
    </row>
    <row r="530" spans="1:15" x14ac:dyDescent="0.3">
      <c r="A530" s="2" t="s">
        <v>3475</v>
      </c>
      <c r="B530" s="3">
        <v>43926</v>
      </c>
      <c r="C530" s="2" t="s">
        <v>3476</v>
      </c>
      <c r="D530" t="s">
        <v>6176</v>
      </c>
      <c r="E530" s="2">
        <v>6</v>
      </c>
      <c r="F530" s="2" t="str">
        <f>_xlfn.XLOOKUP(C530,customers!$A$2:$A$1001,customers!$B$2:$B$1001,,0)</f>
        <v>Lem Pennacci</v>
      </c>
      <c r="G530" s="2" t="str">
        <f>_xlfn.XLOOKUP(C530,customers!$A$2:$A$1001,customers!$G$2:$G$1001,,0)</f>
        <v>United States</v>
      </c>
      <c r="H530" t="str">
        <f>INDEX(products!$A$1:$G$49,MATCH(orders!$D530,products!$A$1:$A$49,0),MATCH(orders!H$1,products!$A$1:$G$1,0))</f>
        <v>Exc</v>
      </c>
      <c r="I530" t="str">
        <f>INDEX(products!$A$1:$G$49,MATCH(orders!$D530,products!$A$1:$A$49,0),MATCH(orders!I$1,products!$A$1:$G$1,0))</f>
        <v>L</v>
      </c>
      <c r="J530" s="5">
        <f>INDEX(products!$A$1:$G$49,MATCH(orders!$D530,products!$A$1:$A$49,0),MATCH(orders!J$1,products!$A$1:$G$1,0))</f>
        <v>0.5</v>
      </c>
      <c r="K530" s="6">
        <f>INDEX(products!$A$1:$G$49,MATCH(orders!$D530,products!$A$1:$A$49,0),MATCH(orders!K$1,products!$A$1:$G$1,0))</f>
        <v>8.91</v>
      </c>
      <c r="L530" s="6">
        <f>K530*E530</f>
        <v>53.46</v>
      </c>
      <c r="M530" t="str" cm="1">
        <f t="array" ref="M530">_xlfn.IFS(H530="Rob","Robusta",H530="Exc","Excelsa",H530="Ara","Arabica",H530="Lib","Liberica")</f>
        <v>Excelsa</v>
      </c>
      <c r="N530" t="str" cm="1">
        <f t="array" ref="N530">_xlfn.IFS(I530="M","Medium",I530="L","Light",I530="D","Dark")</f>
        <v>Light</v>
      </c>
      <c r="O530" t="str">
        <f>_xlfn.XLOOKUP(Orders[[#This Row],[Customer ID]],customers!$A$2:$A$1001,customers!$I$2:$I$1001,,0)</f>
        <v>No</v>
      </c>
    </row>
    <row r="531" spans="1:15" x14ac:dyDescent="0.3">
      <c r="A531" s="2" t="s">
        <v>3481</v>
      </c>
      <c r="B531" s="3">
        <v>43475</v>
      </c>
      <c r="C531" s="2" t="s">
        <v>3482</v>
      </c>
      <c r="D531" t="s">
        <v>6138</v>
      </c>
      <c r="E531" s="2">
        <v>6</v>
      </c>
      <c r="F531" s="2" t="str">
        <f>_xlfn.XLOOKUP(C531,customers!$A$2:$A$1001,customers!$B$2:$B$1001,,0)</f>
        <v>Starr Arpin</v>
      </c>
      <c r="G531" s="2" t="str">
        <f>_xlfn.XLOOKUP(C531,customers!$A$2:$A$1001,customers!$G$2:$G$1001,,0)</f>
        <v>United States</v>
      </c>
      <c r="H531" t="str">
        <f>INDEX(products!$A$1:$G$49,MATCH(orders!$D531,products!$A$1:$A$49,0),MATCH(orders!H$1,products!$A$1:$G$1,0))</f>
        <v>Rob</v>
      </c>
      <c r="I531" t="str">
        <f>INDEX(products!$A$1:$G$49,MATCH(orders!$D531,products!$A$1:$A$49,0),MATCH(orders!I$1,products!$A$1:$G$1,0))</f>
        <v>M</v>
      </c>
      <c r="J531" s="5">
        <f>INDEX(products!$A$1:$G$49,MATCH(orders!$D531,products!$A$1:$A$49,0),MATCH(orders!J$1,products!$A$1:$G$1,0))</f>
        <v>1</v>
      </c>
      <c r="K531" s="6">
        <f>INDEX(products!$A$1:$G$49,MATCH(orders!$D531,products!$A$1:$A$49,0),MATCH(orders!K$1,products!$A$1:$G$1,0))</f>
        <v>9.9499999999999993</v>
      </c>
      <c r="L531" s="6">
        <f>K531*E531</f>
        <v>59.699999999999996</v>
      </c>
      <c r="M531" t="str" cm="1">
        <f t="array" ref="M531">_xlfn.IFS(H531="Rob","Robusta",H531="Exc","Excelsa",H531="Ara","Arabica",H531="Lib","Liberica")</f>
        <v>Robusta</v>
      </c>
      <c r="N531" t="str" cm="1">
        <f t="array" ref="N531">_xlfn.IFS(I531="M","Medium",I531="L","Light",I531="D","Dark")</f>
        <v>Medium</v>
      </c>
      <c r="O531" t="str">
        <f>_xlfn.XLOOKUP(Orders[[#This Row],[Customer ID]],customers!$A$2:$A$1001,customers!$I$2:$I$1001,,0)</f>
        <v>No</v>
      </c>
    </row>
    <row r="532" spans="1:15" x14ac:dyDescent="0.3">
      <c r="A532" s="2" t="s">
        <v>3487</v>
      </c>
      <c r="B532" s="3">
        <v>44663</v>
      </c>
      <c r="C532" s="2" t="s">
        <v>3488</v>
      </c>
      <c r="D532" t="s">
        <v>6138</v>
      </c>
      <c r="E532" s="2">
        <v>6</v>
      </c>
      <c r="F532" s="2" t="str">
        <f>_xlfn.XLOOKUP(C532,customers!$A$2:$A$1001,customers!$B$2:$B$1001,,0)</f>
        <v>Donny Fries</v>
      </c>
      <c r="G532" s="2" t="str">
        <f>_xlfn.XLOOKUP(C532,customers!$A$2:$A$1001,customers!$G$2:$G$1001,,0)</f>
        <v>United States</v>
      </c>
      <c r="H532" t="str">
        <f>INDEX(products!$A$1:$G$49,MATCH(orders!$D532,products!$A$1:$A$49,0),MATCH(orders!H$1,products!$A$1:$G$1,0))</f>
        <v>Rob</v>
      </c>
      <c r="I532" t="str">
        <f>INDEX(products!$A$1:$G$49,MATCH(orders!$D532,products!$A$1:$A$49,0),MATCH(orders!I$1,products!$A$1:$G$1,0))</f>
        <v>M</v>
      </c>
      <c r="J532" s="5">
        <f>INDEX(products!$A$1:$G$49,MATCH(orders!$D532,products!$A$1:$A$49,0),MATCH(orders!J$1,products!$A$1:$G$1,0))</f>
        <v>1</v>
      </c>
      <c r="K532" s="6">
        <f>INDEX(products!$A$1:$G$49,MATCH(orders!$D532,products!$A$1:$A$49,0),MATCH(orders!K$1,products!$A$1:$G$1,0))</f>
        <v>9.9499999999999993</v>
      </c>
      <c r="L532" s="6">
        <f>K532*E532</f>
        <v>59.699999999999996</v>
      </c>
      <c r="M532" t="str" cm="1">
        <f t="array" ref="M532">_xlfn.IFS(H532="Rob","Robusta",H532="Exc","Excelsa",H532="Ara","Arabica",H532="Lib","Liberica")</f>
        <v>Robusta</v>
      </c>
      <c r="N532" t="str" cm="1">
        <f t="array" ref="N532">_xlfn.IFS(I532="M","Medium",I532="L","Light",I532="D","Dark")</f>
        <v>Medium</v>
      </c>
      <c r="O532" t="str">
        <f>_xlfn.XLOOKUP(Orders[[#This Row],[Customer ID]],customers!$A$2:$A$1001,customers!$I$2:$I$1001,,0)</f>
        <v>No</v>
      </c>
    </row>
    <row r="533" spans="1:15" x14ac:dyDescent="0.3">
      <c r="A533" s="2" t="s">
        <v>3493</v>
      </c>
      <c r="B533" s="3">
        <v>44591</v>
      </c>
      <c r="C533" s="2" t="s">
        <v>3494</v>
      </c>
      <c r="D533" t="s">
        <v>6177</v>
      </c>
      <c r="E533" s="2">
        <v>5</v>
      </c>
      <c r="F533" s="2" t="str">
        <f>_xlfn.XLOOKUP(C533,customers!$A$2:$A$1001,customers!$B$2:$B$1001,,0)</f>
        <v>Rana Sharer</v>
      </c>
      <c r="G533" s="2" t="str">
        <f>_xlfn.XLOOKUP(C533,customers!$A$2:$A$1001,customers!$G$2:$G$1001,,0)</f>
        <v>United States</v>
      </c>
      <c r="H533" t="str">
        <f>INDEX(products!$A$1:$G$49,MATCH(orders!$D533,products!$A$1:$A$49,0),MATCH(orders!H$1,products!$A$1:$G$1,0))</f>
        <v>Rob</v>
      </c>
      <c r="I533" t="str">
        <f>INDEX(products!$A$1:$G$49,MATCH(orders!$D533,products!$A$1:$A$49,0),MATCH(orders!I$1,products!$A$1:$G$1,0))</f>
        <v>D</v>
      </c>
      <c r="J533" s="5">
        <f>INDEX(products!$A$1:$G$49,MATCH(orders!$D533,products!$A$1:$A$49,0),MATCH(orders!J$1,products!$A$1:$G$1,0))</f>
        <v>1</v>
      </c>
      <c r="K533" s="6">
        <f>INDEX(products!$A$1:$G$49,MATCH(orders!$D533,products!$A$1:$A$49,0),MATCH(orders!K$1,products!$A$1:$G$1,0))</f>
        <v>8.9499999999999993</v>
      </c>
      <c r="L533" s="6">
        <f>K533*E533</f>
        <v>44.75</v>
      </c>
      <c r="M533" t="str" cm="1">
        <f t="array" ref="M533">_xlfn.IFS(H533="Rob","Robusta",H533="Exc","Excelsa",H533="Ara","Arabica",H533="Lib","Liberica")</f>
        <v>Robusta</v>
      </c>
      <c r="N533" t="str" cm="1">
        <f t="array" ref="N533">_xlfn.IFS(I533="M","Medium",I533="L","Light",I533="D","Dark")</f>
        <v>Dark</v>
      </c>
      <c r="O533" t="str">
        <f>_xlfn.XLOOKUP(Orders[[#This Row],[Customer ID]],customers!$A$2:$A$1001,customers!$I$2:$I$1001,,0)</f>
        <v>No</v>
      </c>
    </row>
    <row r="534" spans="1:15" x14ac:dyDescent="0.3">
      <c r="A534" s="2" t="s">
        <v>3499</v>
      </c>
      <c r="B534" s="3">
        <v>44330</v>
      </c>
      <c r="C534" s="2" t="s">
        <v>3500</v>
      </c>
      <c r="D534" t="s">
        <v>6139</v>
      </c>
      <c r="E534" s="2">
        <v>2</v>
      </c>
      <c r="F534" s="2" t="str">
        <f>_xlfn.XLOOKUP(C534,customers!$A$2:$A$1001,customers!$B$2:$B$1001,,0)</f>
        <v>Nannie Naseby</v>
      </c>
      <c r="G534" s="2" t="str">
        <f>_xlfn.XLOOKUP(C534,customers!$A$2:$A$1001,customers!$G$2:$G$1001,,0)</f>
        <v>United States</v>
      </c>
      <c r="H534" t="str">
        <f>INDEX(products!$A$1:$G$49,MATCH(orders!$D534,products!$A$1:$A$49,0),MATCH(orders!H$1,products!$A$1:$G$1,0))</f>
        <v>Exc</v>
      </c>
      <c r="I534" t="str">
        <f>INDEX(products!$A$1:$G$49,MATCH(orders!$D534,products!$A$1:$A$49,0),MATCH(orders!I$1,products!$A$1:$G$1,0))</f>
        <v>M</v>
      </c>
      <c r="J534" s="5">
        <f>INDEX(products!$A$1:$G$49,MATCH(orders!$D534,products!$A$1:$A$49,0),MATCH(orders!J$1,products!$A$1:$G$1,0))</f>
        <v>0.5</v>
      </c>
      <c r="K534" s="6">
        <f>INDEX(products!$A$1:$G$49,MATCH(orders!$D534,products!$A$1:$A$49,0),MATCH(orders!K$1,products!$A$1:$G$1,0))</f>
        <v>8.25</v>
      </c>
      <c r="L534" s="6">
        <f>K534*E534</f>
        <v>16.5</v>
      </c>
      <c r="M534" t="str" cm="1">
        <f t="array" ref="M534">_xlfn.IFS(H534="Rob","Robusta",H534="Exc","Excelsa",H534="Ara","Arabica",H534="Lib","Liberica")</f>
        <v>Excelsa</v>
      </c>
      <c r="N534" t="str" cm="1">
        <f t="array" ref="N534">_xlfn.IFS(I534="M","Medium",I534="L","Light",I534="D","Dark")</f>
        <v>Medium</v>
      </c>
      <c r="O534" t="str">
        <f>_xlfn.XLOOKUP(Orders[[#This Row],[Customer ID]],customers!$A$2:$A$1001,customers!$I$2:$I$1001,,0)</f>
        <v>Yes</v>
      </c>
    </row>
    <row r="535" spans="1:15" x14ac:dyDescent="0.3">
      <c r="A535" s="2" t="s">
        <v>3505</v>
      </c>
      <c r="B535" s="3">
        <v>44724</v>
      </c>
      <c r="C535" s="2" t="s">
        <v>3506</v>
      </c>
      <c r="D535" t="s">
        <v>6172</v>
      </c>
      <c r="E535" s="2">
        <v>4</v>
      </c>
      <c r="F535" s="2" t="str">
        <f>_xlfn.XLOOKUP(C535,customers!$A$2:$A$1001,customers!$B$2:$B$1001,,0)</f>
        <v>Rea Offell</v>
      </c>
      <c r="G535" s="2" t="str">
        <f>_xlfn.XLOOKUP(C535,customers!$A$2:$A$1001,customers!$G$2:$G$1001,,0)</f>
        <v>United States</v>
      </c>
      <c r="H535" t="str">
        <f>INDEX(products!$A$1:$G$49,MATCH(orders!$D535,products!$A$1:$A$49,0),MATCH(orders!H$1,products!$A$1:$G$1,0))</f>
        <v>Rob</v>
      </c>
      <c r="I535" t="str">
        <f>INDEX(products!$A$1:$G$49,MATCH(orders!$D535,products!$A$1:$A$49,0),MATCH(orders!I$1,products!$A$1:$G$1,0))</f>
        <v>D</v>
      </c>
      <c r="J535" s="5">
        <f>INDEX(products!$A$1:$G$49,MATCH(orders!$D535,products!$A$1:$A$49,0),MATCH(orders!J$1,products!$A$1:$G$1,0))</f>
        <v>0.5</v>
      </c>
      <c r="K535" s="6">
        <f>INDEX(products!$A$1:$G$49,MATCH(orders!$D535,products!$A$1:$A$49,0),MATCH(orders!K$1,products!$A$1:$G$1,0))</f>
        <v>5.3699999999999992</v>
      </c>
      <c r="L535" s="6">
        <f>K535*E535</f>
        <v>21.479999999999997</v>
      </c>
      <c r="M535" t="str" cm="1">
        <f t="array" ref="M535">_xlfn.IFS(H535="Rob","Robusta",H535="Exc","Excelsa",H535="Ara","Arabica",H535="Lib","Liberica")</f>
        <v>Robusta</v>
      </c>
      <c r="N535" t="str" cm="1">
        <f t="array" ref="N535">_xlfn.IFS(I535="M","Medium",I535="L","Light",I535="D","Dark")</f>
        <v>Dark</v>
      </c>
      <c r="O535" t="str">
        <f>_xlfn.XLOOKUP(Orders[[#This Row],[Customer ID]],customers!$A$2:$A$1001,customers!$I$2:$I$1001,,0)</f>
        <v>No</v>
      </c>
    </row>
    <row r="536" spans="1:15" x14ac:dyDescent="0.3">
      <c r="A536" s="2" t="s">
        <v>3510</v>
      </c>
      <c r="B536" s="3">
        <v>44563</v>
      </c>
      <c r="C536" s="2" t="s">
        <v>3511</v>
      </c>
      <c r="D536" t="s">
        <v>6151</v>
      </c>
      <c r="E536" s="2">
        <v>2</v>
      </c>
      <c r="F536" s="2" t="str">
        <f>_xlfn.XLOOKUP(C536,customers!$A$2:$A$1001,customers!$B$2:$B$1001,,0)</f>
        <v>Kris O'Cullen</v>
      </c>
      <c r="G536" s="2" t="str">
        <f>_xlfn.XLOOKUP(C536,customers!$A$2:$A$1001,customers!$G$2:$G$1001,,0)</f>
        <v>Ireland</v>
      </c>
      <c r="H536" t="str">
        <f>INDEX(products!$A$1:$G$49,MATCH(orders!$D536,products!$A$1:$A$49,0),MATCH(orders!H$1,products!$A$1:$G$1,0))</f>
        <v>Rob</v>
      </c>
      <c r="I536" t="str">
        <f>INDEX(products!$A$1:$G$49,MATCH(orders!$D536,products!$A$1:$A$49,0),MATCH(orders!I$1,products!$A$1:$G$1,0))</f>
        <v>M</v>
      </c>
      <c r="J536" s="5">
        <f>INDEX(products!$A$1:$G$49,MATCH(orders!$D536,products!$A$1:$A$49,0),MATCH(orders!J$1,products!$A$1:$G$1,0))</f>
        <v>2.5</v>
      </c>
      <c r="K536" s="6">
        <f>INDEX(products!$A$1:$G$49,MATCH(orders!$D536,products!$A$1:$A$49,0),MATCH(orders!K$1,products!$A$1:$G$1,0))</f>
        <v>22.884999999999998</v>
      </c>
      <c r="L536" s="6">
        <f>K536*E536</f>
        <v>45.769999999999996</v>
      </c>
      <c r="M536" t="str" cm="1">
        <f t="array" ref="M536">_xlfn.IFS(H536="Rob","Robusta",H536="Exc","Excelsa",H536="Ara","Arabica",H536="Lib","Liberica")</f>
        <v>Robusta</v>
      </c>
      <c r="N536" t="str" cm="1">
        <f t="array" ref="N536">_xlfn.IFS(I536="M","Medium",I536="L","Light",I536="D","Dark")</f>
        <v>Medium</v>
      </c>
      <c r="O536" t="str">
        <f>_xlfn.XLOOKUP(Orders[[#This Row],[Customer ID]],customers!$A$2:$A$1001,customers!$I$2:$I$1001,,0)</f>
        <v>Yes</v>
      </c>
    </row>
    <row r="537" spans="1:15" x14ac:dyDescent="0.3">
      <c r="A537" s="2" t="s">
        <v>3516</v>
      </c>
      <c r="B537" s="3">
        <v>44585</v>
      </c>
      <c r="C537" s="2" t="s">
        <v>3517</v>
      </c>
      <c r="D537" t="s">
        <v>6145</v>
      </c>
      <c r="E537" s="2">
        <v>2</v>
      </c>
      <c r="F537" s="2" t="str">
        <f>_xlfn.XLOOKUP(C537,customers!$A$2:$A$1001,customers!$B$2:$B$1001,,0)</f>
        <v>Timoteo Glisane</v>
      </c>
      <c r="G537" s="2" t="str">
        <f>_xlfn.XLOOKUP(C537,customers!$A$2:$A$1001,customers!$G$2:$G$1001,,0)</f>
        <v>Ireland</v>
      </c>
      <c r="H537" t="str">
        <f>INDEX(products!$A$1:$G$49,MATCH(orders!$D537,products!$A$1:$A$49,0),MATCH(orders!H$1,products!$A$1:$G$1,0))</f>
        <v>Lib</v>
      </c>
      <c r="I537" t="str">
        <f>INDEX(products!$A$1:$G$49,MATCH(orders!$D537,products!$A$1:$A$49,0),MATCH(orders!I$1,products!$A$1:$G$1,0))</f>
        <v>L</v>
      </c>
      <c r="J537" s="5">
        <f>INDEX(products!$A$1:$G$49,MATCH(orders!$D537,products!$A$1:$A$49,0),MATCH(orders!J$1,products!$A$1:$G$1,0))</f>
        <v>0.2</v>
      </c>
      <c r="K537" s="6">
        <f>INDEX(products!$A$1:$G$49,MATCH(orders!$D537,products!$A$1:$A$49,0),MATCH(orders!K$1,products!$A$1:$G$1,0))</f>
        <v>4.7549999999999999</v>
      </c>
      <c r="L537" s="6">
        <f>K537*E537</f>
        <v>9.51</v>
      </c>
      <c r="M537" t="str" cm="1">
        <f t="array" ref="M537">_xlfn.IFS(H537="Rob","Robusta",H537="Exc","Excelsa",H537="Ara","Arabica",H537="Lib","Liberica")</f>
        <v>Liberica</v>
      </c>
      <c r="N537" t="str" cm="1">
        <f t="array" ref="N537">_xlfn.IFS(I537="M","Medium",I537="L","Light",I537="D","Dark")</f>
        <v>Light</v>
      </c>
      <c r="O537" t="str">
        <f>_xlfn.XLOOKUP(Orders[[#This Row],[Customer ID]],customers!$A$2:$A$1001,customers!$I$2:$I$1001,,0)</f>
        <v>No</v>
      </c>
    </row>
    <row r="538" spans="1:15" x14ac:dyDescent="0.3">
      <c r="A538" s="2" t="s">
        <v>3521</v>
      </c>
      <c r="B538" s="3">
        <v>43544</v>
      </c>
      <c r="C538" s="2" t="s">
        <v>3368</v>
      </c>
      <c r="D538" t="s">
        <v>6163</v>
      </c>
      <c r="E538" s="2">
        <v>3</v>
      </c>
      <c r="F538" s="2" t="str">
        <f>_xlfn.XLOOKUP(C538,customers!$A$2:$A$1001,customers!$B$2:$B$1001,,0)</f>
        <v>Marja Urion</v>
      </c>
      <c r="G538" s="2" t="str">
        <f>_xlfn.XLOOKUP(C538,customers!$A$2:$A$1001,customers!$G$2:$G$1001,,0)</f>
        <v>Ireland</v>
      </c>
      <c r="H538" t="str">
        <f>INDEX(products!$A$1:$G$49,MATCH(orders!$D538,products!$A$1:$A$49,0),MATCH(orders!H$1,products!$A$1:$G$1,0))</f>
        <v>Rob</v>
      </c>
      <c r="I538" t="str">
        <f>INDEX(products!$A$1:$G$49,MATCH(orders!$D538,products!$A$1:$A$49,0),MATCH(orders!I$1,products!$A$1:$G$1,0))</f>
        <v>D</v>
      </c>
      <c r="J538" s="5">
        <f>INDEX(products!$A$1:$G$49,MATCH(orders!$D538,products!$A$1:$A$49,0),MATCH(orders!J$1,products!$A$1:$G$1,0))</f>
        <v>0.2</v>
      </c>
      <c r="K538" s="6">
        <f>INDEX(products!$A$1:$G$49,MATCH(orders!$D538,products!$A$1:$A$49,0),MATCH(orders!K$1,products!$A$1:$G$1,0))</f>
        <v>2.6849999999999996</v>
      </c>
      <c r="L538" s="6">
        <f>K538*E538</f>
        <v>8.0549999999999997</v>
      </c>
      <c r="M538" t="str" cm="1">
        <f t="array" ref="M538">_xlfn.IFS(H538="Rob","Robusta",H538="Exc","Excelsa",H538="Ara","Arabica",H538="Lib","Liberica")</f>
        <v>Robusta</v>
      </c>
      <c r="N538" t="str" cm="1">
        <f t="array" ref="N538">_xlfn.IFS(I538="M","Medium",I538="L","Light",I538="D","Dark")</f>
        <v>Dark</v>
      </c>
      <c r="O538" t="str">
        <f>_xlfn.XLOOKUP(Orders[[#This Row],[Customer ID]],customers!$A$2:$A$1001,customers!$I$2:$I$1001,,0)</f>
        <v>Yes</v>
      </c>
    </row>
    <row r="539" spans="1:15" x14ac:dyDescent="0.3">
      <c r="A539" s="2" t="s">
        <v>3527</v>
      </c>
      <c r="B539" s="3">
        <v>44156</v>
      </c>
      <c r="C539" s="2" t="s">
        <v>3528</v>
      </c>
      <c r="D539" t="s">
        <v>6185</v>
      </c>
      <c r="E539" s="2">
        <v>4</v>
      </c>
      <c r="F539" s="2" t="str">
        <f>_xlfn.XLOOKUP(C539,customers!$A$2:$A$1001,customers!$B$2:$B$1001,,0)</f>
        <v>Hildegarde Brangan</v>
      </c>
      <c r="G539" s="2" t="str">
        <f>_xlfn.XLOOKUP(C539,customers!$A$2:$A$1001,customers!$G$2:$G$1001,,0)</f>
        <v>United States</v>
      </c>
      <c r="H539" t="str">
        <f>INDEX(products!$A$1:$G$49,MATCH(orders!$D539,products!$A$1:$A$49,0),MATCH(orders!H$1,products!$A$1:$G$1,0))</f>
        <v>Exc</v>
      </c>
      <c r="I539" t="str">
        <f>INDEX(products!$A$1:$G$49,MATCH(orders!$D539,products!$A$1:$A$49,0),MATCH(orders!I$1,products!$A$1:$G$1,0))</f>
        <v>D</v>
      </c>
      <c r="J539" s="5">
        <f>INDEX(products!$A$1:$G$49,MATCH(orders!$D539,products!$A$1:$A$49,0),MATCH(orders!J$1,products!$A$1:$G$1,0))</f>
        <v>2.5</v>
      </c>
      <c r="K539" s="6">
        <f>INDEX(products!$A$1:$G$49,MATCH(orders!$D539,products!$A$1:$A$49,0),MATCH(orders!K$1,products!$A$1:$G$1,0))</f>
        <v>27.945</v>
      </c>
      <c r="L539" s="6">
        <f>K539*E539</f>
        <v>111.78</v>
      </c>
      <c r="M539" t="str" cm="1">
        <f t="array" ref="M539">_xlfn.IFS(H539="Rob","Robusta",H539="Exc","Excelsa",H539="Ara","Arabica",H539="Lib","Liberica")</f>
        <v>Excelsa</v>
      </c>
      <c r="N539" t="str" cm="1">
        <f t="array" ref="N539">_xlfn.IFS(I539="M","Medium",I539="L","Light",I539="D","Dark")</f>
        <v>Dark</v>
      </c>
      <c r="O539" t="str">
        <f>_xlfn.XLOOKUP(Orders[[#This Row],[Customer ID]],customers!$A$2:$A$1001,customers!$I$2:$I$1001,,0)</f>
        <v>Yes</v>
      </c>
    </row>
    <row r="540" spans="1:15" x14ac:dyDescent="0.3">
      <c r="A540" s="2" t="s">
        <v>3532</v>
      </c>
      <c r="B540" s="3">
        <v>44482</v>
      </c>
      <c r="C540" s="2" t="s">
        <v>3533</v>
      </c>
      <c r="D540" t="s">
        <v>6163</v>
      </c>
      <c r="E540" s="2">
        <v>4</v>
      </c>
      <c r="F540" s="2" t="str">
        <f>_xlfn.XLOOKUP(C540,customers!$A$2:$A$1001,customers!$B$2:$B$1001,,0)</f>
        <v>Amii Gallyon</v>
      </c>
      <c r="G540" s="2" t="str">
        <f>_xlfn.XLOOKUP(C540,customers!$A$2:$A$1001,customers!$G$2:$G$1001,,0)</f>
        <v>United States</v>
      </c>
      <c r="H540" t="str">
        <f>INDEX(products!$A$1:$G$49,MATCH(orders!$D540,products!$A$1:$A$49,0),MATCH(orders!H$1,products!$A$1:$G$1,0))</f>
        <v>Rob</v>
      </c>
      <c r="I540" t="str">
        <f>INDEX(products!$A$1:$G$49,MATCH(orders!$D540,products!$A$1:$A$49,0),MATCH(orders!I$1,products!$A$1:$G$1,0))</f>
        <v>D</v>
      </c>
      <c r="J540" s="5">
        <f>INDEX(products!$A$1:$G$49,MATCH(orders!$D540,products!$A$1:$A$49,0),MATCH(orders!J$1,products!$A$1:$G$1,0))</f>
        <v>0.2</v>
      </c>
      <c r="K540" s="6">
        <f>INDEX(products!$A$1:$G$49,MATCH(orders!$D540,products!$A$1:$A$49,0),MATCH(orders!K$1,products!$A$1:$G$1,0))</f>
        <v>2.6849999999999996</v>
      </c>
      <c r="L540" s="6">
        <f>K540*E540</f>
        <v>10.739999999999998</v>
      </c>
      <c r="M540" t="str" cm="1">
        <f t="array" ref="M540">_xlfn.IFS(H540="Rob","Robusta",H540="Exc","Excelsa",H540="Ara","Arabica",H540="Lib","Liberica")</f>
        <v>Robusta</v>
      </c>
      <c r="N540" t="str" cm="1">
        <f t="array" ref="N540">_xlfn.IFS(I540="M","Medium",I540="L","Light",I540="D","Dark")</f>
        <v>Dark</v>
      </c>
      <c r="O540" t="str">
        <f>_xlfn.XLOOKUP(Orders[[#This Row],[Customer ID]],customers!$A$2:$A$1001,customers!$I$2:$I$1001,,0)</f>
        <v>Yes</v>
      </c>
    </row>
    <row r="541" spans="1:15" x14ac:dyDescent="0.3">
      <c r="A541" s="2" t="s">
        <v>3537</v>
      </c>
      <c r="B541" s="3">
        <v>44488</v>
      </c>
      <c r="C541" s="2" t="s">
        <v>3538</v>
      </c>
      <c r="D541" t="s">
        <v>6172</v>
      </c>
      <c r="E541" s="2">
        <v>5</v>
      </c>
      <c r="F541" s="2" t="str">
        <f>_xlfn.XLOOKUP(C541,customers!$A$2:$A$1001,customers!$B$2:$B$1001,,0)</f>
        <v>Birgit Domange</v>
      </c>
      <c r="G541" s="2" t="str">
        <f>_xlfn.XLOOKUP(C541,customers!$A$2:$A$1001,customers!$G$2:$G$1001,,0)</f>
        <v>United States</v>
      </c>
      <c r="H541" t="str">
        <f>INDEX(products!$A$1:$G$49,MATCH(orders!$D541,products!$A$1:$A$49,0),MATCH(orders!H$1,products!$A$1:$G$1,0))</f>
        <v>Rob</v>
      </c>
      <c r="I541" t="str">
        <f>INDEX(products!$A$1:$G$49,MATCH(orders!$D541,products!$A$1:$A$49,0),MATCH(orders!I$1,products!$A$1:$G$1,0))</f>
        <v>D</v>
      </c>
      <c r="J541" s="5">
        <f>INDEX(products!$A$1:$G$49,MATCH(orders!$D541,products!$A$1:$A$49,0),MATCH(orders!J$1,products!$A$1:$G$1,0))</f>
        <v>0.5</v>
      </c>
      <c r="K541" s="6">
        <f>INDEX(products!$A$1:$G$49,MATCH(orders!$D541,products!$A$1:$A$49,0),MATCH(orders!K$1,products!$A$1:$G$1,0))</f>
        <v>5.3699999999999992</v>
      </c>
      <c r="L541" s="6">
        <f>K541*E541</f>
        <v>26.849999999999994</v>
      </c>
      <c r="M541" t="str" cm="1">
        <f t="array" ref="M541">_xlfn.IFS(H541="Rob","Robusta",H541="Exc","Excelsa",H541="Ara","Arabica",H541="Lib","Liberica")</f>
        <v>Robusta</v>
      </c>
      <c r="N541" t="str" cm="1">
        <f t="array" ref="N541">_xlfn.IFS(I541="M","Medium",I541="L","Light",I541="D","Dark")</f>
        <v>Dark</v>
      </c>
      <c r="O541" t="str">
        <f>_xlfn.XLOOKUP(Orders[[#This Row],[Customer ID]],customers!$A$2:$A$1001,customers!$I$2:$I$1001,,0)</f>
        <v>No</v>
      </c>
    </row>
    <row r="542" spans="1:15" x14ac:dyDescent="0.3">
      <c r="A542" s="2" t="s">
        <v>3542</v>
      </c>
      <c r="B542" s="3">
        <v>43584</v>
      </c>
      <c r="C542" s="2" t="s">
        <v>3543</v>
      </c>
      <c r="D542" t="s">
        <v>6170</v>
      </c>
      <c r="E542" s="2">
        <v>4</v>
      </c>
      <c r="F542" s="2" t="str">
        <f>_xlfn.XLOOKUP(C542,customers!$A$2:$A$1001,customers!$B$2:$B$1001,,0)</f>
        <v>Killian Osler</v>
      </c>
      <c r="G542" s="2" t="str">
        <f>_xlfn.XLOOKUP(C542,customers!$A$2:$A$1001,customers!$G$2:$G$1001,,0)</f>
        <v>United States</v>
      </c>
      <c r="H542" t="str">
        <f>INDEX(products!$A$1:$G$49,MATCH(orders!$D542,products!$A$1:$A$49,0),MATCH(orders!H$1,products!$A$1:$G$1,0))</f>
        <v>Lib</v>
      </c>
      <c r="I542" t="str">
        <f>INDEX(products!$A$1:$G$49,MATCH(orders!$D542,products!$A$1:$A$49,0),MATCH(orders!I$1,products!$A$1:$G$1,0))</f>
        <v>L</v>
      </c>
      <c r="J542" s="5">
        <f>INDEX(products!$A$1:$G$49,MATCH(orders!$D542,products!$A$1:$A$49,0),MATCH(orders!J$1,products!$A$1:$G$1,0))</f>
        <v>1</v>
      </c>
      <c r="K542" s="6">
        <f>INDEX(products!$A$1:$G$49,MATCH(orders!$D542,products!$A$1:$A$49,0),MATCH(orders!K$1,products!$A$1:$G$1,0))</f>
        <v>15.85</v>
      </c>
      <c r="L542" s="6">
        <f>K542*E542</f>
        <v>63.4</v>
      </c>
      <c r="M542" t="str" cm="1">
        <f t="array" ref="M542">_xlfn.IFS(H542="Rob","Robusta",H542="Exc","Excelsa",H542="Ara","Arabica",H542="Lib","Liberica")</f>
        <v>Liberica</v>
      </c>
      <c r="N542" t="str" cm="1">
        <f t="array" ref="N542">_xlfn.IFS(I542="M","Medium",I542="L","Light",I542="D","Dark")</f>
        <v>Light</v>
      </c>
      <c r="O542" t="str">
        <f>_xlfn.XLOOKUP(Orders[[#This Row],[Customer ID]],customers!$A$2:$A$1001,customers!$I$2:$I$1001,,0)</f>
        <v>Yes</v>
      </c>
    </row>
    <row r="543" spans="1:15" x14ac:dyDescent="0.3">
      <c r="A543" s="2" t="s">
        <v>3548</v>
      </c>
      <c r="B543" s="3">
        <v>43750</v>
      </c>
      <c r="C543" s="2" t="s">
        <v>3549</v>
      </c>
      <c r="D543" t="s">
        <v>6168</v>
      </c>
      <c r="E543" s="2">
        <v>1</v>
      </c>
      <c r="F543" s="2" t="str">
        <f>_xlfn.XLOOKUP(C543,customers!$A$2:$A$1001,customers!$B$2:$B$1001,,0)</f>
        <v>Lora Dukes</v>
      </c>
      <c r="G543" s="2" t="str">
        <f>_xlfn.XLOOKUP(C543,customers!$A$2:$A$1001,customers!$G$2:$G$1001,,0)</f>
        <v>Ireland</v>
      </c>
      <c r="H543" t="str">
        <f>INDEX(products!$A$1:$G$49,MATCH(orders!$D543,products!$A$1:$A$49,0),MATCH(orders!H$1,products!$A$1:$G$1,0))</f>
        <v>Ara</v>
      </c>
      <c r="I543" t="str">
        <f>INDEX(products!$A$1:$G$49,MATCH(orders!$D543,products!$A$1:$A$49,0),MATCH(orders!I$1,products!$A$1:$G$1,0))</f>
        <v>D</v>
      </c>
      <c r="J543" s="5">
        <f>INDEX(products!$A$1:$G$49,MATCH(orders!$D543,products!$A$1:$A$49,0),MATCH(orders!J$1,products!$A$1:$G$1,0))</f>
        <v>2.5</v>
      </c>
      <c r="K543" s="6">
        <f>INDEX(products!$A$1:$G$49,MATCH(orders!$D543,products!$A$1:$A$49,0),MATCH(orders!K$1,products!$A$1:$G$1,0))</f>
        <v>22.884999999999998</v>
      </c>
      <c r="L543" s="6">
        <f>K543*E543</f>
        <v>22.884999999999998</v>
      </c>
      <c r="M543" t="str" cm="1">
        <f t="array" ref="M543">_xlfn.IFS(H543="Rob","Robusta",H543="Exc","Excelsa",H543="Ara","Arabica",H543="Lib","Liberica")</f>
        <v>Arabica</v>
      </c>
      <c r="N543" t="str" cm="1">
        <f t="array" ref="N543">_xlfn.IFS(I543="M","Medium",I543="L","Light",I543="D","Dark")</f>
        <v>Dark</v>
      </c>
      <c r="O543" t="str">
        <f>_xlfn.XLOOKUP(Orders[[#This Row],[Customer ID]],customers!$A$2:$A$1001,customers!$I$2:$I$1001,,0)</f>
        <v>Yes</v>
      </c>
    </row>
    <row r="544" spans="1:15" x14ac:dyDescent="0.3">
      <c r="A544" s="2" t="s">
        <v>3553</v>
      </c>
      <c r="B544" s="3">
        <v>44335</v>
      </c>
      <c r="C544" s="2" t="s">
        <v>3554</v>
      </c>
      <c r="D544" t="s">
        <v>6175</v>
      </c>
      <c r="E544" s="2">
        <v>4</v>
      </c>
      <c r="F544" s="2" t="str">
        <f>_xlfn.XLOOKUP(C544,customers!$A$2:$A$1001,customers!$B$2:$B$1001,,0)</f>
        <v>Zack Pellett</v>
      </c>
      <c r="G544" s="2" t="str">
        <f>_xlfn.XLOOKUP(C544,customers!$A$2:$A$1001,customers!$G$2:$G$1001,,0)</f>
        <v>United States</v>
      </c>
      <c r="H544" t="str">
        <f>INDEX(products!$A$1:$G$49,MATCH(orders!$D544,products!$A$1:$A$49,0),MATCH(orders!H$1,products!$A$1:$G$1,0))</f>
        <v>Ara</v>
      </c>
      <c r="I544" t="str">
        <f>INDEX(products!$A$1:$G$49,MATCH(orders!$D544,products!$A$1:$A$49,0),MATCH(orders!I$1,products!$A$1:$G$1,0))</f>
        <v>M</v>
      </c>
      <c r="J544" s="5">
        <f>INDEX(products!$A$1:$G$49,MATCH(orders!$D544,products!$A$1:$A$49,0),MATCH(orders!J$1,products!$A$1:$G$1,0))</f>
        <v>2.5</v>
      </c>
      <c r="K544" s="6">
        <f>INDEX(products!$A$1:$G$49,MATCH(orders!$D544,products!$A$1:$A$49,0),MATCH(orders!K$1,products!$A$1:$G$1,0))</f>
        <v>25.874999999999996</v>
      </c>
      <c r="L544" s="6">
        <f>K544*E544</f>
        <v>103.49999999999999</v>
      </c>
      <c r="M544" t="str" cm="1">
        <f t="array" ref="M544">_xlfn.IFS(H544="Rob","Robusta",H544="Exc","Excelsa",H544="Ara","Arabica",H544="Lib","Liberica")</f>
        <v>Arabica</v>
      </c>
      <c r="N544" t="str" cm="1">
        <f t="array" ref="N544">_xlfn.IFS(I544="M","Medium",I544="L","Light",I544="D","Dark")</f>
        <v>Medium</v>
      </c>
      <c r="O544" t="str">
        <f>_xlfn.XLOOKUP(Orders[[#This Row],[Customer ID]],customers!$A$2:$A$1001,customers!$I$2:$I$1001,,0)</f>
        <v>No</v>
      </c>
    </row>
    <row r="545" spans="1:15" x14ac:dyDescent="0.3">
      <c r="A545" s="2" t="s">
        <v>3559</v>
      </c>
      <c r="B545" s="3">
        <v>44380</v>
      </c>
      <c r="C545" s="2" t="s">
        <v>3560</v>
      </c>
      <c r="D545" t="s">
        <v>6142</v>
      </c>
      <c r="E545" s="2">
        <v>2</v>
      </c>
      <c r="F545" s="2" t="str">
        <f>_xlfn.XLOOKUP(C545,customers!$A$2:$A$1001,customers!$B$2:$B$1001,,0)</f>
        <v>Ilaire Sprakes</v>
      </c>
      <c r="G545" s="2" t="str">
        <f>_xlfn.XLOOKUP(C545,customers!$A$2:$A$1001,customers!$G$2:$G$1001,,0)</f>
        <v>United States</v>
      </c>
      <c r="H545" t="str">
        <f>INDEX(products!$A$1:$G$49,MATCH(orders!$D545,products!$A$1:$A$49,0),MATCH(orders!H$1,products!$A$1:$G$1,0))</f>
        <v>Rob</v>
      </c>
      <c r="I545" t="str">
        <f>INDEX(products!$A$1:$G$49,MATCH(orders!$D545,products!$A$1:$A$49,0),MATCH(orders!I$1,products!$A$1:$G$1,0))</f>
        <v>L</v>
      </c>
      <c r="J545" s="5">
        <f>INDEX(products!$A$1:$G$49,MATCH(orders!$D545,products!$A$1:$A$49,0),MATCH(orders!J$1,products!$A$1:$G$1,0))</f>
        <v>2.5</v>
      </c>
      <c r="K545" s="6">
        <f>INDEX(products!$A$1:$G$49,MATCH(orders!$D545,products!$A$1:$A$49,0),MATCH(orders!K$1,products!$A$1:$G$1,0))</f>
        <v>27.484999999999996</v>
      </c>
      <c r="L545" s="6">
        <f>K545*E545</f>
        <v>54.969999999999992</v>
      </c>
      <c r="M545" t="str" cm="1">
        <f t="array" ref="M545">_xlfn.IFS(H545="Rob","Robusta",H545="Exc","Excelsa",H545="Ara","Arabica",H545="Lib","Liberica")</f>
        <v>Robusta</v>
      </c>
      <c r="N545" t="str" cm="1">
        <f t="array" ref="N545">_xlfn.IFS(I545="M","Medium",I545="L","Light",I545="D","Dark")</f>
        <v>Light</v>
      </c>
      <c r="O545" t="str">
        <f>_xlfn.XLOOKUP(Orders[[#This Row],[Customer ID]],customers!$A$2:$A$1001,customers!$I$2:$I$1001,,0)</f>
        <v>No</v>
      </c>
    </row>
    <row r="546" spans="1:15" x14ac:dyDescent="0.3">
      <c r="A546" s="2" t="s">
        <v>3565</v>
      </c>
      <c r="B546" s="3">
        <v>43869</v>
      </c>
      <c r="C546" s="2" t="s">
        <v>3566</v>
      </c>
      <c r="D546" t="s">
        <v>6180</v>
      </c>
      <c r="E546" s="2">
        <v>2</v>
      </c>
      <c r="F546" s="2" t="str">
        <f>_xlfn.XLOOKUP(C546,customers!$A$2:$A$1001,customers!$B$2:$B$1001,,0)</f>
        <v>Heda Fromant</v>
      </c>
      <c r="G546" s="2" t="str">
        <f>_xlfn.XLOOKUP(C546,customers!$A$2:$A$1001,customers!$G$2:$G$1001,,0)</f>
        <v>United States</v>
      </c>
      <c r="H546" t="str">
        <f>INDEX(products!$A$1:$G$49,MATCH(orders!$D546,products!$A$1:$A$49,0),MATCH(orders!H$1,products!$A$1:$G$1,0))</f>
        <v>Ara</v>
      </c>
      <c r="I546" t="str">
        <f>INDEX(products!$A$1:$G$49,MATCH(orders!$D546,products!$A$1:$A$49,0),MATCH(orders!I$1,products!$A$1:$G$1,0))</f>
        <v>L</v>
      </c>
      <c r="J546" s="5">
        <f>INDEX(products!$A$1:$G$49,MATCH(orders!$D546,products!$A$1:$A$49,0),MATCH(orders!J$1,products!$A$1:$G$1,0))</f>
        <v>0.5</v>
      </c>
      <c r="K546" s="6">
        <f>INDEX(products!$A$1:$G$49,MATCH(orders!$D546,products!$A$1:$A$49,0),MATCH(orders!K$1,products!$A$1:$G$1,0))</f>
        <v>7.77</v>
      </c>
      <c r="L546" s="6">
        <f>K546*E546</f>
        <v>15.54</v>
      </c>
      <c r="M546" t="str" cm="1">
        <f t="array" ref="M546">_xlfn.IFS(H546="Rob","Robusta",H546="Exc","Excelsa",H546="Ara","Arabica",H546="Lib","Liberica")</f>
        <v>Arabica</v>
      </c>
      <c r="N546" t="str" cm="1">
        <f t="array" ref="N546">_xlfn.IFS(I546="M","Medium",I546="L","Light",I546="D","Dark")</f>
        <v>Light</v>
      </c>
      <c r="O546" t="str">
        <f>_xlfn.XLOOKUP(Orders[[#This Row],[Customer ID]],customers!$A$2:$A$1001,customers!$I$2:$I$1001,,0)</f>
        <v>No</v>
      </c>
    </row>
    <row r="547" spans="1:15" x14ac:dyDescent="0.3">
      <c r="A547" s="2" t="s">
        <v>3571</v>
      </c>
      <c r="B547" s="3">
        <v>44120</v>
      </c>
      <c r="C547" s="2" t="s">
        <v>3572</v>
      </c>
      <c r="D547" t="s">
        <v>6150</v>
      </c>
      <c r="E547" s="2">
        <v>4</v>
      </c>
      <c r="F547" s="2" t="str">
        <f>_xlfn.XLOOKUP(C547,customers!$A$2:$A$1001,customers!$B$2:$B$1001,,0)</f>
        <v>Rufus Flear</v>
      </c>
      <c r="G547" s="2" t="str">
        <f>_xlfn.XLOOKUP(C547,customers!$A$2:$A$1001,customers!$G$2:$G$1001,,0)</f>
        <v>United Kingdom</v>
      </c>
      <c r="H547" t="str">
        <f>INDEX(products!$A$1:$G$49,MATCH(orders!$D547,products!$A$1:$A$49,0),MATCH(orders!H$1,products!$A$1:$G$1,0))</f>
        <v>Lib</v>
      </c>
      <c r="I547" t="str">
        <f>INDEX(products!$A$1:$G$49,MATCH(orders!$D547,products!$A$1:$A$49,0),MATCH(orders!I$1,products!$A$1:$G$1,0))</f>
        <v>D</v>
      </c>
      <c r="J547" s="5">
        <f>INDEX(products!$A$1:$G$49,MATCH(orders!$D547,products!$A$1:$A$49,0),MATCH(orders!J$1,products!$A$1:$G$1,0))</f>
        <v>0.2</v>
      </c>
      <c r="K547" s="6">
        <f>INDEX(products!$A$1:$G$49,MATCH(orders!$D547,products!$A$1:$A$49,0),MATCH(orders!K$1,products!$A$1:$G$1,0))</f>
        <v>3.8849999999999998</v>
      </c>
      <c r="L547" s="6">
        <f>K547*E547</f>
        <v>15.54</v>
      </c>
      <c r="M547" t="str" cm="1">
        <f t="array" ref="M547">_xlfn.IFS(H547="Rob","Robusta",H547="Exc","Excelsa",H547="Ara","Arabica",H547="Lib","Liberica")</f>
        <v>Liberica</v>
      </c>
      <c r="N547" t="str" cm="1">
        <f t="array" ref="N547">_xlfn.IFS(I547="M","Medium",I547="L","Light",I547="D","Dark")</f>
        <v>Dark</v>
      </c>
      <c r="O547" t="str">
        <f>_xlfn.XLOOKUP(Orders[[#This Row],[Customer ID]],customers!$A$2:$A$1001,customers!$I$2:$I$1001,,0)</f>
        <v>No</v>
      </c>
    </row>
    <row r="548" spans="1:15" x14ac:dyDescent="0.3">
      <c r="A548" s="2" t="s">
        <v>3577</v>
      </c>
      <c r="B548" s="3">
        <v>44127</v>
      </c>
      <c r="C548" s="2" t="s">
        <v>3578</v>
      </c>
      <c r="D548" t="s">
        <v>6185</v>
      </c>
      <c r="E548" s="2">
        <v>3</v>
      </c>
      <c r="F548" s="2" t="str">
        <f>_xlfn.XLOOKUP(C548,customers!$A$2:$A$1001,customers!$B$2:$B$1001,,0)</f>
        <v>Dom Milella</v>
      </c>
      <c r="G548" s="2" t="str">
        <f>_xlfn.XLOOKUP(C548,customers!$A$2:$A$1001,customers!$G$2:$G$1001,,0)</f>
        <v>Ireland</v>
      </c>
      <c r="H548" t="str">
        <f>INDEX(products!$A$1:$G$49,MATCH(orders!$D548,products!$A$1:$A$49,0),MATCH(orders!H$1,products!$A$1:$G$1,0))</f>
        <v>Exc</v>
      </c>
      <c r="I548" t="str">
        <f>INDEX(products!$A$1:$G$49,MATCH(orders!$D548,products!$A$1:$A$49,0),MATCH(orders!I$1,products!$A$1:$G$1,0))</f>
        <v>D</v>
      </c>
      <c r="J548" s="5">
        <f>INDEX(products!$A$1:$G$49,MATCH(orders!$D548,products!$A$1:$A$49,0),MATCH(orders!J$1,products!$A$1:$G$1,0))</f>
        <v>2.5</v>
      </c>
      <c r="K548" s="6">
        <f>INDEX(products!$A$1:$G$49,MATCH(orders!$D548,products!$A$1:$A$49,0),MATCH(orders!K$1,products!$A$1:$G$1,0))</f>
        <v>27.945</v>
      </c>
      <c r="L548" s="6">
        <f>K548*E548</f>
        <v>83.835000000000008</v>
      </c>
      <c r="M548" t="str" cm="1">
        <f t="array" ref="M548">_xlfn.IFS(H548="Rob","Robusta",H548="Exc","Excelsa",H548="Ara","Arabica",H548="Lib","Liberica")</f>
        <v>Excelsa</v>
      </c>
      <c r="N548" t="str" cm="1">
        <f t="array" ref="N548">_xlfn.IFS(I548="M","Medium",I548="L","Light",I548="D","Dark")</f>
        <v>Dark</v>
      </c>
      <c r="O548" t="str">
        <f>_xlfn.XLOOKUP(Orders[[#This Row],[Customer ID]],customers!$A$2:$A$1001,customers!$I$2:$I$1001,,0)</f>
        <v>No</v>
      </c>
    </row>
    <row r="549" spans="1:15" x14ac:dyDescent="0.3">
      <c r="A549" s="2" t="s">
        <v>3582</v>
      </c>
      <c r="B549" s="3">
        <v>44265</v>
      </c>
      <c r="C549" s="2" t="s">
        <v>3594</v>
      </c>
      <c r="D549" t="s">
        <v>6178</v>
      </c>
      <c r="E549" s="2">
        <v>3</v>
      </c>
      <c r="F549" s="2" t="str">
        <f>_xlfn.XLOOKUP(C549,customers!$A$2:$A$1001,customers!$B$2:$B$1001,,0)</f>
        <v>Wilek Lightollers</v>
      </c>
      <c r="G549" s="2" t="str">
        <f>_xlfn.XLOOKUP(C549,customers!$A$2:$A$1001,customers!$G$2:$G$1001,,0)</f>
        <v>United States</v>
      </c>
      <c r="H549" t="str">
        <f>INDEX(products!$A$1:$G$49,MATCH(orders!$D549,products!$A$1:$A$49,0),MATCH(orders!H$1,products!$A$1:$G$1,0))</f>
        <v>Rob</v>
      </c>
      <c r="I549" t="str">
        <f>INDEX(products!$A$1:$G$49,MATCH(orders!$D549,products!$A$1:$A$49,0),MATCH(orders!I$1,products!$A$1:$G$1,0))</f>
        <v>L</v>
      </c>
      <c r="J549" s="5">
        <f>INDEX(products!$A$1:$G$49,MATCH(orders!$D549,products!$A$1:$A$49,0),MATCH(orders!J$1,products!$A$1:$G$1,0))</f>
        <v>0.2</v>
      </c>
      <c r="K549" s="6">
        <f>INDEX(products!$A$1:$G$49,MATCH(orders!$D549,products!$A$1:$A$49,0),MATCH(orders!K$1,products!$A$1:$G$1,0))</f>
        <v>3.5849999999999995</v>
      </c>
      <c r="L549" s="6">
        <f>K549*E549</f>
        <v>10.754999999999999</v>
      </c>
      <c r="M549" t="str" cm="1">
        <f t="array" ref="M549">_xlfn.IFS(H549="Rob","Robusta",H549="Exc","Excelsa",H549="Ara","Arabica",H549="Lib","Liberica")</f>
        <v>Robusta</v>
      </c>
      <c r="N549" t="str" cm="1">
        <f t="array" ref="N549">_xlfn.IFS(I549="M","Medium",I549="L","Light",I549="D","Dark")</f>
        <v>Light</v>
      </c>
      <c r="O549" t="str">
        <f>_xlfn.XLOOKUP(Orders[[#This Row],[Customer ID]],customers!$A$2:$A$1001,customers!$I$2:$I$1001,,0)</f>
        <v>Yes</v>
      </c>
    </row>
    <row r="550" spans="1:15" x14ac:dyDescent="0.3">
      <c r="A550" s="2" t="s">
        <v>3587</v>
      </c>
      <c r="B550" s="3">
        <v>44384</v>
      </c>
      <c r="C550" s="2" t="s">
        <v>3588</v>
      </c>
      <c r="D550" t="s">
        <v>6184</v>
      </c>
      <c r="E550" s="2">
        <v>3</v>
      </c>
      <c r="F550" s="2" t="str">
        <f>_xlfn.XLOOKUP(C550,customers!$A$2:$A$1001,customers!$B$2:$B$1001,,0)</f>
        <v>Bette-ann Munden</v>
      </c>
      <c r="G550" s="2" t="str">
        <f>_xlfn.XLOOKUP(C550,customers!$A$2:$A$1001,customers!$G$2:$G$1001,,0)</f>
        <v>United States</v>
      </c>
      <c r="H550" t="str">
        <f>INDEX(products!$A$1:$G$49,MATCH(orders!$D550,products!$A$1:$A$49,0),MATCH(orders!H$1,products!$A$1:$G$1,0))</f>
        <v>Exc</v>
      </c>
      <c r="I550" t="str">
        <f>INDEX(products!$A$1:$G$49,MATCH(orders!$D550,products!$A$1:$A$49,0),MATCH(orders!I$1,products!$A$1:$G$1,0))</f>
        <v>L</v>
      </c>
      <c r="J550" s="5">
        <f>INDEX(products!$A$1:$G$49,MATCH(orders!$D550,products!$A$1:$A$49,0),MATCH(orders!J$1,products!$A$1:$G$1,0))</f>
        <v>0.2</v>
      </c>
      <c r="K550" s="6">
        <f>INDEX(products!$A$1:$G$49,MATCH(orders!$D550,products!$A$1:$A$49,0),MATCH(orders!K$1,products!$A$1:$G$1,0))</f>
        <v>4.4550000000000001</v>
      </c>
      <c r="L550" s="6">
        <f>K550*E550</f>
        <v>13.365</v>
      </c>
      <c r="M550" t="str" cm="1">
        <f t="array" ref="M550">_xlfn.IFS(H550="Rob","Robusta",H550="Exc","Excelsa",H550="Ara","Arabica",H550="Lib","Liberica")</f>
        <v>Excelsa</v>
      </c>
      <c r="N550" t="str" cm="1">
        <f t="array" ref="N550">_xlfn.IFS(I550="M","Medium",I550="L","Light",I550="D","Dark")</f>
        <v>Light</v>
      </c>
      <c r="O550" t="str">
        <f>_xlfn.XLOOKUP(Orders[[#This Row],[Customer ID]],customers!$A$2:$A$1001,customers!$I$2:$I$1001,,0)</f>
        <v>Yes</v>
      </c>
    </row>
    <row r="551" spans="1:15" x14ac:dyDescent="0.3">
      <c r="A551" s="2" t="s">
        <v>3593</v>
      </c>
      <c r="B551" s="3">
        <v>44232</v>
      </c>
      <c r="C551" s="2" t="s">
        <v>3594</v>
      </c>
      <c r="D551" t="s">
        <v>6184</v>
      </c>
      <c r="E551" s="2">
        <v>4</v>
      </c>
      <c r="F551" s="2" t="str">
        <f>_xlfn.XLOOKUP(C551,customers!$A$2:$A$1001,customers!$B$2:$B$1001,,0)</f>
        <v>Wilek Lightollers</v>
      </c>
      <c r="G551" s="2" t="str">
        <f>_xlfn.XLOOKUP(C551,customers!$A$2:$A$1001,customers!$G$2:$G$1001,,0)</f>
        <v>United States</v>
      </c>
      <c r="H551" t="str">
        <f>INDEX(products!$A$1:$G$49,MATCH(orders!$D551,products!$A$1:$A$49,0),MATCH(orders!H$1,products!$A$1:$G$1,0))</f>
        <v>Exc</v>
      </c>
      <c r="I551" t="str">
        <f>INDEX(products!$A$1:$G$49,MATCH(orders!$D551,products!$A$1:$A$49,0),MATCH(orders!I$1,products!$A$1:$G$1,0))</f>
        <v>L</v>
      </c>
      <c r="J551" s="5">
        <f>INDEX(products!$A$1:$G$49,MATCH(orders!$D551,products!$A$1:$A$49,0),MATCH(orders!J$1,products!$A$1:$G$1,0))</f>
        <v>0.2</v>
      </c>
      <c r="K551" s="6">
        <f>INDEX(products!$A$1:$G$49,MATCH(orders!$D551,products!$A$1:$A$49,0),MATCH(orders!K$1,products!$A$1:$G$1,0))</f>
        <v>4.4550000000000001</v>
      </c>
      <c r="L551" s="6">
        <f>K551*E551</f>
        <v>17.82</v>
      </c>
      <c r="M551" t="str" cm="1">
        <f t="array" ref="M551">_xlfn.IFS(H551="Rob","Robusta",H551="Exc","Excelsa",H551="Ara","Arabica",H551="Lib","Liberica")</f>
        <v>Excelsa</v>
      </c>
      <c r="N551" t="str" cm="1">
        <f t="array" ref="N551">_xlfn.IFS(I551="M","Medium",I551="L","Light",I551="D","Dark")</f>
        <v>Light</v>
      </c>
      <c r="O551" t="str">
        <f>_xlfn.XLOOKUP(Orders[[#This Row],[Customer ID]],customers!$A$2:$A$1001,customers!$I$2:$I$1001,,0)</f>
        <v>Yes</v>
      </c>
    </row>
    <row r="552" spans="1:15" x14ac:dyDescent="0.3">
      <c r="A552" s="2" t="s">
        <v>3599</v>
      </c>
      <c r="B552" s="3">
        <v>44176</v>
      </c>
      <c r="C552" s="2" t="s">
        <v>3600</v>
      </c>
      <c r="D552" t="s">
        <v>6150</v>
      </c>
      <c r="E552" s="2">
        <v>6</v>
      </c>
      <c r="F552" s="2" t="str">
        <f>_xlfn.XLOOKUP(C552,customers!$A$2:$A$1001,customers!$B$2:$B$1001,,0)</f>
        <v>Nick Brakespear</v>
      </c>
      <c r="G552" s="2" t="str">
        <f>_xlfn.XLOOKUP(C552,customers!$A$2:$A$1001,customers!$G$2:$G$1001,,0)</f>
        <v>United States</v>
      </c>
      <c r="H552" t="str">
        <f>INDEX(products!$A$1:$G$49,MATCH(orders!$D552,products!$A$1:$A$49,0),MATCH(orders!H$1,products!$A$1:$G$1,0))</f>
        <v>Lib</v>
      </c>
      <c r="I552" t="str">
        <f>INDEX(products!$A$1:$G$49,MATCH(orders!$D552,products!$A$1:$A$49,0),MATCH(orders!I$1,products!$A$1:$G$1,0))</f>
        <v>D</v>
      </c>
      <c r="J552" s="5">
        <f>INDEX(products!$A$1:$G$49,MATCH(orders!$D552,products!$A$1:$A$49,0),MATCH(orders!J$1,products!$A$1:$G$1,0))</f>
        <v>0.2</v>
      </c>
      <c r="K552" s="6">
        <f>INDEX(products!$A$1:$G$49,MATCH(orders!$D552,products!$A$1:$A$49,0),MATCH(orders!K$1,products!$A$1:$G$1,0))</f>
        <v>3.8849999999999998</v>
      </c>
      <c r="L552" s="6">
        <f>K552*E552</f>
        <v>23.31</v>
      </c>
      <c r="M552" t="str" cm="1">
        <f t="array" ref="M552">_xlfn.IFS(H552="Rob","Robusta",H552="Exc","Excelsa",H552="Ara","Arabica",H552="Lib","Liberica")</f>
        <v>Liberica</v>
      </c>
      <c r="N552" t="str" cm="1">
        <f t="array" ref="N552">_xlfn.IFS(I552="M","Medium",I552="L","Light",I552="D","Dark")</f>
        <v>Dark</v>
      </c>
      <c r="O552" t="str">
        <f>_xlfn.XLOOKUP(Orders[[#This Row],[Customer ID]],customers!$A$2:$A$1001,customers!$I$2:$I$1001,,0)</f>
        <v>Yes</v>
      </c>
    </row>
    <row r="553" spans="1:15" x14ac:dyDescent="0.3">
      <c r="A553" s="2" t="s">
        <v>3605</v>
      </c>
      <c r="B553" s="3">
        <v>44694</v>
      </c>
      <c r="C553" s="2" t="s">
        <v>3606</v>
      </c>
      <c r="D553" t="s">
        <v>6153</v>
      </c>
      <c r="E553" s="2">
        <v>2</v>
      </c>
      <c r="F553" s="2" t="str">
        <f>_xlfn.XLOOKUP(C553,customers!$A$2:$A$1001,customers!$B$2:$B$1001,,0)</f>
        <v>Malynda Glawsop</v>
      </c>
      <c r="G553" s="2" t="str">
        <f>_xlfn.XLOOKUP(C553,customers!$A$2:$A$1001,customers!$G$2:$G$1001,,0)</f>
        <v>United States</v>
      </c>
      <c r="H553" t="str">
        <f>INDEX(products!$A$1:$G$49,MATCH(orders!$D553,products!$A$1:$A$49,0),MATCH(orders!H$1,products!$A$1:$G$1,0))</f>
        <v>Exc</v>
      </c>
      <c r="I553" t="str">
        <f>INDEX(products!$A$1:$G$49,MATCH(orders!$D553,products!$A$1:$A$49,0),MATCH(orders!I$1,products!$A$1:$G$1,0))</f>
        <v>D</v>
      </c>
      <c r="J553" s="5">
        <f>INDEX(products!$A$1:$G$49,MATCH(orders!$D553,products!$A$1:$A$49,0),MATCH(orders!J$1,products!$A$1:$G$1,0))</f>
        <v>0.2</v>
      </c>
      <c r="K553" s="6">
        <f>INDEX(products!$A$1:$G$49,MATCH(orders!$D553,products!$A$1:$A$49,0),MATCH(orders!K$1,products!$A$1:$G$1,0))</f>
        <v>3.645</v>
      </c>
      <c r="L553" s="6">
        <f>K553*E553</f>
        <v>7.29</v>
      </c>
      <c r="M553" t="str" cm="1">
        <f t="array" ref="M553">_xlfn.IFS(H553="Rob","Robusta",H553="Exc","Excelsa",H553="Ara","Arabica",H553="Lib","Liberica")</f>
        <v>Excelsa</v>
      </c>
      <c r="N553" t="str" cm="1">
        <f t="array" ref="N553">_xlfn.IFS(I553="M","Medium",I553="L","Light",I553="D","Dark")</f>
        <v>Dark</v>
      </c>
      <c r="O553" t="str">
        <f>_xlfn.XLOOKUP(Orders[[#This Row],[Customer ID]],customers!$A$2:$A$1001,customers!$I$2:$I$1001,,0)</f>
        <v>No</v>
      </c>
    </row>
    <row r="554" spans="1:15" x14ac:dyDescent="0.3">
      <c r="A554" s="2" t="s">
        <v>3611</v>
      </c>
      <c r="B554" s="3">
        <v>43761</v>
      </c>
      <c r="C554" s="2" t="s">
        <v>3612</v>
      </c>
      <c r="D554" t="s">
        <v>6184</v>
      </c>
      <c r="E554" s="2">
        <v>4</v>
      </c>
      <c r="F554" s="2" t="str">
        <f>_xlfn.XLOOKUP(C554,customers!$A$2:$A$1001,customers!$B$2:$B$1001,,0)</f>
        <v>Granville Alberts</v>
      </c>
      <c r="G554" s="2" t="str">
        <f>_xlfn.XLOOKUP(C554,customers!$A$2:$A$1001,customers!$G$2:$G$1001,,0)</f>
        <v>United Kingdom</v>
      </c>
      <c r="H554" t="str">
        <f>INDEX(products!$A$1:$G$49,MATCH(orders!$D554,products!$A$1:$A$49,0),MATCH(orders!H$1,products!$A$1:$G$1,0))</f>
        <v>Exc</v>
      </c>
      <c r="I554" t="str">
        <f>INDEX(products!$A$1:$G$49,MATCH(orders!$D554,products!$A$1:$A$49,0),MATCH(orders!I$1,products!$A$1:$G$1,0))</f>
        <v>L</v>
      </c>
      <c r="J554" s="5">
        <f>INDEX(products!$A$1:$G$49,MATCH(orders!$D554,products!$A$1:$A$49,0),MATCH(orders!J$1,products!$A$1:$G$1,0))</f>
        <v>0.2</v>
      </c>
      <c r="K554" s="6">
        <f>INDEX(products!$A$1:$G$49,MATCH(orders!$D554,products!$A$1:$A$49,0),MATCH(orders!K$1,products!$A$1:$G$1,0))</f>
        <v>4.4550000000000001</v>
      </c>
      <c r="L554" s="6">
        <f>K554*E554</f>
        <v>17.82</v>
      </c>
      <c r="M554" t="str" cm="1">
        <f t="array" ref="M554">_xlfn.IFS(H554="Rob","Robusta",H554="Exc","Excelsa",H554="Ara","Arabica",H554="Lib","Liberica")</f>
        <v>Excelsa</v>
      </c>
      <c r="N554" t="str" cm="1">
        <f t="array" ref="N554">_xlfn.IFS(I554="M","Medium",I554="L","Light",I554="D","Dark")</f>
        <v>Light</v>
      </c>
      <c r="O554" t="str">
        <f>_xlfn.XLOOKUP(Orders[[#This Row],[Customer ID]],customers!$A$2:$A$1001,customers!$I$2:$I$1001,,0)</f>
        <v>Yes</v>
      </c>
    </row>
    <row r="555" spans="1:15" x14ac:dyDescent="0.3">
      <c r="A555" s="2" t="s">
        <v>3617</v>
      </c>
      <c r="B555" s="3">
        <v>44085</v>
      </c>
      <c r="C555" s="2" t="s">
        <v>3618</v>
      </c>
      <c r="D555" t="s">
        <v>6141</v>
      </c>
      <c r="E555" s="2">
        <v>5</v>
      </c>
      <c r="F555" s="2" t="str">
        <f>_xlfn.XLOOKUP(C555,customers!$A$2:$A$1001,customers!$B$2:$B$1001,,0)</f>
        <v>Vasily Polglase</v>
      </c>
      <c r="G555" s="2" t="str">
        <f>_xlfn.XLOOKUP(C555,customers!$A$2:$A$1001,customers!$G$2:$G$1001,,0)</f>
        <v>United States</v>
      </c>
      <c r="H555" t="str">
        <f>INDEX(products!$A$1:$G$49,MATCH(orders!$D555,products!$A$1:$A$49,0),MATCH(orders!H$1,products!$A$1:$G$1,0))</f>
        <v>Exc</v>
      </c>
      <c r="I555" t="str">
        <f>INDEX(products!$A$1:$G$49,MATCH(orders!$D555,products!$A$1:$A$49,0),MATCH(orders!I$1,products!$A$1:$G$1,0))</f>
        <v>M</v>
      </c>
      <c r="J555" s="5">
        <f>INDEX(products!$A$1:$G$49,MATCH(orders!$D555,products!$A$1:$A$49,0),MATCH(orders!J$1,products!$A$1:$G$1,0))</f>
        <v>1</v>
      </c>
      <c r="K555" s="6">
        <f>INDEX(products!$A$1:$G$49,MATCH(orders!$D555,products!$A$1:$A$49,0),MATCH(orders!K$1,products!$A$1:$G$1,0))</f>
        <v>13.75</v>
      </c>
      <c r="L555" s="6">
        <f>K555*E555</f>
        <v>68.75</v>
      </c>
      <c r="M555" t="str" cm="1">
        <f t="array" ref="M555">_xlfn.IFS(H555="Rob","Robusta",H555="Exc","Excelsa",H555="Ara","Arabica",H555="Lib","Liberica")</f>
        <v>Excelsa</v>
      </c>
      <c r="N555" t="str" cm="1">
        <f t="array" ref="N555">_xlfn.IFS(I555="M","Medium",I555="L","Light",I555="D","Dark")</f>
        <v>Medium</v>
      </c>
      <c r="O555" t="str">
        <f>_xlfn.XLOOKUP(Orders[[#This Row],[Customer ID]],customers!$A$2:$A$1001,customers!$I$2:$I$1001,,0)</f>
        <v>No</v>
      </c>
    </row>
    <row r="556" spans="1:15" x14ac:dyDescent="0.3">
      <c r="A556" s="2" t="s">
        <v>3622</v>
      </c>
      <c r="B556" s="3">
        <v>43737</v>
      </c>
      <c r="C556" s="2" t="s">
        <v>3623</v>
      </c>
      <c r="D556" t="s">
        <v>6142</v>
      </c>
      <c r="E556" s="2">
        <v>2</v>
      </c>
      <c r="F556" s="2" t="str">
        <f>_xlfn.XLOOKUP(C556,customers!$A$2:$A$1001,customers!$B$2:$B$1001,,0)</f>
        <v>Madelaine Sharples</v>
      </c>
      <c r="G556" s="2" t="str">
        <f>_xlfn.XLOOKUP(C556,customers!$A$2:$A$1001,customers!$G$2:$G$1001,,0)</f>
        <v>United Kingdom</v>
      </c>
      <c r="H556" t="str">
        <f>INDEX(products!$A$1:$G$49,MATCH(orders!$D556,products!$A$1:$A$49,0),MATCH(orders!H$1,products!$A$1:$G$1,0))</f>
        <v>Rob</v>
      </c>
      <c r="I556" t="str">
        <f>INDEX(products!$A$1:$G$49,MATCH(orders!$D556,products!$A$1:$A$49,0),MATCH(orders!I$1,products!$A$1:$G$1,0))</f>
        <v>L</v>
      </c>
      <c r="J556" s="5">
        <f>INDEX(products!$A$1:$G$49,MATCH(orders!$D556,products!$A$1:$A$49,0),MATCH(orders!J$1,products!$A$1:$G$1,0))</f>
        <v>2.5</v>
      </c>
      <c r="K556" s="6">
        <f>INDEX(products!$A$1:$G$49,MATCH(orders!$D556,products!$A$1:$A$49,0),MATCH(orders!K$1,products!$A$1:$G$1,0))</f>
        <v>27.484999999999996</v>
      </c>
      <c r="L556" s="6">
        <f>K556*E556</f>
        <v>54.969999999999992</v>
      </c>
      <c r="M556" t="str" cm="1">
        <f t="array" ref="M556">_xlfn.IFS(H556="Rob","Robusta",H556="Exc","Excelsa",H556="Ara","Arabica",H556="Lib","Liberica")</f>
        <v>Robusta</v>
      </c>
      <c r="N556" t="str" cm="1">
        <f t="array" ref="N556">_xlfn.IFS(I556="M","Medium",I556="L","Light",I556="D","Dark")</f>
        <v>Light</v>
      </c>
      <c r="O556" t="str">
        <f>_xlfn.XLOOKUP(Orders[[#This Row],[Customer ID]],customers!$A$2:$A$1001,customers!$I$2:$I$1001,,0)</f>
        <v>Yes</v>
      </c>
    </row>
    <row r="557" spans="1:15" x14ac:dyDescent="0.3">
      <c r="A557" s="2" t="s">
        <v>3627</v>
      </c>
      <c r="B557" s="3">
        <v>44258</v>
      </c>
      <c r="C557" s="2" t="s">
        <v>3628</v>
      </c>
      <c r="D557" t="s">
        <v>6141</v>
      </c>
      <c r="E557" s="2">
        <v>6</v>
      </c>
      <c r="F557" s="2" t="str">
        <f>_xlfn.XLOOKUP(C557,customers!$A$2:$A$1001,customers!$B$2:$B$1001,,0)</f>
        <v>Sigfrid Busch</v>
      </c>
      <c r="G557" s="2" t="str">
        <f>_xlfn.XLOOKUP(C557,customers!$A$2:$A$1001,customers!$G$2:$G$1001,,0)</f>
        <v>Ireland</v>
      </c>
      <c r="H557" t="str">
        <f>INDEX(products!$A$1:$G$49,MATCH(orders!$D557,products!$A$1:$A$49,0),MATCH(orders!H$1,products!$A$1:$G$1,0))</f>
        <v>Exc</v>
      </c>
      <c r="I557" t="str">
        <f>INDEX(products!$A$1:$G$49,MATCH(orders!$D557,products!$A$1:$A$49,0),MATCH(orders!I$1,products!$A$1:$G$1,0))</f>
        <v>M</v>
      </c>
      <c r="J557" s="5">
        <f>INDEX(products!$A$1:$G$49,MATCH(orders!$D557,products!$A$1:$A$49,0),MATCH(orders!J$1,products!$A$1:$G$1,0))</f>
        <v>1</v>
      </c>
      <c r="K557" s="6">
        <f>INDEX(products!$A$1:$G$49,MATCH(orders!$D557,products!$A$1:$A$49,0),MATCH(orders!K$1,products!$A$1:$G$1,0))</f>
        <v>13.75</v>
      </c>
      <c r="L557" s="6">
        <f>K557*E557</f>
        <v>82.5</v>
      </c>
      <c r="M557" t="str" cm="1">
        <f t="array" ref="M557">_xlfn.IFS(H557="Rob","Robusta",H557="Exc","Excelsa",H557="Ara","Arabica",H557="Lib","Liberica")</f>
        <v>Excelsa</v>
      </c>
      <c r="N557" t="str" cm="1">
        <f t="array" ref="N557">_xlfn.IFS(I557="M","Medium",I557="L","Light",I557="D","Dark")</f>
        <v>Medium</v>
      </c>
      <c r="O557" t="str">
        <f>_xlfn.XLOOKUP(Orders[[#This Row],[Customer ID]],customers!$A$2:$A$1001,customers!$I$2:$I$1001,,0)</f>
        <v>No</v>
      </c>
    </row>
    <row r="558" spans="1:15" x14ac:dyDescent="0.3">
      <c r="A558" s="2" t="s">
        <v>3633</v>
      </c>
      <c r="B558" s="3">
        <v>44523</v>
      </c>
      <c r="C558" s="2" t="s">
        <v>3634</v>
      </c>
      <c r="D558" t="s">
        <v>6159</v>
      </c>
      <c r="E558" s="2">
        <v>2</v>
      </c>
      <c r="F558" s="2" t="str">
        <f>_xlfn.XLOOKUP(C558,customers!$A$2:$A$1001,customers!$B$2:$B$1001,,0)</f>
        <v>Cissiee Raisbeck</v>
      </c>
      <c r="G558" s="2" t="str">
        <f>_xlfn.XLOOKUP(C558,customers!$A$2:$A$1001,customers!$G$2:$G$1001,,0)</f>
        <v>United States</v>
      </c>
      <c r="H558" t="str">
        <f>INDEX(products!$A$1:$G$49,MATCH(orders!$D558,products!$A$1:$A$49,0),MATCH(orders!H$1,products!$A$1:$G$1,0))</f>
        <v>Lib</v>
      </c>
      <c r="I558" t="str">
        <f>INDEX(products!$A$1:$G$49,MATCH(orders!$D558,products!$A$1:$A$49,0),MATCH(orders!I$1,products!$A$1:$G$1,0))</f>
        <v>M</v>
      </c>
      <c r="J558" s="5">
        <f>INDEX(products!$A$1:$G$49,MATCH(orders!$D558,products!$A$1:$A$49,0),MATCH(orders!J$1,products!$A$1:$G$1,0))</f>
        <v>0.2</v>
      </c>
      <c r="K558" s="6">
        <f>INDEX(products!$A$1:$G$49,MATCH(orders!$D558,products!$A$1:$A$49,0),MATCH(orders!K$1,products!$A$1:$G$1,0))</f>
        <v>4.3650000000000002</v>
      </c>
      <c r="L558" s="6">
        <f>K558*E558</f>
        <v>8.73</v>
      </c>
      <c r="M558" t="str" cm="1">
        <f t="array" ref="M558">_xlfn.IFS(H558="Rob","Robusta",H558="Exc","Excelsa",H558="Ara","Arabica",H558="Lib","Liberica")</f>
        <v>Liberica</v>
      </c>
      <c r="N558" t="str" cm="1">
        <f t="array" ref="N558">_xlfn.IFS(I558="M","Medium",I558="L","Light",I558="D","Dark")</f>
        <v>Medium</v>
      </c>
      <c r="O558" t="str">
        <f>_xlfn.XLOOKUP(Orders[[#This Row],[Customer ID]],customers!$A$2:$A$1001,customers!$I$2:$I$1001,,0)</f>
        <v>Yes</v>
      </c>
    </row>
    <row r="559" spans="1:15" x14ac:dyDescent="0.3">
      <c r="A559" s="2" t="s">
        <v>3638</v>
      </c>
      <c r="B559" s="3">
        <v>44506</v>
      </c>
      <c r="C559" s="2" t="s">
        <v>3368</v>
      </c>
      <c r="D559" t="s">
        <v>6171</v>
      </c>
      <c r="E559" s="2">
        <v>4</v>
      </c>
      <c r="F559" s="2" t="str">
        <f>_xlfn.XLOOKUP(C559,customers!$A$2:$A$1001,customers!$B$2:$B$1001,,0)</f>
        <v>Marja Urion</v>
      </c>
      <c r="G559" s="2" t="str">
        <f>_xlfn.XLOOKUP(C559,customers!$A$2:$A$1001,customers!$G$2:$G$1001,,0)</f>
        <v>Ireland</v>
      </c>
      <c r="H559" t="str">
        <f>INDEX(products!$A$1:$G$49,MATCH(orders!$D559,products!$A$1:$A$49,0),MATCH(orders!H$1,products!$A$1:$G$1,0))</f>
        <v>Exc</v>
      </c>
      <c r="I559" t="str">
        <f>INDEX(products!$A$1:$G$49,MATCH(orders!$D559,products!$A$1:$A$49,0),MATCH(orders!I$1,products!$A$1:$G$1,0))</f>
        <v>L</v>
      </c>
      <c r="J559" s="5">
        <f>INDEX(products!$A$1:$G$49,MATCH(orders!$D559,products!$A$1:$A$49,0),MATCH(orders!J$1,products!$A$1:$G$1,0))</f>
        <v>1</v>
      </c>
      <c r="K559" s="6">
        <f>INDEX(products!$A$1:$G$49,MATCH(orders!$D559,products!$A$1:$A$49,0),MATCH(orders!K$1,products!$A$1:$G$1,0))</f>
        <v>14.85</v>
      </c>
      <c r="L559" s="6">
        <f>K559*E559</f>
        <v>59.4</v>
      </c>
      <c r="M559" t="str" cm="1">
        <f t="array" ref="M559">_xlfn.IFS(H559="Rob","Robusta",H559="Exc","Excelsa",H559="Ara","Arabica",H559="Lib","Liberica")</f>
        <v>Excelsa</v>
      </c>
      <c r="N559" t="str" cm="1">
        <f t="array" ref="N559">_xlfn.IFS(I559="M","Medium",I559="L","Light",I559="D","Dark")</f>
        <v>Light</v>
      </c>
      <c r="O559" t="str">
        <f>_xlfn.XLOOKUP(Orders[[#This Row],[Customer ID]],customers!$A$2:$A$1001,customers!$I$2:$I$1001,,0)</f>
        <v>Yes</v>
      </c>
    </row>
    <row r="560" spans="1:15" x14ac:dyDescent="0.3">
      <c r="A560" s="2" t="s">
        <v>3643</v>
      </c>
      <c r="B560" s="3">
        <v>44225</v>
      </c>
      <c r="C560" s="2" t="s">
        <v>3644</v>
      </c>
      <c r="D560" t="s">
        <v>6150</v>
      </c>
      <c r="E560" s="2">
        <v>4</v>
      </c>
      <c r="F560" s="2" t="str">
        <f>_xlfn.XLOOKUP(C560,customers!$A$2:$A$1001,customers!$B$2:$B$1001,,0)</f>
        <v>Kenton Wetherick</v>
      </c>
      <c r="G560" s="2" t="str">
        <f>_xlfn.XLOOKUP(C560,customers!$A$2:$A$1001,customers!$G$2:$G$1001,,0)</f>
        <v>United States</v>
      </c>
      <c r="H560" t="str">
        <f>INDEX(products!$A$1:$G$49,MATCH(orders!$D560,products!$A$1:$A$49,0),MATCH(orders!H$1,products!$A$1:$G$1,0))</f>
        <v>Lib</v>
      </c>
      <c r="I560" t="str">
        <f>INDEX(products!$A$1:$G$49,MATCH(orders!$D560,products!$A$1:$A$49,0),MATCH(orders!I$1,products!$A$1:$G$1,0))</f>
        <v>D</v>
      </c>
      <c r="J560" s="5">
        <f>INDEX(products!$A$1:$G$49,MATCH(orders!$D560,products!$A$1:$A$49,0),MATCH(orders!J$1,products!$A$1:$G$1,0))</f>
        <v>0.2</v>
      </c>
      <c r="K560" s="6">
        <f>INDEX(products!$A$1:$G$49,MATCH(orders!$D560,products!$A$1:$A$49,0),MATCH(orders!K$1,products!$A$1:$G$1,0))</f>
        <v>3.8849999999999998</v>
      </c>
      <c r="L560" s="6">
        <f>K560*E560</f>
        <v>15.54</v>
      </c>
      <c r="M560" t="str" cm="1">
        <f t="array" ref="M560">_xlfn.IFS(H560="Rob","Robusta",H560="Exc","Excelsa",H560="Ara","Arabica",H560="Lib","Liberica")</f>
        <v>Liberica</v>
      </c>
      <c r="N560" t="str" cm="1">
        <f t="array" ref="N560">_xlfn.IFS(I560="M","Medium",I560="L","Light",I560="D","Dark")</f>
        <v>Dark</v>
      </c>
      <c r="O560" t="str">
        <f>_xlfn.XLOOKUP(Orders[[#This Row],[Customer ID]],customers!$A$2:$A$1001,customers!$I$2:$I$1001,,0)</f>
        <v>Yes</v>
      </c>
    </row>
    <row r="561" spans="1:15" x14ac:dyDescent="0.3">
      <c r="A561" s="2" t="s">
        <v>3648</v>
      </c>
      <c r="B561" s="3">
        <v>44667</v>
      </c>
      <c r="C561" s="2" t="s">
        <v>3649</v>
      </c>
      <c r="D561" t="s">
        <v>6140</v>
      </c>
      <c r="E561" s="2">
        <v>3</v>
      </c>
      <c r="F561" s="2" t="str">
        <f>_xlfn.XLOOKUP(C561,customers!$A$2:$A$1001,customers!$B$2:$B$1001,,0)</f>
        <v>Reamonn Aynold</v>
      </c>
      <c r="G561" s="2" t="str">
        <f>_xlfn.XLOOKUP(C561,customers!$A$2:$A$1001,customers!$G$2:$G$1001,,0)</f>
        <v>United States</v>
      </c>
      <c r="H561" t="str">
        <f>INDEX(products!$A$1:$G$49,MATCH(orders!$D561,products!$A$1:$A$49,0),MATCH(orders!H$1,products!$A$1:$G$1,0))</f>
        <v>Ara</v>
      </c>
      <c r="I561" t="str">
        <f>INDEX(products!$A$1:$G$49,MATCH(orders!$D561,products!$A$1:$A$49,0),MATCH(orders!I$1,products!$A$1:$G$1,0))</f>
        <v>L</v>
      </c>
      <c r="J561" s="5">
        <f>INDEX(products!$A$1:$G$49,MATCH(orders!$D561,products!$A$1:$A$49,0),MATCH(orders!J$1,products!$A$1:$G$1,0))</f>
        <v>1</v>
      </c>
      <c r="K561" s="6">
        <f>INDEX(products!$A$1:$G$49,MATCH(orders!$D561,products!$A$1:$A$49,0),MATCH(orders!K$1,products!$A$1:$G$1,0))</f>
        <v>12.95</v>
      </c>
      <c r="L561" s="6">
        <f>K561*E561</f>
        <v>38.849999999999994</v>
      </c>
      <c r="M561" t="str" cm="1">
        <f t="array" ref="M561">_xlfn.IFS(H561="Rob","Robusta",H561="Exc","Excelsa",H561="Ara","Arabica",H561="Lib","Liberica")</f>
        <v>Arabica</v>
      </c>
      <c r="N561" t="str" cm="1">
        <f t="array" ref="N561">_xlfn.IFS(I561="M","Medium",I561="L","Light",I561="D","Dark")</f>
        <v>Light</v>
      </c>
      <c r="O561" t="str">
        <f>_xlfn.XLOOKUP(Orders[[#This Row],[Customer ID]],customers!$A$2:$A$1001,customers!$I$2:$I$1001,,0)</f>
        <v>Yes</v>
      </c>
    </row>
    <row r="562" spans="1:15" x14ac:dyDescent="0.3">
      <c r="A562" s="2" t="s">
        <v>3654</v>
      </c>
      <c r="B562" s="3">
        <v>44401</v>
      </c>
      <c r="C562" s="2" t="s">
        <v>3655</v>
      </c>
      <c r="D562" t="s">
        <v>6166</v>
      </c>
      <c r="E562" s="2">
        <v>6</v>
      </c>
      <c r="F562" s="2" t="str">
        <f>_xlfn.XLOOKUP(C562,customers!$A$2:$A$1001,customers!$B$2:$B$1001,,0)</f>
        <v>Hatty Dovydenas</v>
      </c>
      <c r="G562" s="2" t="str">
        <f>_xlfn.XLOOKUP(C562,customers!$A$2:$A$1001,customers!$G$2:$G$1001,,0)</f>
        <v>United States</v>
      </c>
      <c r="H562" t="str">
        <f>INDEX(products!$A$1:$G$49,MATCH(orders!$D562,products!$A$1:$A$49,0),MATCH(orders!H$1,products!$A$1:$G$1,0))</f>
        <v>Exc</v>
      </c>
      <c r="I562" t="str">
        <f>INDEX(products!$A$1:$G$49,MATCH(orders!$D562,products!$A$1:$A$49,0),MATCH(orders!I$1,products!$A$1:$G$1,0))</f>
        <v>M</v>
      </c>
      <c r="J562" s="5">
        <f>INDEX(products!$A$1:$G$49,MATCH(orders!$D562,products!$A$1:$A$49,0),MATCH(orders!J$1,products!$A$1:$G$1,0))</f>
        <v>2.5</v>
      </c>
      <c r="K562" s="6">
        <f>INDEX(products!$A$1:$G$49,MATCH(orders!$D562,products!$A$1:$A$49,0),MATCH(orders!K$1,products!$A$1:$G$1,0))</f>
        <v>31.624999999999996</v>
      </c>
      <c r="L562" s="6">
        <f>K562*E562</f>
        <v>189.74999999999997</v>
      </c>
      <c r="M562" t="str" cm="1">
        <f t="array" ref="M562">_xlfn.IFS(H562="Rob","Robusta",H562="Exc","Excelsa",H562="Ara","Arabica",H562="Lib","Liberica")</f>
        <v>Excelsa</v>
      </c>
      <c r="N562" t="str" cm="1">
        <f t="array" ref="N562">_xlfn.IFS(I562="M","Medium",I562="L","Light",I562="D","Dark")</f>
        <v>Medium</v>
      </c>
      <c r="O562" t="str">
        <f>_xlfn.XLOOKUP(Orders[[#This Row],[Customer ID]],customers!$A$2:$A$1001,customers!$I$2:$I$1001,,0)</f>
        <v>Yes</v>
      </c>
    </row>
    <row r="563" spans="1:15" x14ac:dyDescent="0.3">
      <c r="A563" s="2" t="s">
        <v>3659</v>
      </c>
      <c r="B563" s="3">
        <v>43688</v>
      </c>
      <c r="C563" s="2" t="s">
        <v>3660</v>
      </c>
      <c r="D563" t="s">
        <v>6154</v>
      </c>
      <c r="E563" s="2">
        <v>6</v>
      </c>
      <c r="F563" s="2" t="str">
        <f>_xlfn.XLOOKUP(C563,customers!$A$2:$A$1001,customers!$B$2:$B$1001,,0)</f>
        <v>Nathaniel Bloxland</v>
      </c>
      <c r="G563" s="2" t="str">
        <f>_xlfn.XLOOKUP(C563,customers!$A$2:$A$1001,customers!$G$2:$G$1001,,0)</f>
        <v>Ireland</v>
      </c>
      <c r="H563" t="str">
        <f>INDEX(products!$A$1:$G$49,MATCH(orders!$D563,products!$A$1:$A$49,0),MATCH(orders!H$1,products!$A$1:$G$1,0))</f>
        <v>Ara</v>
      </c>
      <c r="I563" t="str">
        <f>INDEX(products!$A$1:$G$49,MATCH(orders!$D563,products!$A$1:$A$49,0),MATCH(orders!I$1,products!$A$1:$G$1,0))</f>
        <v>D</v>
      </c>
      <c r="J563" s="5">
        <f>INDEX(products!$A$1:$G$49,MATCH(orders!$D563,products!$A$1:$A$49,0),MATCH(orders!J$1,products!$A$1:$G$1,0))</f>
        <v>0.2</v>
      </c>
      <c r="K563" s="6">
        <f>INDEX(products!$A$1:$G$49,MATCH(orders!$D563,products!$A$1:$A$49,0),MATCH(orders!K$1,products!$A$1:$G$1,0))</f>
        <v>2.9849999999999999</v>
      </c>
      <c r="L563" s="6">
        <f>K563*E563</f>
        <v>17.91</v>
      </c>
      <c r="M563" t="str" cm="1">
        <f t="array" ref="M563">_xlfn.IFS(H563="Rob","Robusta",H563="Exc","Excelsa",H563="Ara","Arabica",H563="Lib","Liberica")</f>
        <v>Arabica</v>
      </c>
      <c r="N563" t="str" cm="1">
        <f t="array" ref="N563">_xlfn.IFS(I563="M","Medium",I563="L","Light",I563="D","Dark")</f>
        <v>Dark</v>
      </c>
      <c r="O563" t="str">
        <f>_xlfn.XLOOKUP(Orders[[#This Row],[Customer ID]],customers!$A$2:$A$1001,customers!$I$2:$I$1001,,0)</f>
        <v>Yes</v>
      </c>
    </row>
    <row r="564" spans="1:15" x14ac:dyDescent="0.3">
      <c r="A564" s="2" t="s">
        <v>3665</v>
      </c>
      <c r="B564" s="3">
        <v>43669</v>
      </c>
      <c r="C564" s="2" t="s">
        <v>3666</v>
      </c>
      <c r="D564" t="s">
        <v>6145</v>
      </c>
      <c r="E564" s="2">
        <v>6</v>
      </c>
      <c r="F564" s="2" t="str">
        <f>_xlfn.XLOOKUP(C564,customers!$A$2:$A$1001,customers!$B$2:$B$1001,,0)</f>
        <v>Brendan Grece</v>
      </c>
      <c r="G564" s="2" t="str">
        <f>_xlfn.XLOOKUP(C564,customers!$A$2:$A$1001,customers!$G$2:$G$1001,,0)</f>
        <v>United Kingdom</v>
      </c>
      <c r="H564" t="str">
        <f>INDEX(products!$A$1:$G$49,MATCH(orders!$D564,products!$A$1:$A$49,0),MATCH(orders!H$1,products!$A$1:$G$1,0))</f>
        <v>Lib</v>
      </c>
      <c r="I564" t="str">
        <f>INDEX(products!$A$1:$G$49,MATCH(orders!$D564,products!$A$1:$A$49,0),MATCH(orders!I$1,products!$A$1:$G$1,0))</f>
        <v>L</v>
      </c>
      <c r="J564" s="5">
        <f>INDEX(products!$A$1:$G$49,MATCH(orders!$D564,products!$A$1:$A$49,0),MATCH(orders!J$1,products!$A$1:$G$1,0))</f>
        <v>0.2</v>
      </c>
      <c r="K564" s="6">
        <f>INDEX(products!$A$1:$G$49,MATCH(orders!$D564,products!$A$1:$A$49,0),MATCH(orders!K$1,products!$A$1:$G$1,0))</f>
        <v>4.7549999999999999</v>
      </c>
      <c r="L564" s="6">
        <f>K564*E564</f>
        <v>28.53</v>
      </c>
      <c r="M564" t="str" cm="1">
        <f t="array" ref="M564">_xlfn.IFS(H564="Rob","Robusta",H564="Exc","Excelsa",H564="Ara","Arabica",H564="Lib","Liberica")</f>
        <v>Liberica</v>
      </c>
      <c r="N564" t="str" cm="1">
        <f t="array" ref="N564">_xlfn.IFS(I564="M","Medium",I564="L","Light",I564="D","Dark")</f>
        <v>Light</v>
      </c>
      <c r="O564" t="str">
        <f>_xlfn.XLOOKUP(Orders[[#This Row],[Customer ID]],customers!$A$2:$A$1001,customers!$I$2:$I$1001,,0)</f>
        <v>No</v>
      </c>
    </row>
    <row r="565" spans="1:15" x14ac:dyDescent="0.3">
      <c r="A565" s="2" t="s">
        <v>3671</v>
      </c>
      <c r="B565" s="3">
        <v>43991</v>
      </c>
      <c r="C565" s="2" t="s">
        <v>3752</v>
      </c>
      <c r="D565" t="s">
        <v>6141</v>
      </c>
      <c r="E565" s="2">
        <v>6</v>
      </c>
      <c r="F565" s="2" t="str">
        <f>_xlfn.XLOOKUP(C565,customers!$A$2:$A$1001,customers!$B$2:$B$1001,,0)</f>
        <v>Don Flintiff</v>
      </c>
      <c r="G565" s="2" t="str">
        <f>_xlfn.XLOOKUP(C565,customers!$A$2:$A$1001,customers!$G$2:$G$1001,,0)</f>
        <v>United Kingdom</v>
      </c>
      <c r="H565" t="str">
        <f>INDEX(products!$A$1:$G$49,MATCH(orders!$D565,products!$A$1:$A$49,0),MATCH(orders!H$1,products!$A$1:$G$1,0))</f>
        <v>Exc</v>
      </c>
      <c r="I565" t="str">
        <f>INDEX(products!$A$1:$G$49,MATCH(orders!$D565,products!$A$1:$A$49,0),MATCH(orders!I$1,products!$A$1:$G$1,0))</f>
        <v>M</v>
      </c>
      <c r="J565" s="5">
        <f>INDEX(products!$A$1:$G$49,MATCH(orders!$D565,products!$A$1:$A$49,0),MATCH(orders!J$1,products!$A$1:$G$1,0))</f>
        <v>1</v>
      </c>
      <c r="K565" s="6">
        <f>INDEX(products!$A$1:$G$49,MATCH(orders!$D565,products!$A$1:$A$49,0),MATCH(orders!K$1,products!$A$1:$G$1,0))</f>
        <v>13.75</v>
      </c>
      <c r="L565" s="6">
        <f>K565*E565</f>
        <v>82.5</v>
      </c>
      <c r="M565" t="str" cm="1">
        <f t="array" ref="M565">_xlfn.IFS(H565="Rob","Robusta",H565="Exc","Excelsa",H565="Ara","Arabica",H565="Lib","Liberica")</f>
        <v>Excelsa</v>
      </c>
      <c r="N565" t="str" cm="1">
        <f t="array" ref="N565">_xlfn.IFS(I565="M","Medium",I565="L","Light",I565="D","Dark")</f>
        <v>Medium</v>
      </c>
      <c r="O565" t="str">
        <f>_xlfn.XLOOKUP(Orders[[#This Row],[Customer ID]],customers!$A$2:$A$1001,customers!$I$2:$I$1001,,0)</f>
        <v>No</v>
      </c>
    </row>
    <row r="566" spans="1:15" x14ac:dyDescent="0.3">
      <c r="A566" s="2" t="s">
        <v>3677</v>
      </c>
      <c r="B566" s="3">
        <v>43883</v>
      </c>
      <c r="C566" s="2" t="s">
        <v>3678</v>
      </c>
      <c r="D566" t="s">
        <v>6173</v>
      </c>
      <c r="E566" s="2">
        <v>2</v>
      </c>
      <c r="F566" s="2" t="str">
        <f>_xlfn.XLOOKUP(C566,customers!$A$2:$A$1001,customers!$B$2:$B$1001,,0)</f>
        <v>Abbe Thys</v>
      </c>
      <c r="G566" s="2" t="str">
        <f>_xlfn.XLOOKUP(C566,customers!$A$2:$A$1001,customers!$G$2:$G$1001,,0)</f>
        <v>United States</v>
      </c>
      <c r="H566" t="str">
        <f>INDEX(products!$A$1:$G$49,MATCH(orders!$D566,products!$A$1:$A$49,0),MATCH(orders!H$1,products!$A$1:$G$1,0))</f>
        <v>Rob</v>
      </c>
      <c r="I566" t="str">
        <f>INDEX(products!$A$1:$G$49,MATCH(orders!$D566,products!$A$1:$A$49,0),MATCH(orders!I$1,products!$A$1:$G$1,0))</f>
        <v>L</v>
      </c>
      <c r="J566" s="5">
        <f>INDEX(products!$A$1:$G$49,MATCH(orders!$D566,products!$A$1:$A$49,0),MATCH(orders!J$1,products!$A$1:$G$1,0))</f>
        <v>0.5</v>
      </c>
      <c r="K566" s="6">
        <f>INDEX(products!$A$1:$G$49,MATCH(orders!$D566,products!$A$1:$A$49,0),MATCH(orders!K$1,products!$A$1:$G$1,0))</f>
        <v>7.169999999999999</v>
      </c>
      <c r="L566" s="6">
        <f>K566*E566</f>
        <v>14.339999999999998</v>
      </c>
      <c r="M566" t="str" cm="1">
        <f t="array" ref="M566">_xlfn.IFS(H566="Rob","Robusta",H566="Exc","Excelsa",H566="Ara","Arabica",H566="Lib","Liberica")</f>
        <v>Robusta</v>
      </c>
      <c r="N566" t="str" cm="1">
        <f t="array" ref="N566">_xlfn.IFS(I566="M","Medium",I566="L","Light",I566="D","Dark")</f>
        <v>Light</v>
      </c>
      <c r="O566" t="str">
        <f>_xlfn.XLOOKUP(Orders[[#This Row],[Customer ID]],customers!$A$2:$A$1001,customers!$I$2:$I$1001,,0)</f>
        <v>No</v>
      </c>
    </row>
    <row r="567" spans="1:15" x14ac:dyDescent="0.3">
      <c r="A567" s="2" t="s">
        <v>3683</v>
      </c>
      <c r="B567" s="3">
        <v>44031</v>
      </c>
      <c r="C567" s="2" t="s">
        <v>3684</v>
      </c>
      <c r="D567" t="s">
        <v>6149</v>
      </c>
      <c r="E567" s="2">
        <v>4</v>
      </c>
      <c r="F567" s="2" t="str">
        <f>_xlfn.XLOOKUP(C567,customers!$A$2:$A$1001,customers!$B$2:$B$1001,,0)</f>
        <v>Jackquelin Chugg</v>
      </c>
      <c r="G567" s="2" t="str">
        <f>_xlfn.XLOOKUP(C567,customers!$A$2:$A$1001,customers!$G$2:$G$1001,,0)</f>
        <v>United States</v>
      </c>
      <c r="H567" t="str">
        <f>INDEX(products!$A$1:$G$49,MATCH(orders!$D567,products!$A$1:$A$49,0),MATCH(orders!H$1,products!$A$1:$G$1,0))</f>
        <v>Rob</v>
      </c>
      <c r="I567" t="str">
        <f>INDEX(products!$A$1:$G$49,MATCH(orders!$D567,products!$A$1:$A$49,0),MATCH(orders!I$1,products!$A$1:$G$1,0))</f>
        <v>D</v>
      </c>
      <c r="J567" s="5">
        <f>INDEX(products!$A$1:$G$49,MATCH(orders!$D567,products!$A$1:$A$49,0),MATCH(orders!J$1,products!$A$1:$G$1,0))</f>
        <v>2.5</v>
      </c>
      <c r="K567" s="6">
        <f>INDEX(products!$A$1:$G$49,MATCH(orders!$D567,products!$A$1:$A$49,0),MATCH(orders!K$1,products!$A$1:$G$1,0))</f>
        <v>20.584999999999997</v>
      </c>
      <c r="L567" s="6">
        <f>K567*E567</f>
        <v>82.339999999999989</v>
      </c>
      <c r="M567" t="str" cm="1">
        <f t="array" ref="M567">_xlfn.IFS(H567="Rob","Robusta",H567="Exc","Excelsa",H567="Ara","Arabica",H567="Lib","Liberica")</f>
        <v>Robusta</v>
      </c>
      <c r="N567" t="str" cm="1">
        <f t="array" ref="N567">_xlfn.IFS(I567="M","Medium",I567="L","Light",I567="D","Dark")</f>
        <v>Dark</v>
      </c>
      <c r="O567" t="str">
        <f>_xlfn.XLOOKUP(Orders[[#This Row],[Customer ID]],customers!$A$2:$A$1001,customers!$I$2:$I$1001,,0)</f>
        <v>No</v>
      </c>
    </row>
    <row r="568" spans="1:15" x14ac:dyDescent="0.3">
      <c r="A568" s="2" t="s">
        <v>3689</v>
      </c>
      <c r="B568" s="3">
        <v>44459</v>
      </c>
      <c r="C568" s="2" t="s">
        <v>3690</v>
      </c>
      <c r="D568" t="s">
        <v>6152</v>
      </c>
      <c r="E568" s="2">
        <v>6</v>
      </c>
      <c r="F568" s="2" t="str">
        <f>_xlfn.XLOOKUP(C568,customers!$A$2:$A$1001,customers!$B$2:$B$1001,,0)</f>
        <v>Audra Kelston</v>
      </c>
      <c r="G568" s="2" t="str">
        <f>_xlfn.XLOOKUP(C568,customers!$A$2:$A$1001,customers!$G$2:$G$1001,,0)</f>
        <v>United States</v>
      </c>
      <c r="H568" t="str">
        <f>INDEX(products!$A$1:$G$49,MATCH(orders!$D568,products!$A$1:$A$49,0),MATCH(orders!H$1,products!$A$1:$G$1,0))</f>
        <v>Ara</v>
      </c>
      <c r="I568" t="str">
        <f>INDEX(products!$A$1:$G$49,MATCH(orders!$D568,products!$A$1:$A$49,0),MATCH(orders!I$1,products!$A$1:$G$1,0))</f>
        <v>M</v>
      </c>
      <c r="J568" s="5">
        <f>INDEX(products!$A$1:$G$49,MATCH(orders!$D568,products!$A$1:$A$49,0),MATCH(orders!J$1,products!$A$1:$G$1,0))</f>
        <v>0.2</v>
      </c>
      <c r="K568" s="6">
        <f>INDEX(products!$A$1:$G$49,MATCH(orders!$D568,products!$A$1:$A$49,0),MATCH(orders!K$1,products!$A$1:$G$1,0))</f>
        <v>3.375</v>
      </c>
      <c r="L568" s="6">
        <f>K568*E568</f>
        <v>20.25</v>
      </c>
      <c r="M568" t="str" cm="1">
        <f t="array" ref="M568">_xlfn.IFS(H568="Rob","Robusta",H568="Exc","Excelsa",H568="Ara","Arabica",H568="Lib","Liberica")</f>
        <v>Arabica</v>
      </c>
      <c r="N568" t="str" cm="1">
        <f t="array" ref="N568">_xlfn.IFS(I568="M","Medium",I568="L","Light",I568="D","Dark")</f>
        <v>Medium</v>
      </c>
      <c r="O568" t="str">
        <f>_xlfn.XLOOKUP(Orders[[#This Row],[Customer ID]],customers!$A$2:$A$1001,customers!$I$2:$I$1001,,0)</f>
        <v>Yes</v>
      </c>
    </row>
    <row r="569" spans="1:15" x14ac:dyDescent="0.3">
      <c r="A569" s="2" t="s">
        <v>3695</v>
      </c>
      <c r="B569" s="3">
        <v>44318</v>
      </c>
      <c r="C569" s="2" t="s">
        <v>3696</v>
      </c>
      <c r="D569" t="s">
        <v>6142</v>
      </c>
      <c r="E569" s="2">
        <v>6</v>
      </c>
      <c r="F569" s="2" t="str">
        <f>_xlfn.XLOOKUP(C569,customers!$A$2:$A$1001,customers!$B$2:$B$1001,,0)</f>
        <v>Elvina Angel</v>
      </c>
      <c r="G569" s="2" t="str">
        <f>_xlfn.XLOOKUP(C569,customers!$A$2:$A$1001,customers!$G$2:$G$1001,,0)</f>
        <v>Ireland</v>
      </c>
      <c r="H569" t="str">
        <f>INDEX(products!$A$1:$G$49,MATCH(orders!$D569,products!$A$1:$A$49,0),MATCH(orders!H$1,products!$A$1:$G$1,0))</f>
        <v>Rob</v>
      </c>
      <c r="I569" t="str">
        <f>INDEX(products!$A$1:$G$49,MATCH(orders!$D569,products!$A$1:$A$49,0),MATCH(orders!I$1,products!$A$1:$G$1,0))</f>
        <v>L</v>
      </c>
      <c r="J569" s="5">
        <f>INDEX(products!$A$1:$G$49,MATCH(orders!$D569,products!$A$1:$A$49,0),MATCH(orders!J$1,products!$A$1:$G$1,0))</f>
        <v>2.5</v>
      </c>
      <c r="K569" s="6">
        <f>INDEX(products!$A$1:$G$49,MATCH(orders!$D569,products!$A$1:$A$49,0),MATCH(orders!K$1,products!$A$1:$G$1,0))</f>
        <v>27.484999999999996</v>
      </c>
      <c r="L569" s="6">
        <f>K569*E569</f>
        <v>164.90999999999997</v>
      </c>
      <c r="M569" t="str" cm="1">
        <f t="array" ref="M569">_xlfn.IFS(H569="Rob","Robusta",H569="Exc","Excelsa",H569="Ara","Arabica",H569="Lib","Liberica")</f>
        <v>Robusta</v>
      </c>
      <c r="N569" t="str" cm="1">
        <f t="array" ref="N569">_xlfn.IFS(I569="M","Medium",I569="L","Light",I569="D","Dark")</f>
        <v>Light</v>
      </c>
      <c r="O569" t="str">
        <f>_xlfn.XLOOKUP(Orders[[#This Row],[Customer ID]],customers!$A$2:$A$1001,customers!$I$2:$I$1001,,0)</f>
        <v>No</v>
      </c>
    </row>
    <row r="570" spans="1:15" x14ac:dyDescent="0.3">
      <c r="A570" s="2" t="s">
        <v>3700</v>
      </c>
      <c r="B570" s="3">
        <v>44526</v>
      </c>
      <c r="C570" s="2" t="s">
        <v>3701</v>
      </c>
      <c r="D570" t="s">
        <v>6145</v>
      </c>
      <c r="E570" s="2">
        <v>4</v>
      </c>
      <c r="F570" s="2" t="str">
        <f>_xlfn.XLOOKUP(C570,customers!$A$2:$A$1001,customers!$B$2:$B$1001,,0)</f>
        <v>Claiborne Mottram</v>
      </c>
      <c r="G570" s="2" t="str">
        <f>_xlfn.XLOOKUP(C570,customers!$A$2:$A$1001,customers!$G$2:$G$1001,,0)</f>
        <v>United States</v>
      </c>
      <c r="H570" t="str">
        <f>INDEX(products!$A$1:$G$49,MATCH(orders!$D570,products!$A$1:$A$49,0),MATCH(orders!H$1,products!$A$1:$G$1,0))</f>
        <v>Lib</v>
      </c>
      <c r="I570" t="str">
        <f>INDEX(products!$A$1:$G$49,MATCH(orders!$D570,products!$A$1:$A$49,0),MATCH(orders!I$1,products!$A$1:$G$1,0))</f>
        <v>L</v>
      </c>
      <c r="J570" s="5">
        <f>INDEX(products!$A$1:$G$49,MATCH(orders!$D570,products!$A$1:$A$49,0),MATCH(orders!J$1,products!$A$1:$G$1,0))</f>
        <v>0.2</v>
      </c>
      <c r="K570" s="6">
        <f>INDEX(products!$A$1:$G$49,MATCH(orders!$D570,products!$A$1:$A$49,0),MATCH(orders!K$1,products!$A$1:$G$1,0))</f>
        <v>4.7549999999999999</v>
      </c>
      <c r="L570" s="6">
        <f>K570*E570</f>
        <v>19.02</v>
      </c>
      <c r="M570" t="str" cm="1">
        <f t="array" ref="M570">_xlfn.IFS(H570="Rob","Robusta",H570="Exc","Excelsa",H570="Ara","Arabica",H570="Lib","Liberica")</f>
        <v>Liberica</v>
      </c>
      <c r="N570" t="str" cm="1">
        <f t="array" ref="N570">_xlfn.IFS(I570="M","Medium",I570="L","Light",I570="D","Dark")</f>
        <v>Light</v>
      </c>
      <c r="O570" t="str">
        <f>_xlfn.XLOOKUP(Orders[[#This Row],[Customer ID]],customers!$A$2:$A$1001,customers!$I$2:$I$1001,,0)</f>
        <v>Yes</v>
      </c>
    </row>
    <row r="571" spans="1:15" x14ac:dyDescent="0.3">
      <c r="A571" s="2" t="s">
        <v>3706</v>
      </c>
      <c r="B571" s="3">
        <v>43879</v>
      </c>
      <c r="C571" s="2" t="s">
        <v>3752</v>
      </c>
      <c r="D571" t="s">
        <v>6168</v>
      </c>
      <c r="E571" s="2">
        <v>6</v>
      </c>
      <c r="F571" s="2" t="str">
        <f>_xlfn.XLOOKUP(C571,customers!$A$2:$A$1001,customers!$B$2:$B$1001,,0)</f>
        <v>Don Flintiff</v>
      </c>
      <c r="G571" s="2" t="str">
        <f>_xlfn.XLOOKUP(C571,customers!$A$2:$A$1001,customers!$G$2:$G$1001,,0)</f>
        <v>United Kingdom</v>
      </c>
      <c r="H571" t="str">
        <f>INDEX(products!$A$1:$G$49,MATCH(orders!$D571,products!$A$1:$A$49,0),MATCH(orders!H$1,products!$A$1:$G$1,0))</f>
        <v>Ara</v>
      </c>
      <c r="I571" t="str">
        <f>INDEX(products!$A$1:$G$49,MATCH(orders!$D571,products!$A$1:$A$49,0),MATCH(orders!I$1,products!$A$1:$G$1,0))</f>
        <v>D</v>
      </c>
      <c r="J571" s="5">
        <f>INDEX(products!$A$1:$G$49,MATCH(orders!$D571,products!$A$1:$A$49,0),MATCH(orders!J$1,products!$A$1:$G$1,0))</f>
        <v>2.5</v>
      </c>
      <c r="K571" s="6">
        <f>INDEX(products!$A$1:$G$49,MATCH(orders!$D571,products!$A$1:$A$49,0),MATCH(orders!K$1,products!$A$1:$G$1,0))</f>
        <v>22.884999999999998</v>
      </c>
      <c r="L571" s="6">
        <f>K571*E571</f>
        <v>137.31</v>
      </c>
      <c r="M571" t="str" cm="1">
        <f t="array" ref="M571">_xlfn.IFS(H571="Rob","Robusta",H571="Exc","Excelsa",H571="Ara","Arabica",H571="Lib","Liberica")</f>
        <v>Arabica</v>
      </c>
      <c r="N571" t="str" cm="1">
        <f t="array" ref="N571">_xlfn.IFS(I571="M","Medium",I571="L","Light",I571="D","Dark")</f>
        <v>Dark</v>
      </c>
      <c r="O571" t="str">
        <f>_xlfn.XLOOKUP(Orders[[#This Row],[Customer ID]],customers!$A$2:$A$1001,customers!$I$2:$I$1001,,0)</f>
        <v>No</v>
      </c>
    </row>
    <row r="572" spans="1:15" x14ac:dyDescent="0.3">
      <c r="A572" s="2" t="s">
        <v>3712</v>
      </c>
      <c r="B572" s="3">
        <v>43928</v>
      </c>
      <c r="C572" s="2" t="s">
        <v>3713</v>
      </c>
      <c r="D572" t="s">
        <v>6157</v>
      </c>
      <c r="E572" s="2">
        <v>4</v>
      </c>
      <c r="F572" s="2" t="str">
        <f>_xlfn.XLOOKUP(C572,customers!$A$2:$A$1001,customers!$B$2:$B$1001,,0)</f>
        <v>Donalt Sangwin</v>
      </c>
      <c r="G572" s="2" t="str">
        <f>_xlfn.XLOOKUP(C572,customers!$A$2:$A$1001,customers!$G$2:$G$1001,,0)</f>
        <v>United States</v>
      </c>
      <c r="H572" t="str">
        <f>INDEX(products!$A$1:$G$49,MATCH(orders!$D572,products!$A$1:$A$49,0),MATCH(orders!H$1,products!$A$1:$G$1,0))</f>
        <v>Ara</v>
      </c>
      <c r="I572" t="str">
        <f>INDEX(products!$A$1:$G$49,MATCH(orders!$D572,products!$A$1:$A$49,0),MATCH(orders!I$1,products!$A$1:$G$1,0))</f>
        <v>M</v>
      </c>
      <c r="J572" s="5">
        <f>INDEX(products!$A$1:$G$49,MATCH(orders!$D572,products!$A$1:$A$49,0),MATCH(orders!J$1,products!$A$1:$G$1,0))</f>
        <v>0.5</v>
      </c>
      <c r="K572" s="6">
        <f>INDEX(products!$A$1:$G$49,MATCH(orders!$D572,products!$A$1:$A$49,0),MATCH(orders!K$1,products!$A$1:$G$1,0))</f>
        <v>6.75</v>
      </c>
      <c r="L572" s="6">
        <f>K572*E572</f>
        <v>27</v>
      </c>
      <c r="M572" t="str" cm="1">
        <f t="array" ref="M572">_xlfn.IFS(H572="Rob","Robusta",H572="Exc","Excelsa",H572="Ara","Arabica",H572="Lib","Liberica")</f>
        <v>Arabica</v>
      </c>
      <c r="N572" t="str" cm="1">
        <f t="array" ref="N572">_xlfn.IFS(I572="M","Medium",I572="L","Light",I572="D","Dark")</f>
        <v>Medium</v>
      </c>
      <c r="O572" t="str">
        <f>_xlfn.XLOOKUP(Orders[[#This Row],[Customer ID]],customers!$A$2:$A$1001,customers!$I$2:$I$1001,,0)</f>
        <v>No</v>
      </c>
    </row>
    <row r="573" spans="1:15" x14ac:dyDescent="0.3">
      <c r="A573" s="2" t="s">
        <v>3718</v>
      </c>
      <c r="B573" s="3">
        <v>44592</v>
      </c>
      <c r="C573" s="2" t="s">
        <v>3719</v>
      </c>
      <c r="D573" t="s">
        <v>6176</v>
      </c>
      <c r="E573" s="2">
        <v>4</v>
      </c>
      <c r="F573" s="2" t="str">
        <f>_xlfn.XLOOKUP(C573,customers!$A$2:$A$1001,customers!$B$2:$B$1001,,0)</f>
        <v>Elizabet Aizikowitz</v>
      </c>
      <c r="G573" s="2" t="str">
        <f>_xlfn.XLOOKUP(C573,customers!$A$2:$A$1001,customers!$G$2:$G$1001,,0)</f>
        <v>United Kingdom</v>
      </c>
      <c r="H573" t="str">
        <f>INDEX(products!$A$1:$G$49,MATCH(orders!$D573,products!$A$1:$A$49,0),MATCH(orders!H$1,products!$A$1:$G$1,0))</f>
        <v>Exc</v>
      </c>
      <c r="I573" t="str">
        <f>INDEX(products!$A$1:$G$49,MATCH(orders!$D573,products!$A$1:$A$49,0),MATCH(orders!I$1,products!$A$1:$G$1,0))</f>
        <v>L</v>
      </c>
      <c r="J573" s="5">
        <f>INDEX(products!$A$1:$G$49,MATCH(orders!$D573,products!$A$1:$A$49,0),MATCH(orders!J$1,products!$A$1:$G$1,0))</f>
        <v>0.5</v>
      </c>
      <c r="K573" s="6">
        <f>INDEX(products!$A$1:$G$49,MATCH(orders!$D573,products!$A$1:$A$49,0),MATCH(orders!K$1,products!$A$1:$G$1,0))</f>
        <v>8.91</v>
      </c>
      <c r="L573" s="6">
        <f>K573*E573</f>
        <v>35.64</v>
      </c>
      <c r="M573" t="str" cm="1">
        <f t="array" ref="M573">_xlfn.IFS(H573="Rob","Robusta",H573="Exc","Excelsa",H573="Ara","Arabica",H573="Lib","Liberica")</f>
        <v>Excelsa</v>
      </c>
      <c r="N573" t="str" cm="1">
        <f t="array" ref="N573">_xlfn.IFS(I573="M","Medium",I573="L","Light",I573="D","Dark")</f>
        <v>Light</v>
      </c>
      <c r="O573" t="str">
        <f>_xlfn.XLOOKUP(Orders[[#This Row],[Customer ID]],customers!$A$2:$A$1001,customers!$I$2:$I$1001,,0)</f>
        <v>No</v>
      </c>
    </row>
    <row r="574" spans="1:15" x14ac:dyDescent="0.3">
      <c r="A574" s="2" t="s">
        <v>3724</v>
      </c>
      <c r="B574" s="3">
        <v>43515</v>
      </c>
      <c r="C574" s="2" t="s">
        <v>3725</v>
      </c>
      <c r="D574" t="s">
        <v>6154</v>
      </c>
      <c r="E574" s="2">
        <v>2</v>
      </c>
      <c r="F574" s="2" t="str">
        <f>_xlfn.XLOOKUP(C574,customers!$A$2:$A$1001,customers!$B$2:$B$1001,,0)</f>
        <v>Herbie Peppard</v>
      </c>
      <c r="G574" s="2" t="str">
        <f>_xlfn.XLOOKUP(C574,customers!$A$2:$A$1001,customers!$G$2:$G$1001,,0)</f>
        <v>United States</v>
      </c>
      <c r="H574" t="str">
        <f>INDEX(products!$A$1:$G$49,MATCH(orders!$D574,products!$A$1:$A$49,0),MATCH(orders!H$1,products!$A$1:$G$1,0))</f>
        <v>Ara</v>
      </c>
      <c r="I574" t="str">
        <f>INDEX(products!$A$1:$G$49,MATCH(orders!$D574,products!$A$1:$A$49,0),MATCH(orders!I$1,products!$A$1:$G$1,0))</f>
        <v>D</v>
      </c>
      <c r="J574" s="5">
        <f>INDEX(products!$A$1:$G$49,MATCH(orders!$D574,products!$A$1:$A$49,0),MATCH(orders!J$1,products!$A$1:$G$1,0))</f>
        <v>0.2</v>
      </c>
      <c r="K574" s="6">
        <f>INDEX(products!$A$1:$G$49,MATCH(orders!$D574,products!$A$1:$A$49,0),MATCH(orders!K$1,products!$A$1:$G$1,0))</f>
        <v>2.9849999999999999</v>
      </c>
      <c r="L574" s="6">
        <f>K574*E574</f>
        <v>5.97</v>
      </c>
      <c r="M574" t="str" cm="1">
        <f t="array" ref="M574">_xlfn.IFS(H574="Rob","Robusta",H574="Exc","Excelsa",H574="Ara","Arabica",H574="Lib","Liberica")</f>
        <v>Arabica</v>
      </c>
      <c r="N574" t="str" cm="1">
        <f t="array" ref="N574">_xlfn.IFS(I574="M","Medium",I574="L","Light",I574="D","Dark")</f>
        <v>Dark</v>
      </c>
      <c r="O574" t="str">
        <f>_xlfn.XLOOKUP(Orders[[#This Row],[Customer ID]],customers!$A$2:$A$1001,customers!$I$2:$I$1001,,0)</f>
        <v>Yes</v>
      </c>
    </row>
    <row r="575" spans="1:15" x14ac:dyDescent="0.3">
      <c r="A575" s="2" t="s">
        <v>3728</v>
      </c>
      <c r="B575" s="3">
        <v>43781</v>
      </c>
      <c r="C575" s="2" t="s">
        <v>3729</v>
      </c>
      <c r="D575" t="s">
        <v>6155</v>
      </c>
      <c r="E575" s="2">
        <v>6</v>
      </c>
      <c r="F575" s="2" t="str">
        <f>_xlfn.XLOOKUP(C575,customers!$A$2:$A$1001,customers!$B$2:$B$1001,,0)</f>
        <v>Cornie Venour</v>
      </c>
      <c r="G575" s="2" t="str">
        <f>_xlfn.XLOOKUP(C575,customers!$A$2:$A$1001,customers!$G$2:$G$1001,,0)</f>
        <v>United States</v>
      </c>
      <c r="H575" t="str">
        <f>INDEX(products!$A$1:$G$49,MATCH(orders!$D575,products!$A$1:$A$49,0),MATCH(orders!H$1,products!$A$1:$G$1,0))</f>
        <v>Ara</v>
      </c>
      <c r="I575" t="str">
        <f>INDEX(products!$A$1:$G$49,MATCH(orders!$D575,products!$A$1:$A$49,0),MATCH(orders!I$1,products!$A$1:$G$1,0))</f>
        <v>M</v>
      </c>
      <c r="J575" s="5">
        <f>INDEX(products!$A$1:$G$49,MATCH(orders!$D575,products!$A$1:$A$49,0),MATCH(orders!J$1,products!$A$1:$G$1,0))</f>
        <v>1</v>
      </c>
      <c r="K575" s="6">
        <f>INDEX(products!$A$1:$G$49,MATCH(orders!$D575,products!$A$1:$A$49,0),MATCH(orders!K$1,products!$A$1:$G$1,0))</f>
        <v>11.25</v>
      </c>
      <c r="L575" s="6">
        <f>K575*E575</f>
        <v>67.5</v>
      </c>
      <c r="M575" t="str" cm="1">
        <f t="array" ref="M575">_xlfn.IFS(H575="Rob","Robusta",H575="Exc","Excelsa",H575="Ara","Arabica",H575="Lib","Liberica")</f>
        <v>Arabica</v>
      </c>
      <c r="N575" t="str" cm="1">
        <f t="array" ref="N575">_xlfn.IFS(I575="M","Medium",I575="L","Light",I575="D","Dark")</f>
        <v>Medium</v>
      </c>
      <c r="O575" t="str">
        <f>_xlfn.XLOOKUP(Orders[[#This Row],[Customer ID]],customers!$A$2:$A$1001,customers!$I$2:$I$1001,,0)</f>
        <v>No</v>
      </c>
    </row>
    <row r="576" spans="1:15" x14ac:dyDescent="0.3">
      <c r="A576" s="2" t="s">
        <v>3734</v>
      </c>
      <c r="B576" s="3">
        <v>44697</v>
      </c>
      <c r="C576" s="2" t="s">
        <v>3735</v>
      </c>
      <c r="D576" t="s">
        <v>6178</v>
      </c>
      <c r="E576" s="2">
        <v>6</v>
      </c>
      <c r="F576" s="2" t="str">
        <f>_xlfn.XLOOKUP(C576,customers!$A$2:$A$1001,customers!$B$2:$B$1001,,0)</f>
        <v>Maggy Harby</v>
      </c>
      <c r="G576" s="2" t="str">
        <f>_xlfn.XLOOKUP(C576,customers!$A$2:$A$1001,customers!$G$2:$G$1001,,0)</f>
        <v>United States</v>
      </c>
      <c r="H576" t="str">
        <f>INDEX(products!$A$1:$G$49,MATCH(orders!$D576,products!$A$1:$A$49,0),MATCH(orders!H$1,products!$A$1:$G$1,0))</f>
        <v>Rob</v>
      </c>
      <c r="I576" t="str">
        <f>INDEX(products!$A$1:$G$49,MATCH(orders!$D576,products!$A$1:$A$49,0),MATCH(orders!I$1,products!$A$1:$G$1,0))</f>
        <v>L</v>
      </c>
      <c r="J576" s="5">
        <f>INDEX(products!$A$1:$G$49,MATCH(orders!$D576,products!$A$1:$A$49,0),MATCH(orders!J$1,products!$A$1:$G$1,0))</f>
        <v>0.2</v>
      </c>
      <c r="K576" s="6">
        <f>INDEX(products!$A$1:$G$49,MATCH(orders!$D576,products!$A$1:$A$49,0),MATCH(orders!K$1,products!$A$1:$G$1,0))</f>
        <v>3.5849999999999995</v>
      </c>
      <c r="L576" s="6">
        <f>K576*E576</f>
        <v>21.509999999999998</v>
      </c>
      <c r="M576" t="str" cm="1">
        <f t="array" ref="M576">_xlfn.IFS(H576="Rob","Robusta",H576="Exc","Excelsa",H576="Ara","Arabica",H576="Lib","Liberica")</f>
        <v>Robusta</v>
      </c>
      <c r="N576" t="str" cm="1">
        <f t="array" ref="N576">_xlfn.IFS(I576="M","Medium",I576="L","Light",I576="D","Dark")</f>
        <v>Light</v>
      </c>
      <c r="O576" t="str">
        <f>_xlfn.XLOOKUP(Orders[[#This Row],[Customer ID]],customers!$A$2:$A$1001,customers!$I$2:$I$1001,,0)</f>
        <v>Yes</v>
      </c>
    </row>
    <row r="577" spans="1:15" x14ac:dyDescent="0.3">
      <c r="A577" s="2" t="s">
        <v>3739</v>
      </c>
      <c r="B577" s="3">
        <v>44239</v>
      </c>
      <c r="C577" s="2" t="s">
        <v>3740</v>
      </c>
      <c r="D577" t="s">
        <v>6181</v>
      </c>
      <c r="E577" s="2">
        <v>2</v>
      </c>
      <c r="F577" s="2" t="str">
        <f>_xlfn.XLOOKUP(C577,customers!$A$2:$A$1001,customers!$B$2:$B$1001,,0)</f>
        <v>Reggie Thickpenny</v>
      </c>
      <c r="G577" s="2" t="str">
        <f>_xlfn.XLOOKUP(C577,customers!$A$2:$A$1001,customers!$G$2:$G$1001,,0)</f>
        <v>United States</v>
      </c>
      <c r="H577" t="str">
        <f>INDEX(products!$A$1:$G$49,MATCH(orders!$D577,products!$A$1:$A$49,0),MATCH(orders!H$1,products!$A$1:$G$1,0))</f>
        <v>Lib</v>
      </c>
      <c r="I577" t="str">
        <f>INDEX(products!$A$1:$G$49,MATCH(orders!$D577,products!$A$1:$A$49,0),MATCH(orders!I$1,products!$A$1:$G$1,0))</f>
        <v>M</v>
      </c>
      <c r="J577" s="5">
        <f>INDEX(products!$A$1:$G$49,MATCH(orders!$D577,products!$A$1:$A$49,0),MATCH(orders!J$1,products!$A$1:$G$1,0))</f>
        <v>2.5</v>
      </c>
      <c r="K577" s="6">
        <f>INDEX(products!$A$1:$G$49,MATCH(orders!$D577,products!$A$1:$A$49,0),MATCH(orders!K$1,products!$A$1:$G$1,0))</f>
        <v>33.464999999999996</v>
      </c>
      <c r="L577" s="6">
        <f>K577*E577</f>
        <v>66.929999999999993</v>
      </c>
      <c r="M577" t="str" cm="1">
        <f t="array" ref="M577">_xlfn.IFS(H577="Rob","Robusta",H577="Exc","Excelsa",H577="Ara","Arabica",H577="Lib","Liberica")</f>
        <v>Liberica</v>
      </c>
      <c r="N577" t="str" cm="1">
        <f t="array" ref="N577">_xlfn.IFS(I577="M","Medium",I577="L","Light",I577="D","Dark")</f>
        <v>Medium</v>
      </c>
      <c r="O577" t="str">
        <f>_xlfn.XLOOKUP(Orders[[#This Row],[Customer ID]],customers!$A$2:$A$1001,customers!$I$2:$I$1001,,0)</f>
        <v>No</v>
      </c>
    </row>
    <row r="578" spans="1:15" x14ac:dyDescent="0.3">
      <c r="A578" s="2" t="s">
        <v>3745</v>
      </c>
      <c r="B578" s="3">
        <v>44290</v>
      </c>
      <c r="C578" s="2" t="s">
        <v>3746</v>
      </c>
      <c r="D578" t="s">
        <v>6154</v>
      </c>
      <c r="E578" s="2">
        <v>6</v>
      </c>
      <c r="F578" s="2" t="str">
        <f>_xlfn.XLOOKUP(C578,customers!$A$2:$A$1001,customers!$B$2:$B$1001,,0)</f>
        <v>Phyllys Ormerod</v>
      </c>
      <c r="G578" s="2" t="str">
        <f>_xlfn.XLOOKUP(C578,customers!$A$2:$A$1001,customers!$G$2:$G$1001,,0)</f>
        <v>United States</v>
      </c>
      <c r="H578" t="str">
        <f>INDEX(products!$A$1:$G$49,MATCH(orders!$D578,products!$A$1:$A$49,0),MATCH(orders!H$1,products!$A$1:$G$1,0))</f>
        <v>Ara</v>
      </c>
      <c r="I578" t="str">
        <f>INDEX(products!$A$1:$G$49,MATCH(orders!$D578,products!$A$1:$A$49,0),MATCH(orders!I$1,products!$A$1:$G$1,0))</f>
        <v>D</v>
      </c>
      <c r="J578" s="5">
        <f>INDEX(products!$A$1:$G$49,MATCH(orders!$D578,products!$A$1:$A$49,0),MATCH(orders!J$1,products!$A$1:$G$1,0))</f>
        <v>0.2</v>
      </c>
      <c r="K578" s="6">
        <f>INDEX(products!$A$1:$G$49,MATCH(orders!$D578,products!$A$1:$A$49,0),MATCH(orders!K$1,products!$A$1:$G$1,0))</f>
        <v>2.9849999999999999</v>
      </c>
      <c r="L578" s="6">
        <f>K578*E578</f>
        <v>17.91</v>
      </c>
      <c r="M578" t="str" cm="1">
        <f t="array" ref="M578">_xlfn.IFS(H578="Rob","Robusta",H578="Exc","Excelsa",H578="Ara","Arabica",H578="Lib","Liberica")</f>
        <v>Arabica</v>
      </c>
      <c r="N578" t="str" cm="1">
        <f t="array" ref="N578">_xlfn.IFS(I578="M","Medium",I578="L","Light",I578="D","Dark")</f>
        <v>Dark</v>
      </c>
      <c r="O578" t="str">
        <f>_xlfn.XLOOKUP(Orders[[#This Row],[Customer ID]],customers!$A$2:$A$1001,customers!$I$2:$I$1001,,0)</f>
        <v>No</v>
      </c>
    </row>
    <row r="579" spans="1:15" x14ac:dyDescent="0.3">
      <c r="A579" s="2" t="s">
        <v>3751</v>
      </c>
      <c r="B579" s="3">
        <v>44410</v>
      </c>
      <c r="C579" s="2" t="s">
        <v>3752</v>
      </c>
      <c r="D579" t="s">
        <v>6162</v>
      </c>
      <c r="E579" s="2">
        <v>4</v>
      </c>
      <c r="F579" s="2" t="str">
        <f>_xlfn.XLOOKUP(C579,customers!$A$2:$A$1001,customers!$B$2:$B$1001,,0)</f>
        <v>Don Flintiff</v>
      </c>
      <c r="G579" s="2" t="str">
        <f>_xlfn.XLOOKUP(C579,customers!$A$2:$A$1001,customers!$G$2:$G$1001,,0)</f>
        <v>United Kingdom</v>
      </c>
      <c r="H579" t="str">
        <f>INDEX(products!$A$1:$G$49,MATCH(orders!$D579,products!$A$1:$A$49,0),MATCH(orders!H$1,products!$A$1:$G$1,0))</f>
        <v>Lib</v>
      </c>
      <c r="I579" t="str">
        <f>INDEX(products!$A$1:$G$49,MATCH(orders!$D579,products!$A$1:$A$49,0),MATCH(orders!I$1,products!$A$1:$G$1,0))</f>
        <v>M</v>
      </c>
      <c r="J579" s="5">
        <f>INDEX(products!$A$1:$G$49,MATCH(orders!$D579,products!$A$1:$A$49,0),MATCH(orders!J$1,products!$A$1:$G$1,0))</f>
        <v>1</v>
      </c>
      <c r="K579" s="6">
        <f>INDEX(products!$A$1:$G$49,MATCH(orders!$D579,products!$A$1:$A$49,0),MATCH(orders!K$1,products!$A$1:$G$1,0))</f>
        <v>14.55</v>
      </c>
      <c r="L579" s="6">
        <f>K579*E579</f>
        <v>58.2</v>
      </c>
      <c r="M579" t="str" cm="1">
        <f t="array" ref="M579">_xlfn.IFS(H579="Rob","Robusta",H579="Exc","Excelsa",H579="Ara","Arabica",H579="Lib","Liberica")</f>
        <v>Liberica</v>
      </c>
      <c r="N579" t="str" cm="1">
        <f t="array" ref="N579">_xlfn.IFS(I579="M","Medium",I579="L","Light",I579="D","Dark")</f>
        <v>Medium</v>
      </c>
      <c r="O579" t="str">
        <f>_xlfn.XLOOKUP(Orders[[#This Row],[Customer ID]],customers!$A$2:$A$1001,customers!$I$2:$I$1001,,0)</f>
        <v>No</v>
      </c>
    </row>
    <row r="580" spans="1:15" x14ac:dyDescent="0.3">
      <c r="A580" s="2" t="s">
        <v>3756</v>
      </c>
      <c r="B580" s="3">
        <v>44720</v>
      </c>
      <c r="C580" s="2" t="s">
        <v>3757</v>
      </c>
      <c r="D580" t="s">
        <v>6184</v>
      </c>
      <c r="E580" s="2">
        <v>3</v>
      </c>
      <c r="F580" s="2" t="str">
        <f>_xlfn.XLOOKUP(C580,customers!$A$2:$A$1001,customers!$B$2:$B$1001,,0)</f>
        <v>Tymon Zanetti</v>
      </c>
      <c r="G580" s="2" t="str">
        <f>_xlfn.XLOOKUP(C580,customers!$A$2:$A$1001,customers!$G$2:$G$1001,,0)</f>
        <v>Ireland</v>
      </c>
      <c r="H580" t="str">
        <f>INDEX(products!$A$1:$G$49,MATCH(orders!$D580,products!$A$1:$A$49,0),MATCH(orders!H$1,products!$A$1:$G$1,0))</f>
        <v>Exc</v>
      </c>
      <c r="I580" t="str">
        <f>INDEX(products!$A$1:$G$49,MATCH(orders!$D580,products!$A$1:$A$49,0),MATCH(orders!I$1,products!$A$1:$G$1,0))</f>
        <v>L</v>
      </c>
      <c r="J580" s="5">
        <f>INDEX(products!$A$1:$G$49,MATCH(orders!$D580,products!$A$1:$A$49,0),MATCH(orders!J$1,products!$A$1:$G$1,0))</f>
        <v>0.2</v>
      </c>
      <c r="K580" s="6">
        <f>INDEX(products!$A$1:$G$49,MATCH(orders!$D580,products!$A$1:$A$49,0),MATCH(orders!K$1,products!$A$1:$G$1,0))</f>
        <v>4.4550000000000001</v>
      </c>
      <c r="L580" s="6">
        <f>K580*E580</f>
        <v>13.365</v>
      </c>
      <c r="M580" t="str" cm="1">
        <f t="array" ref="M580">_xlfn.IFS(H580="Rob","Robusta",H580="Exc","Excelsa",H580="Ara","Arabica",H580="Lib","Liberica")</f>
        <v>Excelsa</v>
      </c>
      <c r="N580" t="str" cm="1">
        <f t="array" ref="N580">_xlfn.IFS(I580="M","Medium",I580="L","Light",I580="D","Dark")</f>
        <v>Light</v>
      </c>
      <c r="O580" t="str">
        <f>_xlfn.XLOOKUP(Orders[[#This Row],[Customer ID]],customers!$A$2:$A$1001,customers!$I$2:$I$1001,,0)</f>
        <v>No</v>
      </c>
    </row>
    <row r="581" spans="1:15" x14ac:dyDescent="0.3">
      <c r="A581" s="2" t="s">
        <v>3756</v>
      </c>
      <c r="B581" s="3">
        <v>44720</v>
      </c>
      <c r="C581" s="2" t="s">
        <v>3757</v>
      </c>
      <c r="D581" t="s">
        <v>6157</v>
      </c>
      <c r="E581" s="2">
        <v>5</v>
      </c>
      <c r="F581" s="2" t="str">
        <f>_xlfn.XLOOKUP(C581,customers!$A$2:$A$1001,customers!$B$2:$B$1001,,0)</f>
        <v>Tymon Zanetti</v>
      </c>
      <c r="G581" s="2" t="str">
        <f>_xlfn.XLOOKUP(C581,customers!$A$2:$A$1001,customers!$G$2:$G$1001,,0)</f>
        <v>Ireland</v>
      </c>
      <c r="H581" t="str">
        <f>INDEX(products!$A$1:$G$49,MATCH(orders!$D581,products!$A$1:$A$49,0),MATCH(orders!H$1,products!$A$1:$G$1,0))</f>
        <v>Ara</v>
      </c>
      <c r="I581" t="str">
        <f>INDEX(products!$A$1:$G$49,MATCH(orders!$D581,products!$A$1:$A$49,0),MATCH(orders!I$1,products!$A$1:$G$1,0))</f>
        <v>M</v>
      </c>
      <c r="J581" s="5">
        <f>INDEX(products!$A$1:$G$49,MATCH(orders!$D581,products!$A$1:$A$49,0),MATCH(orders!J$1,products!$A$1:$G$1,0))</f>
        <v>0.5</v>
      </c>
      <c r="K581" s="6">
        <f>INDEX(products!$A$1:$G$49,MATCH(orders!$D581,products!$A$1:$A$49,0),MATCH(orders!K$1,products!$A$1:$G$1,0))</f>
        <v>6.75</v>
      </c>
      <c r="L581" s="6">
        <f>K581*E581</f>
        <v>33.75</v>
      </c>
      <c r="M581" t="str" cm="1">
        <f t="array" ref="M581">_xlfn.IFS(H581="Rob","Robusta",H581="Exc","Excelsa",H581="Ara","Arabica",H581="Lib","Liberica")</f>
        <v>Arabica</v>
      </c>
      <c r="N581" t="str" cm="1">
        <f t="array" ref="N581">_xlfn.IFS(I581="M","Medium",I581="L","Light",I581="D","Dark")</f>
        <v>Medium</v>
      </c>
      <c r="O581" t="str">
        <f>_xlfn.XLOOKUP(Orders[[#This Row],[Customer ID]],customers!$A$2:$A$1001,customers!$I$2:$I$1001,,0)</f>
        <v>No</v>
      </c>
    </row>
    <row r="582" spans="1:15" x14ac:dyDescent="0.3">
      <c r="A582" s="2" t="s">
        <v>3767</v>
      </c>
      <c r="B582" s="3">
        <v>43965</v>
      </c>
      <c r="C582" s="2" t="s">
        <v>3768</v>
      </c>
      <c r="D582" t="s">
        <v>6171</v>
      </c>
      <c r="E582" s="2">
        <v>3</v>
      </c>
      <c r="F582" s="2" t="str">
        <f>_xlfn.XLOOKUP(C582,customers!$A$2:$A$1001,customers!$B$2:$B$1001,,0)</f>
        <v>Reinaldos Kirtley</v>
      </c>
      <c r="G582" s="2" t="str">
        <f>_xlfn.XLOOKUP(C582,customers!$A$2:$A$1001,customers!$G$2:$G$1001,,0)</f>
        <v>United States</v>
      </c>
      <c r="H582" t="str">
        <f>INDEX(products!$A$1:$G$49,MATCH(orders!$D582,products!$A$1:$A$49,0),MATCH(orders!H$1,products!$A$1:$G$1,0))</f>
        <v>Exc</v>
      </c>
      <c r="I582" t="str">
        <f>INDEX(products!$A$1:$G$49,MATCH(orders!$D582,products!$A$1:$A$49,0),MATCH(orders!I$1,products!$A$1:$G$1,0))</f>
        <v>L</v>
      </c>
      <c r="J582" s="5">
        <f>INDEX(products!$A$1:$G$49,MATCH(orders!$D582,products!$A$1:$A$49,0),MATCH(orders!J$1,products!$A$1:$G$1,0))</f>
        <v>1</v>
      </c>
      <c r="K582" s="6">
        <f>INDEX(products!$A$1:$G$49,MATCH(orders!$D582,products!$A$1:$A$49,0),MATCH(orders!K$1,products!$A$1:$G$1,0))</f>
        <v>14.85</v>
      </c>
      <c r="L582" s="6">
        <f>K582*E582</f>
        <v>44.55</v>
      </c>
      <c r="M582" t="str" cm="1">
        <f t="array" ref="M582">_xlfn.IFS(H582="Rob","Robusta",H582="Exc","Excelsa",H582="Ara","Arabica",H582="Lib","Liberica")</f>
        <v>Excelsa</v>
      </c>
      <c r="N582" t="str" cm="1">
        <f t="array" ref="N582">_xlfn.IFS(I582="M","Medium",I582="L","Light",I582="D","Dark")</f>
        <v>Light</v>
      </c>
      <c r="O582" t="str">
        <f>_xlfn.XLOOKUP(Orders[[#This Row],[Customer ID]],customers!$A$2:$A$1001,customers!$I$2:$I$1001,,0)</f>
        <v>Yes</v>
      </c>
    </row>
    <row r="583" spans="1:15" x14ac:dyDescent="0.3">
      <c r="A583" s="2" t="s">
        <v>3773</v>
      </c>
      <c r="B583" s="3">
        <v>44190</v>
      </c>
      <c r="C583" s="2" t="s">
        <v>3774</v>
      </c>
      <c r="D583" t="s">
        <v>6176</v>
      </c>
      <c r="E583" s="2">
        <v>5</v>
      </c>
      <c r="F583" s="2" t="str">
        <f>_xlfn.XLOOKUP(C583,customers!$A$2:$A$1001,customers!$B$2:$B$1001,,0)</f>
        <v>Carney Clemencet</v>
      </c>
      <c r="G583" s="2" t="str">
        <f>_xlfn.XLOOKUP(C583,customers!$A$2:$A$1001,customers!$G$2:$G$1001,,0)</f>
        <v>United Kingdom</v>
      </c>
      <c r="H583" t="str">
        <f>INDEX(products!$A$1:$G$49,MATCH(orders!$D583,products!$A$1:$A$49,0),MATCH(orders!H$1,products!$A$1:$G$1,0))</f>
        <v>Exc</v>
      </c>
      <c r="I583" t="str">
        <f>INDEX(products!$A$1:$G$49,MATCH(orders!$D583,products!$A$1:$A$49,0),MATCH(orders!I$1,products!$A$1:$G$1,0))</f>
        <v>L</v>
      </c>
      <c r="J583" s="5">
        <f>INDEX(products!$A$1:$G$49,MATCH(orders!$D583,products!$A$1:$A$49,0),MATCH(orders!J$1,products!$A$1:$G$1,0))</f>
        <v>0.5</v>
      </c>
      <c r="K583" s="6">
        <f>INDEX(products!$A$1:$G$49,MATCH(orders!$D583,products!$A$1:$A$49,0),MATCH(orders!K$1,products!$A$1:$G$1,0))</f>
        <v>8.91</v>
      </c>
      <c r="L583" s="6">
        <f>K583*E583</f>
        <v>44.55</v>
      </c>
      <c r="M583" t="str" cm="1">
        <f t="array" ref="M583">_xlfn.IFS(H583="Rob","Robusta",H583="Exc","Excelsa",H583="Ara","Arabica",H583="Lib","Liberica")</f>
        <v>Excelsa</v>
      </c>
      <c r="N583" t="str" cm="1">
        <f t="array" ref="N583">_xlfn.IFS(I583="M","Medium",I583="L","Light",I583="D","Dark")</f>
        <v>Light</v>
      </c>
      <c r="O583" t="str">
        <f>_xlfn.XLOOKUP(Orders[[#This Row],[Customer ID]],customers!$A$2:$A$1001,customers!$I$2:$I$1001,,0)</f>
        <v>Yes</v>
      </c>
    </row>
    <row r="584" spans="1:15" x14ac:dyDescent="0.3">
      <c r="A584" s="2" t="s">
        <v>3778</v>
      </c>
      <c r="B584" s="3">
        <v>44382</v>
      </c>
      <c r="C584" s="2" t="s">
        <v>3779</v>
      </c>
      <c r="D584" t="s">
        <v>6183</v>
      </c>
      <c r="E584" s="2">
        <v>5</v>
      </c>
      <c r="F584" s="2" t="str">
        <f>_xlfn.XLOOKUP(C584,customers!$A$2:$A$1001,customers!$B$2:$B$1001,,0)</f>
        <v>Russell Donet</v>
      </c>
      <c r="G584" s="2" t="str">
        <f>_xlfn.XLOOKUP(C584,customers!$A$2:$A$1001,customers!$G$2:$G$1001,,0)</f>
        <v>United States</v>
      </c>
      <c r="H584" t="str">
        <f>INDEX(products!$A$1:$G$49,MATCH(orders!$D584,products!$A$1:$A$49,0),MATCH(orders!H$1,products!$A$1:$G$1,0))</f>
        <v>Exc</v>
      </c>
      <c r="I584" t="str">
        <f>INDEX(products!$A$1:$G$49,MATCH(orders!$D584,products!$A$1:$A$49,0),MATCH(orders!I$1,products!$A$1:$G$1,0))</f>
        <v>D</v>
      </c>
      <c r="J584" s="5">
        <f>INDEX(products!$A$1:$G$49,MATCH(orders!$D584,products!$A$1:$A$49,0),MATCH(orders!J$1,products!$A$1:$G$1,0))</f>
        <v>1</v>
      </c>
      <c r="K584" s="6">
        <f>INDEX(products!$A$1:$G$49,MATCH(orders!$D584,products!$A$1:$A$49,0),MATCH(orders!K$1,products!$A$1:$G$1,0))</f>
        <v>12.15</v>
      </c>
      <c r="L584" s="6">
        <f>K584*E584</f>
        <v>60.75</v>
      </c>
      <c r="M584" t="str" cm="1">
        <f t="array" ref="M584">_xlfn.IFS(H584="Rob","Robusta",H584="Exc","Excelsa",H584="Ara","Arabica",H584="Lib","Liberica")</f>
        <v>Excelsa</v>
      </c>
      <c r="N584" t="str" cm="1">
        <f t="array" ref="N584">_xlfn.IFS(I584="M","Medium",I584="L","Light",I584="D","Dark")</f>
        <v>Dark</v>
      </c>
      <c r="O584" t="str">
        <f>_xlfn.XLOOKUP(Orders[[#This Row],[Customer ID]],customers!$A$2:$A$1001,customers!$I$2:$I$1001,,0)</f>
        <v>No</v>
      </c>
    </row>
    <row r="585" spans="1:15" x14ac:dyDescent="0.3">
      <c r="A585" s="2" t="s">
        <v>3784</v>
      </c>
      <c r="B585" s="3">
        <v>43538</v>
      </c>
      <c r="C585" s="2" t="s">
        <v>3785</v>
      </c>
      <c r="D585" t="s">
        <v>6178</v>
      </c>
      <c r="E585" s="2">
        <v>1</v>
      </c>
      <c r="F585" s="2" t="str">
        <f>_xlfn.XLOOKUP(C585,customers!$A$2:$A$1001,customers!$B$2:$B$1001,,0)</f>
        <v>Sidney Gawen</v>
      </c>
      <c r="G585" s="2" t="str">
        <f>_xlfn.XLOOKUP(C585,customers!$A$2:$A$1001,customers!$G$2:$G$1001,,0)</f>
        <v>United States</v>
      </c>
      <c r="H585" t="str">
        <f>INDEX(products!$A$1:$G$49,MATCH(orders!$D585,products!$A$1:$A$49,0),MATCH(orders!H$1,products!$A$1:$G$1,0))</f>
        <v>Rob</v>
      </c>
      <c r="I585" t="str">
        <f>INDEX(products!$A$1:$G$49,MATCH(orders!$D585,products!$A$1:$A$49,0),MATCH(orders!I$1,products!$A$1:$G$1,0))</f>
        <v>L</v>
      </c>
      <c r="J585" s="5">
        <f>INDEX(products!$A$1:$G$49,MATCH(orders!$D585,products!$A$1:$A$49,0),MATCH(orders!J$1,products!$A$1:$G$1,0))</f>
        <v>0.2</v>
      </c>
      <c r="K585" s="6">
        <f>INDEX(products!$A$1:$G$49,MATCH(orders!$D585,products!$A$1:$A$49,0),MATCH(orders!K$1,products!$A$1:$G$1,0))</f>
        <v>3.5849999999999995</v>
      </c>
      <c r="L585" s="6">
        <f>K585*E585</f>
        <v>3.5849999999999995</v>
      </c>
      <c r="M585" t="str" cm="1">
        <f t="array" ref="M585">_xlfn.IFS(H585="Rob","Robusta",H585="Exc","Excelsa",H585="Ara","Arabica",H585="Lib","Liberica")</f>
        <v>Robusta</v>
      </c>
      <c r="N585" t="str" cm="1">
        <f t="array" ref="N585">_xlfn.IFS(I585="M","Medium",I585="L","Light",I585="D","Dark")</f>
        <v>Light</v>
      </c>
      <c r="O585" t="str">
        <f>_xlfn.XLOOKUP(Orders[[#This Row],[Customer ID]],customers!$A$2:$A$1001,customers!$I$2:$I$1001,,0)</f>
        <v>Yes</v>
      </c>
    </row>
    <row r="586" spans="1:15" x14ac:dyDescent="0.3">
      <c r="A586" s="2" t="s">
        <v>3790</v>
      </c>
      <c r="B586" s="3">
        <v>44262</v>
      </c>
      <c r="C586" s="2" t="s">
        <v>3791</v>
      </c>
      <c r="D586" t="s">
        <v>6178</v>
      </c>
      <c r="E586" s="2">
        <v>6</v>
      </c>
      <c r="F586" s="2" t="str">
        <f>_xlfn.XLOOKUP(C586,customers!$A$2:$A$1001,customers!$B$2:$B$1001,,0)</f>
        <v>Rickey Readie</v>
      </c>
      <c r="G586" s="2" t="str">
        <f>_xlfn.XLOOKUP(C586,customers!$A$2:$A$1001,customers!$G$2:$G$1001,,0)</f>
        <v>United States</v>
      </c>
      <c r="H586" t="str">
        <f>INDEX(products!$A$1:$G$49,MATCH(orders!$D586,products!$A$1:$A$49,0),MATCH(orders!H$1,products!$A$1:$G$1,0))</f>
        <v>Rob</v>
      </c>
      <c r="I586" t="str">
        <f>INDEX(products!$A$1:$G$49,MATCH(orders!$D586,products!$A$1:$A$49,0),MATCH(orders!I$1,products!$A$1:$G$1,0))</f>
        <v>L</v>
      </c>
      <c r="J586" s="5">
        <f>INDEX(products!$A$1:$G$49,MATCH(orders!$D586,products!$A$1:$A$49,0),MATCH(orders!J$1,products!$A$1:$G$1,0))</f>
        <v>0.2</v>
      </c>
      <c r="K586" s="6">
        <f>INDEX(products!$A$1:$G$49,MATCH(orders!$D586,products!$A$1:$A$49,0),MATCH(orders!K$1,products!$A$1:$G$1,0))</f>
        <v>3.5849999999999995</v>
      </c>
      <c r="L586" s="6">
        <f>K586*E586</f>
        <v>21.509999999999998</v>
      </c>
      <c r="M586" t="str" cm="1">
        <f t="array" ref="M586">_xlfn.IFS(H586="Rob","Robusta",H586="Exc","Excelsa",H586="Ara","Arabica",H586="Lib","Liberica")</f>
        <v>Robusta</v>
      </c>
      <c r="N586" t="str" cm="1">
        <f t="array" ref="N586">_xlfn.IFS(I586="M","Medium",I586="L","Light",I586="D","Dark")</f>
        <v>Light</v>
      </c>
      <c r="O586" t="str">
        <f>_xlfn.XLOOKUP(Orders[[#This Row],[Customer ID]],customers!$A$2:$A$1001,customers!$I$2:$I$1001,,0)</f>
        <v>No</v>
      </c>
    </row>
    <row r="587" spans="1:15" x14ac:dyDescent="0.3">
      <c r="A587" s="2" t="s">
        <v>3796</v>
      </c>
      <c r="B587" s="3">
        <v>44505</v>
      </c>
      <c r="C587" s="2" t="s">
        <v>3840</v>
      </c>
      <c r="D587" t="s">
        <v>6139</v>
      </c>
      <c r="E587" s="2">
        <v>2</v>
      </c>
      <c r="F587" s="2" t="str">
        <f>_xlfn.XLOOKUP(C587,customers!$A$2:$A$1001,customers!$B$2:$B$1001,,0)</f>
        <v>Cody Verissimo</v>
      </c>
      <c r="G587" s="2" t="str">
        <f>_xlfn.XLOOKUP(C587,customers!$A$2:$A$1001,customers!$G$2:$G$1001,,0)</f>
        <v>United Kingdom</v>
      </c>
      <c r="H587" t="str">
        <f>INDEX(products!$A$1:$G$49,MATCH(orders!$D587,products!$A$1:$A$49,0),MATCH(orders!H$1,products!$A$1:$G$1,0))</f>
        <v>Exc</v>
      </c>
      <c r="I587" t="str">
        <f>INDEX(products!$A$1:$G$49,MATCH(orders!$D587,products!$A$1:$A$49,0),MATCH(orders!I$1,products!$A$1:$G$1,0))</f>
        <v>M</v>
      </c>
      <c r="J587" s="5">
        <f>INDEX(products!$A$1:$G$49,MATCH(orders!$D587,products!$A$1:$A$49,0),MATCH(orders!J$1,products!$A$1:$G$1,0))</f>
        <v>0.5</v>
      </c>
      <c r="K587" s="6">
        <f>INDEX(products!$A$1:$G$49,MATCH(orders!$D587,products!$A$1:$A$49,0),MATCH(orders!K$1,products!$A$1:$G$1,0))</f>
        <v>8.25</v>
      </c>
      <c r="L587" s="6">
        <f>K587*E587</f>
        <v>16.5</v>
      </c>
      <c r="M587" t="str" cm="1">
        <f t="array" ref="M587">_xlfn.IFS(H587="Rob","Robusta",H587="Exc","Excelsa",H587="Ara","Arabica",H587="Lib","Liberica")</f>
        <v>Excelsa</v>
      </c>
      <c r="N587" t="str" cm="1">
        <f t="array" ref="N587">_xlfn.IFS(I587="M","Medium",I587="L","Light",I587="D","Dark")</f>
        <v>Medium</v>
      </c>
      <c r="O587" t="str">
        <f>_xlfn.XLOOKUP(Orders[[#This Row],[Customer ID]],customers!$A$2:$A$1001,customers!$I$2:$I$1001,,0)</f>
        <v>Yes</v>
      </c>
    </row>
    <row r="588" spans="1:15" x14ac:dyDescent="0.3">
      <c r="A588" s="2" t="s">
        <v>3802</v>
      </c>
      <c r="B588" s="3">
        <v>43867</v>
      </c>
      <c r="C588" s="2" t="s">
        <v>3803</v>
      </c>
      <c r="D588" t="s">
        <v>6142</v>
      </c>
      <c r="E588" s="2">
        <v>3</v>
      </c>
      <c r="F588" s="2" t="str">
        <f>_xlfn.XLOOKUP(C588,customers!$A$2:$A$1001,customers!$B$2:$B$1001,,0)</f>
        <v>Zilvia Claisse</v>
      </c>
      <c r="G588" s="2" t="str">
        <f>_xlfn.XLOOKUP(C588,customers!$A$2:$A$1001,customers!$G$2:$G$1001,,0)</f>
        <v>United States</v>
      </c>
      <c r="H588" t="str">
        <f>INDEX(products!$A$1:$G$49,MATCH(orders!$D588,products!$A$1:$A$49,0),MATCH(orders!H$1,products!$A$1:$G$1,0))</f>
        <v>Rob</v>
      </c>
      <c r="I588" t="str">
        <f>INDEX(products!$A$1:$G$49,MATCH(orders!$D588,products!$A$1:$A$49,0),MATCH(orders!I$1,products!$A$1:$G$1,0))</f>
        <v>L</v>
      </c>
      <c r="J588" s="5">
        <f>INDEX(products!$A$1:$G$49,MATCH(orders!$D588,products!$A$1:$A$49,0),MATCH(orders!J$1,products!$A$1:$G$1,0))</f>
        <v>2.5</v>
      </c>
      <c r="K588" s="6">
        <f>INDEX(products!$A$1:$G$49,MATCH(orders!$D588,products!$A$1:$A$49,0),MATCH(orders!K$1,products!$A$1:$G$1,0))</f>
        <v>27.484999999999996</v>
      </c>
      <c r="L588" s="6">
        <f>K588*E588</f>
        <v>82.454999999999984</v>
      </c>
      <c r="M588" t="str" cm="1">
        <f t="array" ref="M588">_xlfn.IFS(H588="Rob","Robusta",H588="Exc","Excelsa",H588="Ara","Arabica",H588="Lib","Liberica")</f>
        <v>Robusta</v>
      </c>
      <c r="N588" t="str" cm="1">
        <f t="array" ref="N588">_xlfn.IFS(I588="M","Medium",I588="L","Light",I588="D","Dark")</f>
        <v>Light</v>
      </c>
      <c r="O588" t="str">
        <f>_xlfn.XLOOKUP(Orders[[#This Row],[Customer ID]],customers!$A$2:$A$1001,customers!$I$2:$I$1001,,0)</f>
        <v>No</v>
      </c>
    </row>
    <row r="589" spans="1:15" x14ac:dyDescent="0.3">
      <c r="A589" s="2" t="s">
        <v>3807</v>
      </c>
      <c r="B589" s="3">
        <v>44267</v>
      </c>
      <c r="C589" s="2" t="s">
        <v>3808</v>
      </c>
      <c r="D589" t="s">
        <v>6169</v>
      </c>
      <c r="E589" s="2">
        <v>1</v>
      </c>
      <c r="F589" s="2" t="str">
        <f>_xlfn.XLOOKUP(C589,customers!$A$2:$A$1001,customers!$B$2:$B$1001,,0)</f>
        <v>Bar O' Mahony</v>
      </c>
      <c r="G589" s="2" t="str">
        <f>_xlfn.XLOOKUP(C589,customers!$A$2:$A$1001,customers!$G$2:$G$1001,,0)</f>
        <v>United States</v>
      </c>
      <c r="H589" t="str">
        <f>INDEX(products!$A$1:$G$49,MATCH(orders!$D589,products!$A$1:$A$49,0),MATCH(orders!H$1,products!$A$1:$G$1,0))</f>
        <v>Lib</v>
      </c>
      <c r="I589" t="str">
        <f>INDEX(products!$A$1:$G$49,MATCH(orders!$D589,products!$A$1:$A$49,0),MATCH(orders!I$1,products!$A$1:$G$1,0))</f>
        <v>D</v>
      </c>
      <c r="J589" s="5">
        <f>INDEX(products!$A$1:$G$49,MATCH(orders!$D589,products!$A$1:$A$49,0),MATCH(orders!J$1,products!$A$1:$G$1,0))</f>
        <v>0.5</v>
      </c>
      <c r="K589" s="6">
        <f>INDEX(products!$A$1:$G$49,MATCH(orders!$D589,products!$A$1:$A$49,0),MATCH(orders!K$1,products!$A$1:$G$1,0))</f>
        <v>7.77</v>
      </c>
      <c r="L589" s="6">
        <f>K589*E589</f>
        <v>7.77</v>
      </c>
      <c r="M589" t="str" cm="1">
        <f t="array" ref="M589">_xlfn.IFS(H589="Rob","Robusta",H589="Exc","Excelsa",H589="Ara","Arabica",H589="Lib","Liberica")</f>
        <v>Liberica</v>
      </c>
      <c r="N589" t="str" cm="1">
        <f t="array" ref="N589">_xlfn.IFS(I589="M","Medium",I589="L","Light",I589="D","Dark")</f>
        <v>Dark</v>
      </c>
      <c r="O589" t="str">
        <f>_xlfn.XLOOKUP(Orders[[#This Row],[Customer ID]],customers!$A$2:$A$1001,customers!$I$2:$I$1001,,0)</f>
        <v>Yes</v>
      </c>
    </row>
    <row r="590" spans="1:15" x14ac:dyDescent="0.3">
      <c r="A590" s="2" t="s">
        <v>3812</v>
      </c>
      <c r="B590" s="3">
        <v>44046</v>
      </c>
      <c r="C590" s="2" t="s">
        <v>3813</v>
      </c>
      <c r="D590" t="s">
        <v>6146</v>
      </c>
      <c r="E590" s="2">
        <v>2</v>
      </c>
      <c r="F590" s="2" t="str">
        <f>_xlfn.XLOOKUP(C590,customers!$A$2:$A$1001,customers!$B$2:$B$1001,,0)</f>
        <v>Valenka Stansbury</v>
      </c>
      <c r="G590" s="2" t="str">
        <f>_xlfn.XLOOKUP(C590,customers!$A$2:$A$1001,customers!$G$2:$G$1001,,0)</f>
        <v>United States</v>
      </c>
      <c r="H590" t="str">
        <f>INDEX(products!$A$1:$G$49,MATCH(orders!$D590,products!$A$1:$A$49,0),MATCH(orders!H$1,products!$A$1:$G$1,0))</f>
        <v>Rob</v>
      </c>
      <c r="I590" t="str">
        <f>INDEX(products!$A$1:$G$49,MATCH(orders!$D590,products!$A$1:$A$49,0),MATCH(orders!I$1,products!$A$1:$G$1,0))</f>
        <v>M</v>
      </c>
      <c r="J590" s="5">
        <f>INDEX(products!$A$1:$G$49,MATCH(orders!$D590,products!$A$1:$A$49,0),MATCH(orders!J$1,products!$A$1:$G$1,0))</f>
        <v>0.5</v>
      </c>
      <c r="K590" s="6">
        <f>INDEX(products!$A$1:$G$49,MATCH(orders!$D590,products!$A$1:$A$49,0),MATCH(orders!K$1,products!$A$1:$G$1,0))</f>
        <v>5.97</v>
      </c>
      <c r="L590" s="6">
        <f>K590*E590</f>
        <v>11.94</v>
      </c>
      <c r="M590" t="str" cm="1">
        <f t="array" ref="M590">_xlfn.IFS(H590="Rob","Robusta",H590="Exc","Excelsa",H590="Ara","Arabica",H590="Lib","Liberica")</f>
        <v>Robusta</v>
      </c>
      <c r="N590" t="str" cm="1">
        <f t="array" ref="N590">_xlfn.IFS(I590="M","Medium",I590="L","Light",I590="D","Dark")</f>
        <v>Medium</v>
      </c>
      <c r="O590" t="str">
        <f>_xlfn.XLOOKUP(Orders[[#This Row],[Customer ID]],customers!$A$2:$A$1001,customers!$I$2:$I$1001,,0)</f>
        <v>Yes</v>
      </c>
    </row>
    <row r="591" spans="1:15" x14ac:dyDescent="0.3">
      <c r="A591" s="2" t="s">
        <v>3818</v>
      </c>
      <c r="B591" s="3">
        <v>43671</v>
      </c>
      <c r="C591" s="2" t="s">
        <v>3819</v>
      </c>
      <c r="D591" t="s">
        <v>6148</v>
      </c>
      <c r="E591" s="2">
        <v>6</v>
      </c>
      <c r="F591" s="2" t="str">
        <f>_xlfn.XLOOKUP(C591,customers!$A$2:$A$1001,customers!$B$2:$B$1001,,0)</f>
        <v>Daniel Heinonen</v>
      </c>
      <c r="G591" s="2" t="str">
        <f>_xlfn.XLOOKUP(C591,customers!$A$2:$A$1001,customers!$G$2:$G$1001,,0)</f>
        <v>United States</v>
      </c>
      <c r="H591" t="str">
        <f>INDEX(products!$A$1:$G$49,MATCH(orders!$D591,products!$A$1:$A$49,0),MATCH(orders!H$1,products!$A$1:$G$1,0))</f>
        <v>Exc</v>
      </c>
      <c r="I591" t="str">
        <f>INDEX(products!$A$1:$G$49,MATCH(orders!$D591,products!$A$1:$A$49,0),MATCH(orders!I$1,products!$A$1:$G$1,0))</f>
        <v>L</v>
      </c>
      <c r="J591" s="5">
        <f>INDEX(products!$A$1:$G$49,MATCH(orders!$D591,products!$A$1:$A$49,0),MATCH(orders!J$1,products!$A$1:$G$1,0))</f>
        <v>2.5</v>
      </c>
      <c r="K591" s="6">
        <f>INDEX(products!$A$1:$G$49,MATCH(orders!$D591,products!$A$1:$A$49,0),MATCH(orders!K$1,products!$A$1:$G$1,0))</f>
        <v>34.154999999999994</v>
      </c>
      <c r="L591" s="6">
        <f>K591*E591</f>
        <v>204.92999999999995</v>
      </c>
      <c r="M591" t="str" cm="1">
        <f t="array" ref="M591">_xlfn.IFS(H591="Rob","Robusta",H591="Exc","Excelsa",H591="Ara","Arabica",H591="Lib","Liberica")</f>
        <v>Excelsa</v>
      </c>
      <c r="N591" t="str" cm="1">
        <f t="array" ref="N591">_xlfn.IFS(I591="M","Medium",I591="L","Light",I591="D","Dark")</f>
        <v>Light</v>
      </c>
      <c r="O591" t="str">
        <f>_xlfn.XLOOKUP(Orders[[#This Row],[Customer ID]],customers!$A$2:$A$1001,customers!$I$2:$I$1001,,0)</f>
        <v>No</v>
      </c>
    </row>
    <row r="592" spans="1:15" x14ac:dyDescent="0.3">
      <c r="A592" s="2" t="s">
        <v>3823</v>
      </c>
      <c r="B592" s="3">
        <v>43950</v>
      </c>
      <c r="C592" s="2" t="s">
        <v>3824</v>
      </c>
      <c r="D592" t="s">
        <v>6166</v>
      </c>
      <c r="E592" s="2">
        <v>2</v>
      </c>
      <c r="F592" s="2" t="str">
        <f>_xlfn.XLOOKUP(C592,customers!$A$2:$A$1001,customers!$B$2:$B$1001,,0)</f>
        <v>Jewelle Shenton</v>
      </c>
      <c r="G592" s="2" t="str">
        <f>_xlfn.XLOOKUP(C592,customers!$A$2:$A$1001,customers!$G$2:$G$1001,,0)</f>
        <v>United States</v>
      </c>
      <c r="H592" t="str">
        <f>INDEX(products!$A$1:$G$49,MATCH(orders!$D592,products!$A$1:$A$49,0),MATCH(orders!H$1,products!$A$1:$G$1,0))</f>
        <v>Exc</v>
      </c>
      <c r="I592" t="str">
        <f>INDEX(products!$A$1:$G$49,MATCH(orders!$D592,products!$A$1:$A$49,0),MATCH(orders!I$1,products!$A$1:$G$1,0))</f>
        <v>M</v>
      </c>
      <c r="J592" s="5">
        <f>INDEX(products!$A$1:$G$49,MATCH(orders!$D592,products!$A$1:$A$49,0),MATCH(orders!J$1,products!$A$1:$G$1,0))</f>
        <v>2.5</v>
      </c>
      <c r="K592" s="6">
        <f>INDEX(products!$A$1:$G$49,MATCH(orders!$D592,products!$A$1:$A$49,0),MATCH(orders!K$1,products!$A$1:$G$1,0))</f>
        <v>31.624999999999996</v>
      </c>
      <c r="L592" s="6">
        <f>K592*E592</f>
        <v>63.249999999999993</v>
      </c>
      <c r="M592" t="str" cm="1">
        <f t="array" ref="M592">_xlfn.IFS(H592="Rob","Robusta",H592="Exc","Excelsa",H592="Ara","Arabica",H592="Lib","Liberica")</f>
        <v>Excelsa</v>
      </c>
      <c r="N592" t="str" cm="1">
        <f t="array" ref="N592">_xlfn.IFS(I592="M","Medium",I592="L","Light",I592="D","Dark")</f>
        <v>Medium</v>
      </c>
      <c r="O592" t="str">
        <f>_xlfn.XLOOKUP(Orders[[#This Row],[Customer ID]],customers!$A$2:$A$1001,customers!$I$2:$I$1001,,0)</f>
        <v>Yes</v>
      </c>
    </row>
    <row r="593" spans="1:15" x14ac:dyDescent="0.3">
      <c r="A593" s="2" t="s">
        <v>3829</v>
      </c>
      <c r="B593" s="3">
        <v>43587</v>
      </c>
      <c r="C593" s="2" t="s">
        <v>3830</v>
      </c>
      <c r="D593" t="s">
        <v>6163</v>
      </c>
      <c r="E593" s="2">
        <v>3</v>
      </c>
      <c r="F593" s="2" t="str">
        <f>_xlfn.XLOOKUP(C593,customers!$A$2:$A$1001,customers!$B$2:$B$1001,,0)</f>
        <v>Jennifer Wilkisson</v>
      </c>
      <c r="G593" s="2" t="str">
        <f>_xlfn.XLOOKUP(C593,customers!$A$2:$A$1001,customers!$G$2:$G$1001,,0)</f>
        <v>United States</v>
      </c>
      <c r="H593" t="str">
        <f>INDEX(products!$A$1:$G$49,MATCH(orders!$D593,products!$A$1:$A$49,0),MATCH(orders!H$1,products!$A$1:$G$1,0))</f>
        <v>Rob</v>
      </c>
      <c r="I593" t="str">
        <f>INDEX(products!$A$1:$G$49,MATCH(orders!$D593,products!$A$1:$A$49,0),MATCH(orders!I$1,products!$A$1:$G$1,0))</f>
        <v>D</v>
      </c>
      <c r="J593" s="5">
        <f>INDEX(products!$A$1:$G$49,MATCH(orders!$D593,products!$A$1:$A$49,0),MATCH(orders!J$1,products!$A$1:$G$1,0))</f>
        <v>0.2</v>
      </c>
      <c r="K593" s="6">
        <f>INDEX(products!$A$1:$G$49,MATCH(orders!$D593,products!$A$1:$A$49,0),MATCH(orders!K$1,products!$A$1:$G$1,0))</f>
        <v>2.6849999999999996</v>
      </c>
      <c r="L593" s="6">
        <f>K593*E593</f>
        <v>8.0549999999999997</v>
      </c>
      <c r="M593" t="str" cm="1">
        <f t="array" ref="M593">_xlfn.IFS(H593="Rob","Robusta",H593="Exc","Excelsa",H593="Ara","Arabica",H593="Lib","Liberica")</f>
        <v>Robusta</v>
      </c>
      <c r="N593" t="str" cm="1">
        <f t="array" ref="N593">_xlfn.IFS(I593="M","Medium",I593="L","Light",I593="D","Dark")</f>
        <v>Dark</v>
      </c>
      <c r="O593" t="str">
        <f>_xlfn.XLOOKUP(Orders[[#This Row],[Customer ID]],customers!$A$2:$A$1001,customers!$I$2:$I$1001,,0)</f>
        <v>Yes</v>
      </c>
    </row>
    <row r="594" spans="1:15" x14ac:dyDescent="0.3">
      <c r="A594" s="2" t="s">
        <v>3834</v>
      </c>
      <c r="B594" s="3">
        <v>44437</v>
      </c>
      <c r="C594" s="2" t="s">
        <v>3835</v>
      </c>
      <c r="D594" t="s">
        <v>6175</v>
      </c>
      <c r="E594" s="2">
        <v>2</v>
      </c>
      <c r="F594" s="2" t="str">
        <f>_xlfn.XLOOKUP(C594,customers!$A$2:$A$1001,customers!$B$2:$B$1001,,0)</f>
        <v>Kylie Mowat</v>
      </c>
      <c r="G594" s="2" t="str">
        <f>_xlfn.XLOOKUP(C594,customers!$A$2:$A$1001,customers!$G$2:$G$1001,,0)</f>
        <v>United States</v>
      </c>
      <c r="H594" t="str">
        <f>INDEX(products!$A$1:$G$49,MATCH(orders!$D594,products!$A$1:$A$49,0),MATCH(orders!H$1,products!$A$1:$G$1,0))</f>
        <v>Ara</v>
      </c>
      <c r="I594" t="str">
        <f>INDEX(products!$A$1:$G$49,MATCH(orders!$D594,products!$A$1:$A$49,0),MATCH(orders!I$1,products!$A$1:$G$1,0))</f>
        <v>M</v>
      </c>
      <c r="J594" s="5">
        <f>INDEX(products!$A$1:$G$49,MATCH(orders!$D594,products!$A$1:$A$49,0),MATCH(orders!J$1,products!$A$1:$G$1,0))</f>
        <v>2.5</v>
      </c>
      <c r="K594" s="6">
        <f>INDEX(products!$A$1:$G$49,MATCH(orders!$D594,products!$A$1:$A$49,0),MATCH(orders!K$1,products!$A$1:$G$1,0))</f>
        <v>25.874999999999996</v>
      </c>
      <c r="L594" s="6">
        <f>K594*E594</f>
        <v>51.749999999999993</v>
      </c>
      <c r="M594" t="str" cm="1">
        <f t="array" ref="M594">_xlfn.IFS(H594="Rob","Robusta",H594="Exc","Excelsa",H594="Ara","Arabica",H594="Lib","Liberica")</f>
        <v>Arabica</v>
      </c>
      <c r="N594" t="str" cm="1">
        <f t="array" ref="N594">_xlfn.IFS(I594="M","Medium",I594="L","Light",I594="D","Dark")</f>
        <v>Medium</v>
      </c>
      <c r="O594" t="str">
        <f>_xlfn.XLOOKUP(Orders[[#This Row],[Customer ID]],customers!$A$2:$A$1001,customers!$I$2:$I$1001,,0)</f>
        <v>No</v>
      </c>
    </row>
    <row r="595" spans="1:15" x14ac:dyDescent="0.3">
      <c r="A595" s="2" t="s">
        <v>3839</v>
      </c>
      <c r="B595" s="3">
        <v>43903</v>
      </c>
      <c r="C595" s="2" t="s">
        <v>3840</v>
      </c>
      <c r="D595" t="s">
        <v>6185</v>
      </c>
      <c r="E595" s="2">
        <v>1</v>
      </c>
      <c r="F595" s="2" t="str">
        <f>_xlfn.XLOOKUP(C595,customers!$A$2:$A$1001,customers!$B$2:$B$1001,,0)</f>
        <v>Cody Verissimo</v>
      </c>
      <c r="G595" s="2" t="str">
        <f>_xlfn.XLOOKUP(C595,customers!$A$2:$A$1001,customers!$G$2:$G$1001,,0)</f>
        <v>United Kingdom</v>
      </c>
      <c r="H595" t="str">
        <f>INDEX(products!$A$1:$G$49,MATCH(orders!$D595,products!$A$1:$A$49,0),MATCH(orders!H$1,products!$A$1:$G$1,0))</f>
        <v>Exc</v>
      </c>
      <c r="I595" t="str">
        <f>INDEX(products!$A$1:$G$49,MATCH(orders!$D595,products!$A$1:$A$49,0),MATCH(orders!I$1,products!$A$1:$G$1,0))</f>
        <v>D</v>
      </c>
      <c r="J595" s="5">
        <f>INDEX(products!$A$1:$G$49,MATCH(orders!$D595,products!$A$1:$A$49,0),MATCH(orders!J$1,products!$A$1:$G$1,0))</f>
        <v>2.5</v>
      </c>
      <c r="K595" s="6">
        <f>INDEX(products!$A$1:$G$49,MATCH(orders!$D595,products!$A$1:$A$49,0),MATCH(orders!K$1,products!$A$1:$G$1,0))</f>
        <v>27.945</v>
      </c>
      <c r="L595" s="6">
        <f>K595*E595</f>
        <v>27.945</v>
      </c>
      <c r="M595" t="str" cm="1">
        <f t="array" ref="M595">_xlfn.IFS(H595="Rob","Robusta",H595="Exc","Excelsa",H595="Ara","Arabica",H595="Lib","Liberica")</f>
        <v>Excelsa</v>
      </c>
      <c r="N595" t="str" cm="1">
        <f t="array" ref="N595">_xlfn.IFS(I595="M","Medium",I595="L","Light",I595="D","Dark")</f>
        <v>Dark</v>
      </c>
      <c r="O595" t="str">
        <f>_xlfn.XLOOKUP(Orders[[#This Row],[Customer ID]],customers!$A$2:$A$1001,customers!$I$2:$I$1001,,0)</f>
        <v>Yes</v>
      </c>
    </row>
    <row r="596" spans="1:15" x14ac:dyDescent="0.3">
      <c r="A596" s="2" t="s">
        <v>3844</v>
      </c>
      <c r="B596" s="3">
        <v>43512</v>
      </c>
      <c r="C596" s="2" t="s">
        <v>3845</v>
      </c>
      <c r="D596" t="s">
        <v>6182</v>
      </c>
      <c r="E596" s="2">
        <v>2</v>
      </c>
      <c r="F596" s="2" t="str">
        <f>_xlfn.XLOOKUP(C596,customers!$A$2:$A$1001,customers!$B$2:$B$1001,,0)</f>
        <v>Gabriel Starcks</v>
      </c>
      <c r="G596" s="2" t="str">
        <f>_xlfn.XLOOKUP(C596,customers!$A$2:$A$1001,customers!$G$2:$G$1001,,0)</f>
        <v>United States</v>
      </c>
      <c r="H596" t="str">
        <f>INDEX(products!$A$1:$G$49,MATCH(orders!$D596,products!$A$1:$A$49,0),MATCH(orders!H$1,products!$A$1:$G$1,0))</f>
        <v>Ara</v>
      </c>
      <c r="I596" t="str">
        <f>INDEX(products!$A$1:$G$49,MATCH(orders!$D596,products!$A$1:$A$49,0),MATCH(orders!I$1,products!$A$1:$G$1,0))</f>
        <v>L</v>
      </c>
      <c r="J596" s="5">
        <f>INDEX(products!$A$1:$G$49,MATCH(orders!$D596,products!$A$1:$A$49,0),MATCH(orders!J$1,products!$A$1:$G$1,0))</f>
        <v>2.5</v>
      </c>
      <c r="K596" s="6">
        <f>INDEX(products!$A$1:$G$49,MATCH(orders!$D596,products!$A$1:$A$49,0),MATCH(orders!K$1,products!$A$1:$G$1,0))</f>
        <v>29.784999999999997</v>
      </c>
      <c r="L596" s="6">
        <f>K596*E596</f>
        <v>59.569999999999993</v>
      </c>
      <c r="M596" t="str" cm="1">
        <f t="array" ref="M596">_xlfn.IFS(H596="Rob","Robusta",H596="Exc","Excelsa",H596="Ara","Arabica",H596="Lib","Liberica")</f>
        <v>Arabica</v>
      </c>
      <c r="N596" t="str" cm="1">
        <f t="array" ref="N596">_xlfn.IFS(I596="M","Medium",I596="L","Light",I596="D","Dark")</f>
        <v>Light</v>
      </c>
      <c r="O596" t="str">
        <f>_xlfn.XLOOKUP(Orders[[#This Row],[Customer ID]],customers!$A$2:$A$1001,customers!$I$2:$I$1001,,0)</f>
        <v>No</v>
      </c>
    </row>
    <row r="597" spans="1:15" x14ac:dyDescent="0.3">
      <c r="A597" s="2" t="s">
        <v>3850</v>
      </c>
      <c r="B597" s="3">
        <v>44527</v>
      </c>
      <c r="C597" s="2" t="s">
        <v>3851</v>
      </c>
      <c r="D597" t="s">
        <v>6171</v>
      </c>
      <c r="E597" s="2">
        <v>1</v>
      </c>
      <c r="F597" s="2" t="str">
        <f>_xlfn.XLOOKUP(C597,customers!$A$2:$A$1001,customers!$B$2:$B$1001,,0)</f>
        <v>Darby Dummer</v>
      </c>
      <c r="G597" s="2" t="str">
        <f>_xlfn.XLOOKUP(C597,customers!$A$2:$A$1001,customers!$G$2:$G$1001,,0)</f>
        <v>United Kingdom</v>
      </c>
      <c r="H597" t="str">
        <f>INDEX(products!$A$1:$G$49,MATCH(orders!$D597,products!$A$1:$A$49,0),MATCH(orders!H$1,products!$A$1:$G$1,0))</f>
        <v>Exc</v>
      </c>
      <c r="I597" t="str">
        <f>INDEX(products!$A$1:$G$49,MATCH(orders!$D597,products!$A$1:$A$49,0),MATCH(orders!I$1,products!$A$1:$G$1,0))</f>
        <v>L</v>
      </c>
      <c r="J597" s="5">
        <f>INDEX(products!$A$1:$G$49,MATCH(orders!$D597,products!$A$1:$A$49,0),MATCH(orders!J$1,products!$A$1:$G$1,0))</f>
        <v>1</v>
      </c>
      <c r="K597" s="6">
        <f>INDEX(products!$A$1:$G$49,MATCH(orders!$D597,products!$A$1:$A$49,0),MATCH(orders!K$1,products!$A$1:$G$1,0))</f>
        <v>14.85</v>
      </c>
      <c r="L597" s="6">
        <f>K597*E597</f>
        <v>14.85</v>
      </c>
      <c r="M597" t="str" cm="1">
        <f t="array" ref="M597">_xlfn.IFS(H597="Rob","Robusta",H597="Exc","Excelsa",H597="Ara","Arabica",H597="Lib","Liberica")</f>
        <v>Excelsa</v>
      </c>
      <c r="N597" t="str" cm="1">
        <f t="array" ref="N597">_xlfn.IFS(I597="M","Medium",I597="L","Light",I597="D","Dark")</f>
        <v>Light</v>
      </c>
      <c r="O597" t="str">
        <f>_xlfn.XLOOKUP(Orders[[#This Row],[Customer ID]],customers!$A$2:$A$1001,customers!$I$2:$I$1001,,0)</f>
        <v>No</v>
      </c>
    </row>
    <row r="598" spans="1:15" x14ac:dyDescent="0.3">
      <c r="A598" s="2" t="s">
        <v>3854</v>
      </c>
      <c r="B598" s="3">
        <v>44523</v>
      </c>
      <c r="C598" s="2" t="s">
        <v>3855</v>
      </c>
      <c r="D598" t="s">
        <v>6157</v>
      </c>
      <c r="E598" s="2">
        <v>5</v>
      </c>
      <c r="F598" s="2" t="str">
        <f>_xlfn.XLOOKUP(C598,customers!$A$2:$A$1001,customers!$B$2:$B$1001,,0)</f>
        <v>Kienan Scholard</v>
      </c>
      <c r="G598" s="2" t="str">
        <f>_xlfn.XLOOKUP(C598,customers!$A$2:$A$1001,customers!$G$2:$G$1001,,0)</f>
        <v>United States</v>
      </c>
      <c r="H598" t="str">
        <f>INDEX(products!$A$1:$G$49,MATCH(orders!$D598,products!$A$1:$A$49,0),MATCH(orders!H$1,products!$A$1:$G$1,0))</f>
        <v>Ara</v>
      </c>
      <c r="I598" t="str">
        <f>INDEX(products!$A$1:$G$49,MATCH(orders!$D598,products!$A$1:$A$49,0),MATCH(orders!I$1,products!$A$1:$G$1,0))</f>
        <v>M</v>
      </c>
      <c r="J598" s="5">
        <f>INDEX(products!$A$1:$G$49,MATCH(orders!$D598,products!$A$1:$A$49,0),MATCH(orders!J$1,products!$A$1:$G$1,0))</f>
        <v>0.5</v>
      </c>
      <c r="K598" s="6">
        <f>INDEX(products!$A$1:$G$49,MATCH(orders!$D598,products!$A$1:$A$49,0),MATCH(orders!K$1,products!$A$1:$G$1,0))</f>
        <v>6.75</v>
      </c>
      <c r="L598" s="6">
        <f>K598*E598</f>
        <v>33.75</v>
      </c>
      <c r="M598" t="str" cm="1">
        <f t="array" ref="M598">_xlfn.IFS(H598="Rob","Robusta",H598="Exc","Excelsa",H598="Ara","Arabica",H598="Lib","Liberica")</f>
        <v>Arabica</v>
      </c>
      <c r="N598" t="str" cm="1">
        <f t="array" ref="N598">_xlfn.IFS(I598="M","Medium",I598="L","Light",I598="D","Dark")</f>
        <v>Medium</v>
      </c>
      <c r="O598" t="str">
        <f>_xlfn.XLOOKUP(Orders[[#This Row],[Customer ID]],customers!$A$2:$A$1001,customers!$I$2:$I$1001,,0)</f>
        <v>No</v>
      </c>
    </row>
    <row r="599" spans="1:15" x14ac:dyDescent="0.3">
      <c r="A599" s="2" t="s">
        <v>3860</v>
      </c>
      <c r="B599" s="3">
        <v>44532</v>
      </c>
      <c r="C599" s="2" t="s">
        <v>3861</v>
      </c>
      <c r="D599" t="s">
        <v>6164</v>
      </c>
      <c r="E599" s="2">
        <v>4</v>
      </c>
      <c r="F599" s="2" t="str">
        <f>_xlfn.XLOOKUP(C599,customers!$A$2:$A$1001,customers!$B$2:$B$1001,,0)</f>
        <v>Bo Kindley</v>
      </c>
      <c r="G599" s="2" t="str">
        <f>_xlfn.XLOOKUP(C599,customers!$A$2:$A$1001,customers!$G$2:$G$1001,,0)</f>
        <v>United States</v>
      </c>
      <c r="H599" t="str">
        <f>INDEX(products!$A$1:$G$49,MATCH(orders!$D599,products!$A$1:$A$49,0),MATCH(orders!H$1,products!$A$1:$G$1,0))</f>
        <v>Lib</v>
      </c>
      <c r="I599" t="str">
        <f>INDEX(products!$A$1:$G$49,MATCH(orders!$D599,products!$A$1:$A$49,0),MATCH(orders!I$1,products!$A$1:$G$1,0))</f>
        <v>L</v>
      </c>
      <c r="J599" s="5">
        <f>INDEX(products!$A$1:$G$49,MATCH(orders!$D599,products!$A$1:$A$49,0),MATCH(orders!J$1,products!$A$1:$G$1,0))</f>
        <v>2.5</v>
      </c>
      <c r="K599" s="6">
        <f>INDEX(products!$A$1:$G$49,MATCH(orders!$D599,products!$A$1:$A$49,0),MATCH(orders!K$1,products!$A$1:$G$1,0))</f>
        <v>36.454999999999998</v>
      </c>
      <c r="L599" s="6">
        <f>K599*E599</f>
        <v>145.82</v>
      </c>
      <c r="M599" t="str" cm="1">
        <f t="array" ref="M599">_xlfn.IFS(H599="Rob","Robusta",H599="Exc","Excelsa",H599="Ara","Arabica",H599="Lib","Liberica")</f>
        <v>Liberica</v>
      </c>
      <c r="N599" t="str" cm="1">
        <f t="array" ref="N599">_xlfn.IFS(I599="M","Medium",I599="L","Light",I599="D","Dark")</f>
        <v>Light</v>
      </c>
      <c r="O599" t="str">
        <f>_xlfn.XLOOKUP(Orders[[#This Row],[Customer ID]],customers!$A$2:$A$1001,customers!$I$2:$I$1001,,0)</f>
        <v>Yes</v>
      </c>
    </row>
    <row r="600" spans="1:15" x14ac:dyDescent="0.3">
      <c r="A600" s="2" t="s">
        <v>3866</v>
      </c>
      <c r="B600" s="3">
        <v>43471</v>
      </c>
      <c r="C600" s="2" t="s">
        <v>3867</v>
      </c>
      <c r="D600" t="s">
        <v>6174</v>
      </c>
      <c r="E600" s="2">
        <v>4</v>
      </c>
      <c r="F600" s="2" t="str">
        <f>_xlfn.XLOOKUP(C600,customers!$A$2:$A$1001,customers!$B$2:$B$1001,,0)</f>
        <v>Krissie Hammett</v>
      </c>
      <c r="G600" s="2" t="str">
        <f>_xlfn.XLOOKUP(C600,customers!$A$2:$A$1001,customers!$G$2:$G$1001,,0)</f>
        <v>United States</v>
      </c>
      <c r="H600" t="str">
        <f>INDEX(products!$A$1:$G$49,MATCH(orders!$D600,products!$A$1:$A$49,0),MATCH(orders!H$1,products!$A$1:$G$1,0))</f>
        <v>Rob</v>
      </c>
      <c r="I600" t="str">
        <f>INDEX(products!$A$1:$G$49,MATCH(orders!$D600,products!$A$1:$A$49,0),MATCH(orders!I$1,products!$A$1:$G$1,0))</f>
        <v>M</v>
      </c>
      <c r="J600" s="5">
        <f>INDEX(products!$A$1:$G$49,MATCH(orders!$D600,products!$A$1:$A$49,0),MATCH(orders!J$1,products!$A$1:$G$1,0))</f>
        <v>0.2</v>
      </c>
      <c r="K600" s="6">
        <f>INDEX(products!$A$1:$G$49,MATCH(orders!$D600,products!$A$1:$A$49,0),MATCH(orders!K$1,products!$A$1:$G$1,0))</f>
        <v>2.9849999999999999</v>
      </c>
      <c r="L600" s="6">
        <f>K600*E600</f>
        <v>11.94</v>
      </c>
      <c r="M600" t="str" cm="1">
        <f t="array" ref="M600">_xlfn.IFS(H600="Rob","Robusta",H600="Exc","Excelsa",H600="Ara","Arabica",H600="Lib","Liberica")</f>
        <v>Robusta</v>
      </c>
      <c r="N600" t="str" cm="1">
        <f t="array" ref="N600">_xlfn.IFS(I600="M","Medium",I600="L","Light",I600="D","Dark")</f>
        <v>Medium</v>
      </c>
      <c r="O600" t="str">
        <f>_xlfn.XLOOKUP(Orders[[#This Row],[Customer ID]],customers!$A$2:$A$1001,customers!$I$2:$I$1001,,0)</f>
        <v>Yes</v>
      </c>
    </row>
    <row r="601" spans="1:15" x14ac:dyDescent="0.3">
      <c r="A601" s="2" t="s">
        <v>3872</v>
      </c>
      <c r="B601" s="3">
        <v>44321</v>
      </c>
      <c r="C601" s="2" t="s">
        <v>3873</v>
      </c>
      <c r="D601" t="s">
        <v>6154</v>
      </c>
      <c r="E601" s="2">
        <v>4</v>
      </c>
      <c r="F601" s="2" t="str">
        <f>_xlfn.XLOOKUP(C601,customers!$A$2:$A$1001,customers!$B$2:$B$1001,,0)</f>
        <v>Alisha Hulburt</v>
      </c>
      <c r="G601" s="2" t="str">
        <f>_xlfn.XLOOKUP(C601,customers!$A$2:$A$1001,customers!$G$2:$G$1001,,0)</f>
        <v>United States</v>
      </c>
      <c r="H601" t="str">
        <f>INDEX(products!$A$1:$G$49,MATCH(orders!$D601,products!$A$1:$A$49,0),MATCH(orders!H$1,products!$A$1:$G$1,0))</f>
        <v>Ara</v>
      </c>
      <c r="I601" t="str">
        <f>INDEX(products!$A$1:$G$49,MATCH(orders!$D601,products!$A$1:$A$49,0),MATCH(orders!I$1,products!$A$1:$G$1,0))</f>
        <v>D</v>
      </c>
      <c r="J601" s="5">
        <f>INDEX(products!$A$1:$G$49,MATCH(orders!$D601,products!$A$1:$A$49,0),MATCH(orders!J$1,products!$A$1:$G$1,0))</f>
        <v>0.2</v>
      </c>
      <c r="K601" s="6">
        <f>INDEX(products!$A$1:$G$49,MATCH(orders!$D601,products!$A$1:$A$49,0),MATCH(orders!K$1,products!$A$1:$G$1,0))</f>
        <v>2.9849999999999999</v>
      </c>
      <c r="L601" s="6">
        <f>K601*E601</f>
        <v>11.94</v>
      </c>
      <c r="M601" t="str" cm="1">
        <f t="array" ref="M601">_xlfn.IFS(H601="Rob","Robusta",H601="Exc","Excelsa",H601="Ara","Arabica",H601="Lib","Liberica")</f>
        <v>Arabica</v>
      </c>
      <c r="N601" t="str" cm="1">
        <f t="array" ref="N601">_xlfn.IFS(I601="M","Medium",I601="L","Light",I601="D","Dark")</f>
        <v>Dark</v>
      </c>
      <c r="O601" t="str">
        <f>_xlfn.XLOOKUP(Orders[[#This Row],[Customer ID]],customers!$A$2:$A$1001,customers!$I$2:$I$1001,,0)</f>
        <v>Yes</v>
      </c>
    </row>
    <row r="602" spans="1:15" x14ac:dyDescent="0.3">
      <c r="A602" s="2" t="s">
        <v>3877</v>
      </c>
      <c r="B602" s="3">
        <v>44492</v>
      </c>
      <c r="C602" s="2" t="s">
        <v>3878</v>
      </c>
      <c r="D602" t="s">
        <v>6169</v>
      </c>
      <c r="E602" s="2">
        <v>1</v>
      </c>
      <c r="F602" s="2" t="str">
        <f>_xlfn.XLOOKUP(C602,customers!$A$2:$A$1001,customers!$B$2:$B$1001,,0)</f>
        <v>Peyter Lauritzen</v>
      </c>
      <c r="G602" s="2" t="str">
        <f>_xlfn.XLOOKUP(C602,customers!$A$2:$A$1001,customers!$G$2:$G$1001,,0)</f>
        <v>United States</v>
      </c>
      <c r="H602" t="str">
        <f>INDEX(products!$A$1:$G$49,MATCH(orders!$D602,products!$A$1:$A$49,0),MATCH(orders!H$1,products!$A$1:$G$1,0))</f>
        <v>Lib</v>
      </c>
      <c r="I602" t="str">
        <f>INDEX(products!$A$1:$G$49,MATCH(orders!$D602,products!$A$1:$A$49,0),MATCH(orders!I$1,products!$A$1:$G$1,0))</f>
        <v>D</v>
      </c>
      <c r="J602" s="5">
        <f>INDEX(products!$A$1:$G$49,MATCH(orders!$D602,products!$A$1:$A$49,0),MATCH(orders!J$1,products!$A$1:$G$1,0))</f>
        <v>0.5</v>
      </c>
      <c r="K602" s="6">
        <f>INDEX(products!$A$1:$G$49,MATCH(orders!$D602,products!$A$1:$A$49,0),MATCH(orders!K$1,products!$A$1:$G$1,0))</f>
        <v>7.77</v>
      </c>
      <c r="L602" s="6">
        <f>K602*E602</f>
        <v>7.77</v>
      </c>
      <c r="M602" t="str" cm="1">
        <f t="array" ref="M602">_xlfn.IFS(H602="Rob","Robusta",H602="Exc","Excelsa",H602="Ara","Arabica",H602="Lib","Liberica")</f>
        <v>Liberica</v>
      </c>
      <c r="N602" t="str" cm="1">
        <f t="array" ref="N602">_xlfn.IFS(I602="M","Medium",I602="L","Light",I602="D","Dark")</f>
        <v>Dark</v>
      </c>
      <c r="O602" t="str">
        <f>_xlfn.XLOOKUP(Orders[[#This Row],[Customer ID]],customers!$A$2:$A$1001,customers!$I$2:$I$1001,,0)</f>
        <v>No</v>
      </c>
    </row>
    <row r="603" spans="1:15" x14ac:dyDescent="0.3">
      <c r="A603" s="2" t="s">
        <v>3883</v>
      </c>
      <c r="B603" s="3">
        <v>43815</v>
      </c>
      <c r="C603" s="2" t="s">
        <v>3884</v>
      </c>
      <c r="D603" t="s">
        <v>6142</v>
      </c>
      <c r="E603" s="2">
        <v>4</v>
      </c>
      <c r="F603" s="2" t="str">
        <f>_xlfn.XLOOKUP(C603,customers!$A$2:$A$1001,customers!$B$2:$B$1001,,0)</f>
        <v>Aurelia Burgwin</v>
      </c>
      <c r="G603" s="2" t="str">
        <f>_xlfn.XLOOKUP(C603,customers!$A$2:$A$1001,customers!$G$2:$G$1001,,0)</f>
        <v>United States</v>
      </c>
      <c r="H603" t="str">
        <f>INDEX(products!$A$1:$G$49,MATCH(orders!$D603,products!$A$1:$A$49,0),MATCH(orders!H$1,products!$A$1:$G$1,0))</f>
        <v>Rob</v>
      </c>
      <c r="I603" t="str">
        <f>INDEX(products!$A$1:$G$49,MATCH(orders!$D603,products!$A$1:$A$49,0),MATCH(orders!I$1,products!$A$1:$G$1,0))</f>
        <v>L</v>
      </c>
      <c r="J603" s="5">
        <f>INDEX(products!$A$1:$G$49,MATCH(orders!$D603,products!$A$1:$A$49,0),MATCH(orders!J$1,products!$A$1:$G$1,0))</f>
        <v>2.5</v>
      </c>
      <c r="K603" s="6">
        <f>INDEX(products!$A$1:$G$49,MATCH(orders!$D603,products!$A$1:$A$49,0),MATCH(orders!K$1,products!$A$1:$G$1,0))</f>
        <v>27.484999999999996</v>
      </c>
      <c r="L603" s="6">
        <f>K603*E603</f>
        <v>109.93999999999998</v>
      </c>
      <c r="M603" t="str" cm="1">
        <f t="array" ref="M603">_xlfn.IFS(H603="Rob","Robusta",H603="Exc","Excelsa",H603="Ara","Arabica",H603="Lib","Liberica")</f>
        <v>Robusta</v>
      </c>
      <c r="N603" t="str" cm="1">
        <f t="array" ref="N603">_xlfn.IFS(I603="M","Medium",I603="L","Light",I603="D","Dark")</f>
        <v>Light</v>
      </c>
      <c r="O603" t="str">
        <f>_xlfn.XLOOKUP(Orders[[#This Row],[Customer ID]],customers!$A$2:$A$1001,customers!$I$2:$I$1001,,0)</f>
        <v>Yes</v>
      </c>
    </row>
    <row r="604" spans="1:15" x14ac:dyDescent="0.3">
      <c r="A604" s="2" t="s">
        <v>3889</v>
      </c>
      <c r="B604" s="3">
        <v>43603</v>
      </c>
      <c r="C604" s="2" t="s">
        <v>3890</v>
      </c>
      <c r="D604" t="s">
        <v>6184</v>
      </c>
      <c r="E604" s="2">
        <v>5</v>
      </c>
      <c r="F604" s="2" t="str">
        <f>_xlfn.XLOOKUP(C604,customers!$A$2:$A$1001,customers!$B$2:$B$1001,,0)</f>
        <v>Emalee Rolin</v>
      </c>
      <c r="G604" s="2" t="str">
        <f>_xlfn.XLOOKUP(C604,customers!$A$2:$A$1001,customers!$G$2:$G$1001,,0)</f>
        <v>United States</v>
      </c>
      <c r="H604" t="str">
        <f>INDEX(products!$A$1:$G$49,MATCH(orders!$D604,products!$A$1:$A$49,0),MATCH(orders!H$1,products!$A$1:$G$1,0))</f>
        <v>Exc</v>
      </c>
      <c r="I604" t="str">
        <f>INDEX(products!$A$1:$G$49,MATCH(orders!$D604,products!$A$1:$A$49,0),MATCH(orders!I$1,products!$A$1:$G$1,0))</f>
        <v>L</v>
      </c>
      <c r="J604" s="5">
        <f>INDEX(products!$A$1:$G$49,MATCH(orders!$D604,products!$A$1:$A$49,0),MATCH(orders!J$1,products!$A$1:$G$1,0))</f>
        <v>0.2</v>
      </c>
      <c r="K604" s="6">
        <f>INDEX(products!$A$1:$G$49,MATCH(orders!$D604,products!$A$1:$A$49,0),MATCH(orders!K$1,products!$A$1:$G$1,0))</f>
        <v>4.4550000000000001</v>
      </c>
      <c r="L604" s="6">
        <f>K604*E604</f>
        <v>22.274999999999999</v>
      </c>
      <c r="M604" t="str" cm="1">
        <f t="array" ref="M604">_xlfn.IFS(H604="Rob","Robusta",H604="Exc","Excelsa",H604="Ara","Arabica",H604="Lib","Liberica")</f>
        <v>Excelsa</v>
      </c>
      <c r="N604" t="str" cm="1">
        <f t="array" ref="N604">_xlfn.IFS(I604="M","Medium",I604="L","Light",I604="D","Dark")</f>
        <v>Light</v>
      </c>
      <c r="O604" t="str">
        <f>_xlfn.XLOOKUP(Orders[[#This Row],[Customer ID]],customers!$A$2:$A$1001,customers!$I$2:$I$1001,,0)</f>
        <v>Yes</v>
      </c>
    </row>
    <row r="605" spans="1:15" x14ac:dyDescent="0.3">
      <c r="A605" s="2" t="s">
        <v>3895</v>
      </c>
      <c r="B605" s="3">
        <v>43660</v>
      </c>
      <c r="C605" s="2" t="s">
        <v>3896</v>
      </c>
      <c r="D605" t="s">
        <v>6174</v>
      </c>
      <c r="E605" s="2">
        <v>3</v>
      </c>
      <c r="F605" s="2" t="str">
        <f>_xlfn.XLOOKUP(C605,customers!$A$2:$A$1001,customers!$B$2:$B$1001,,0)</f>
        <v>Donavon Fowle</v>
      </c>
      <c r="G605" s="2" t="str">
        <f>_xlfn.XLOOKUP(C605,customers!$A$2:$A$1001,customers!$G$2:$G$1001,,0)</f>
        <v>United States</v>
      </c>
      <c r="H605" t="str">
        <f>INDEX(products!$A$1:$G$49,MATCH(orders!$D605,products!$A$1:$A$49,0),MATCH(orders!H$1,products!$A$1:$G$1,0))</f>
        <v>Rob</v>
      </c>
      <c r="I605" t="str">
        <f>INDEX(products!$A$1:$G$49,MATCH(orders!$D605,products!$A$1:$A$49,0),MATCH(orders!I$1,products!$A$1:$G$1,0))</f>
        <v>M</v>
      </c>
      <c r="J605" s="5">
        <f>INDEX(products!$A$1:$G$49,MATCH(orders!$D605,products!$A$1:$A$49,0),MATCH(orders!J$1,products!$A$1:$G$1,0))</f>
        <v>0.2</v>
      </c>
      <c r="K605" s="6">
        <f>INDEX(products!$A$1:$G$49,MATCH(orders!$D605,products!$A$1:$A$49,0),MATCH(orders!K$1,products!$A$1:$G$1,0))</f>
        <v>2.9849999999999999</v>
      </c>
      <c r="L605" s="6">
        <f>K605*E605</f>
        <v>8.9550000000000001</v>
      </c>
      <c r="M605" t="str" cm="1">
        <f t="array" ref="M605">_xlfn.IFS(H605="Rob","Robusta",H605="Exc","Excelsa",H605="Ara","Arabica",H605="Lib","Liberica")</f>
        <v>Robusta</v>
      </c>
      <c r="N605" t="str" cm="1">
        <f t="array" ref="N605">_xlfn.IFS(I605="M","Medium",I605="L","Light",I605="D","Dark")</f>
        <v>Medium</v>
      </c>
      <c r="O605" t="str">
        <f>_xlfn.XLOOKUP(Orders[[#This Row],[Customer ID]],customers!$A$2:$A$1001,customers!$I$2:$I$1001,,0)</f>
        <v>No</v>
      </c>
    </row>
    <row r="606" spans="1:15" x14ac:dyDescent="0.3">
      <c r="A606" s="2" t="s">
        <v>3900</v>
      </c>
      <c r="B606" s="3">
        <v>44148</v>
      </c>
      <c r="C606" s="2" t="s">
        <v>3901</v>
      </c>
      <c r="D606" t="s">
        <v>6165</v>
      </c>
      <c r="E606" s="2">
        <v>4</v>
      </c>
      <c r="F606" s="2" t="str">
        <f>_xlfn.XLOOKUP(C606,customers!$A$2:$A$1001,customers!$B$2:$B$1001,,0)</f>
        <v>Jorge Bettison</v>
      </c>
      <c r="G606" s="2" t="str">
        <f>_xlfn.XLOOKUP(C606,customers!$A$2:$A$1001,customers!$G$2:$G$1001,,0)</f>
        <v>Ireland</v>
      </c>
      <c r="H606" t="str">
        <f>INDEX(products!$A$1:$G$49,MATCH(orders!$D606,products!$A$1:$A$49,0),MATCH(orders!H$1,products!$A$1:$G$1,0))</f>
        <v>Lib</v>
      </c>
      <c r="I606" t="str">
        <f>INDEX(products!$A$1:$G$49,MATCH(orders!$D606,products!$A$1:$A$49,0),MATCH(orders!I$1,products!$A$1:$G$1,0))</f>
        <v>D</v>
      </c>
      <c r="J606" s="5">
        <f>INDEX(products!$A$1:$G$49,MATCH(orders!$D606,products!$A$1:$A$49,0),MATCH(orders!J$1,products!$A$1:$G$1,0))</f>
        <v>2.5</v>
      </c>
      <c r="K606" s="6">
        <f>INDEX(products!$A$1:$G$49,MATCH(orders!$D606,products!$A$1:$A$49,0),MATCH(orders!K$1,products!$A$1:$G$1,0))</f>
        <v>29.784999999999997</v>
      </c>
      <c r="L606" s="6">
        <f>K606*E606</f>
        <v>119.13999999999999</v>
      </c>
      <c r="M606" t="str" cm="1">
        <f t="array" ref="M606">_xlfn.IFS(H606="Rob","Robusta",H606="Exc","Excelsa",H606="Ara","Arabica",H606="Lib","Liberica")</f>
        <v>Liberica</v>
      </c>
      <c r="N606" t="str" cm="1">
        <f t="array" ref="N606">_xlfn.IFS(I606="M","Medium",I606="L","Light",I606="D","Dark")</f>
        <v>Dark</v>
      </c>
      <c r="O606" t="str">
        <f>_xlfn.XLOOKUP(Orders[[#This Row],[Customer ID]],customers!$A$2:$A$1001,customers!$I$2:$I$1001,,0)</f>
        <v>No</v>
      </c>
    </row>
    <row r="607" spans="1:15" x14ac:dyDescent="0.3">
      <c r="A607" s="2" t="s">
        <v>3905</v>
      </c>
      <c r="B607" s="3">
        <v>44028</v>
      </c>
      <c r="C607" s="2" t="s">
        <v>3906</v>
      </c>
      <c r="D607" t="s">
        <v>6182</v>
      </c>
      <c r="E607" s="2">
        <v>5</v>
      </c>
      <c r="F607" s="2" t="str">
        <f>_xlfn.XLOOKUP(C607,customers!$A$2:$A$1001,customers!$B$2:$B$1001,,0)</f>
        <v>Wang Powlesland</v>
      </c>
      <c r="G607" s="2" t="str">
        <f>_xlfn.XLOOKUP(C607,customers!$A$2:$A$1001,customers!$G$2:$G$1001,,0)</f>
        <v>United States</v>
      </c>
      <c r="H607" t="str">
        <f>INDEX(products!$A$1:$G$49,MATCH(orders!$D607,products!$A$1:$A$49,0),MATCH(orders!H$1,products!$A$1:$G$1,0))</f>
        <v>Ara</v>
      </c>
      <c r="I607" t="str">
        <f>INDEX(products!$A$1:$G$49,MATCH(orders!$D607,products!$A$1:$A$49,0),MATCH(orders!I$1,products!$A$1:$G$1,0))</f>
        <v>L</v>
      </c>
      <c r="J607" s="5">
        <f>INDEX(products!$A$1:$G$49,MATCH(orders!$D607,products!$A$1:$A$49,0),MATCH(orders!J$1,products!$A$1:$G$1,0))</f>
        <v>2.5</v>
      </c>
      <c r="K607" s="6">
        <f>INDEX(products!$A$1:$G$49,MATCH(orders!$D607,products!$A$1:$A$49,0),MATCH(orders!K$1,products!$A$1:$G$1,0))</f>
        <v>29.784999999999997</v>
      </c>
      <c r="L607" s="6">
        <f>K607*E607</f>
        <v>148.92499999999998</v>
      </c>
      <c r="M607" t="str" cm="1">
        <f t="array" ref="M607">_xlfn.IFS(H607="Rob","Robusta",H607="Exc","Excelsa",H607="Ara","Arabica",H607="Lib","Liberica")</f>
        <v>Arabica</v>
      </c>
      <c r="N607" t="str" cm="1">
        <f t="array" ref="N607">_xlfn.IFS(I607="M","Medium",I607="L","Light",I607="D","Dark")</f>
        <v>Light</v>
      </c>
      <c r="O607" t="str">
        <f>_xlfn.XLOOKUP(Orders[[#This Row],[Customer ID]],customers!$A$2:$A$1001,customers!$I$2:$I$1001,,0)</f>
        <v>Yes</v>
      </c>
    </row>
    <row r="608" spans="1:15" x14ac:dyDescent="0.3">
      <c r="A608" s="2" t="s">
        <v>3911</v>
      </c>
      <c r="B608" s="3">
        <v>44138</v>
      </c>
      <c r="C608" s="2" t="s">
        <v>3840</v>
      </c>
      <c r="D608" t="s">
        <v>6164</v>
      </c>
      <c r="E608" s="2">
        <v>3</v>
      </c>
      <c r="F608" s="2" t="str">
        <f>_xlfn.XLOOKUP(C608,customers!$A$2:$A$1001,customers!$B$2:$B$1001,,0)</f>
        <v>Cody Verissimo</v>
      </c>
      <c r="G608" s="2" t="str">
        <f>_xlfn.XLOOKUP(C608,customers!$A$2:$A$1001,customers!$G$2:$G$1001,,0)</f>
        <v>United Kingdom</v>
      </c>
      <c r="H608" t="str">
        <f>INDEX(products!$A$1:$G$49,MATCH(orders!$D608,products!$A$1:$A$49,0),MATCH(orders!H$1,products!$A$1:$G$1,0))</f>
        <v>Lib</v>
      </c>
      <c r="I608" t="str">
        <f>INDEX(products!$A$1:$G$49,MATCH(orders!$D608,products!$A$1:$A$49,0),MATCH(orders!I$1,products!$A$1:$G$1,0))</f>
        <v>L</v>
      </c>
      <c r="J608" s="5">
        <f>INDEX(products!$A$1:$G$49,MATCH(orders!$D608,products!$A$1:$A$49,0),MATCH(orders!J$1,products!$A$1:$G$1,0))</f>
        <v>2.5</v>
      </c>
      <c r="K608" s="6">
        <f>INDEX(products!$A$1:$G$49,MATCH(orders!$D608,products!$A$1:$A$49,0),MATCH(orders!K$1,products!$A$1:$G$1,0))</f>
        <v>36.454999999999998</v>
      </c>
      <c r="L608" s="6">
        <f>K608*E608</f>
        <v>109.36499999999999</v>
      </c>
      <c r="M608" t="str" cm="1">
        <f t="array" ref="M608">_xlfn.IFS(H608="Rob","Robusta",H608="Exc","Excelsa",H608="Ara","Arabica",H608="Lib","Liberica")</f>
        <v>Liberica</v>
      </c>
      <c r="N608" t="str" cm="1">
        <f t="array" ref="N608">_xlfn.IFS(I608="M","Medium",I608="L","Light",I608="D","Dark")</f>
        <v>Light</v>
      </c>
      <c r="O608" t="str">
        <f>_xlfn.XLOOKUP(Orders[[#This Row],[Customer ID]],customers!$A$2:$A$1001,customers!$I$2:$I$1001,,0)</f>
        <v>Yes</v>
      </c>
    </row>
    <row r="609" spans="1:15" x14ac:dyDescent="0.3">
      <c r="A609" s="2" t="s">
        <v>3917</v>
      </c>
      <c r="B609" s="3">
        <v>44640</v>
      </c>
      <c r="C609" s="2" t="s">
        <v>3918</v>
      </c>
      <c r="D609" t="s">
        <v>6153</v>
      </c>
      <c r="E609" s="2">
        <v>1</v>
      </c>
      <c r="F609" s="2" t="str">
        <f>_xlfn.XLOOKUP(C609,customers!$A$2:$A$1001,customers!$B$2:$B$1001,,0)</f>
        <v>Laurence Ellingham</v>
      </c>
      <c r="G609" s="2" t="str">
        <f>_xlfn.XLOOKUP(C609,customers!$A$2:$A$1001,customers!$G$2:$G$1001,,0)</f>
        <v>United States</v>
      </c>
      <c r="H609" t="str">
        <f>INDEX(products!$A$1:$G$49,MATCH(orders!$D609,products!$A$1:$A$49,0),MATCH(orders!H$1,products!$A$1:$G$1,0))</f>
        <v>Exc</v>
      </c>
      <c r="I609" t="str">
        <f>INDEX(products!$A$1:$G$49,MATCH(orders!$D609,products!$A$1:$A$49,0),MATCH(orders!I$1,products!$A$1:$G$1,0))</f>
        <v>D</v>
      </c>
      <c r="J609" s="5">
        <f>INDEX(products!$A$1:$G$49,MATCH(orders!$D609,products!$A$1:$A$49,0),MATCH(orders!J$1,products!$A$1:$G$1,0))</f>
        <v>0.2</v>
      </c>
      <c r="K609" s="6">
        <f>INDEX(products!$A$1:$G$49,MATCH(orders!$D609,products!$A$1:$A$49,0),MATCH(orders!K$1,products!$A$1:$G$1,0))</f>
        <v>3.645</v>
      </c>
      <c r="L609" s="6">
        <f>K609*E609</f>
        <v>3.645</v>
      </c>
      <c r="M609" t="str" cm="1">
        <f t="array" ref="M609">_xlfn.IFS(H609="Rob","Robusta",H609="Exc","Excelsa",H609="Ara","Arabica",H609="Lib","Liberica")</f>
        <v>Excelsa</v>
      </c>
      <c r="N609" t="str" cm="1">
        <f t="array" ref="N609">_xlfn.IFS(I609="M","Medium",I609="L","Light",I609="D","Dark")</f>
        <v>Dark</v>
      </c>
      <c r="O609" t="str">
        <f>_xlfn.XLOOKUP(Orders[[#This Row],[Customer ID]],customers!$A$2:$A$1001,customers!$I$2:$I$1001,,0)</f>
        <v>Yes</v>
      </c>
    </row>
    <row r="610" spans="1:15" x14ac:dyDescent="0.3">
      <c r="A610" s="2" t="s">
        <v>3923</v>
      </c>
      <c r="B610" s="3">
        <v>44608</v>
      </c>
      <c r="C610" s="2" t="s">
        <v>3924</v>
      </c>
      <c r="D610" t="s">
        <v>6185</v>
      </c>
      <c r="E610" s="2">
        <v>2</v>
      </c>
      <c r="F610" s="2" t="str">
        <f>_xlfn.XLOOKUP(C610,customers!$A$2:$A$1001,customers!$B$2:$B$1001,,0)</f>
        <v>Billy Neiland</v>
      </c>
      <c r="G610" s="2" t="str">
        <f>_xlfn.XLOOKUP(C610,customers!$A$2:$A$1001,customers!$G$2:$G$1001,,0)</f>
        <v>United States</v>
      </c>
      <c r="H610" t="str">
        <f>INDEX(products!$A$1:$G$49,MATCH(orders!$D610,products!$A$1:$A$49,0),MATCH(orders!H$1,products!$A$1:$G$1,0))</f>
        <v>Exc</v>
      </c>
      <c r="I610" t="str">
        <f>INDEX(products!$A$1:$G$49,MATCH(orders!$D610,products!$A$1:$A$49,0),MATCH(orders!I$1,products!$A$1:$G$1,0))</f>
        <v>D</v>
      </c>
      <c r="J610" s="5">
        <f>INDEX(products!$A$1:$G$49,MATCH(orders!$D610,products!$A$1:$A$49,0),MATCH(orders!J$1,products!$A$1:$G$1,0))</f>
        <v>2.5</v>
      </c>
      <c r="K610" s="6">
        <f>INDEX(products!$A$1:$G$49,MATCH(orders!$D610,products!$A$1:$A$49,0),MATCH(orders!K$1,products!$A$1:$G$1,0))</f>
        <v>27.945</v>
      </c>
      <c r="L610" s="6">
        <f>K610*E610</f>
        <v>55.89</v>
      </c>
      <c r="M610" t="str" cm="1">
        <f t="array" ref="M610">_xlfn.IFS(H610="Rob","Robusta",H610="Exc","Excelsa",H610="Ara","Arabica",H610="Lib","Liberica")</f>
        <v>Excelsa</v>
      </c>
      <c r="N610" t="str" cm="1">
        <f t="array" ref="N610">_xlfn.IFS(I610="M","Medium",I610="L","Light",I610="D","Dark")</f>
        <v>Dark</v>
      </c>
      <c r="O610" t="str">
        <f>_xlfn.XLOOKUP(Orders[[#This Row],[Customer ID]],customers!$A$2:$A$1001,customers!$I$2:$I$1001,,0)</f>
        <v>No</v>
      </c>
    </row>
    <row r="611" spans="1:15" x14ac:dyDescent="0.3">
      <c r="A611" s="2" t="s">
        <v>3927</v>
      </c>
      <c r="B611" s="3">
        <v>44147</v>
      </c>
      <c r="C611" s="2" t="s">
        <v>3928</v>
      </c>
      <c r="D611" t="s">
        <v>6159</v>
      </c>
      <c r="E611" s="2">
        <v>6</v>
      </c>
      <c r="F611" s="2" t="str">
        <f>_xlfn.XLOOKUP(C611,customers!$A$2:$A$1001,customers!$B$2:$B$1001,,0)</f>
        <v>Ancell Fendt</v>
      </c>
      <c r="G611" s="2" t="str">
        <f>_xlfn.XLOOKUP(C611,customers!$A$2:$A$1001,customers!$G$2:$G$1001,,0)</f>
        <v>United States</v>
      </c>
      <c r="H611" t="str">
        <f>INDEX(products!$A$1:$G$49,MATCH(orders!$D611,products!$A$1:$A$49,0),MATCH(orders!H$1,products!$A$1:$G$1,0))</f>
        <v>Lib</v>
      </c>
      <c r="I611" t="str">
        <f>INDEX(products!$A$1:$G$49,MATCH(orders!$D611,products!$A$1:$A$49,0),MATCH(orders!I$1,products!$A$1:$G$1,0))</f>
        <v>M</v>
      </c>
      <c r="J611" s="5">
        <f>INDEX(products!$A$1:$G$49,MATCH(orders!$D611,products!$A$1:$A$49,0),MATCH(orders!J$1,products!$A$1:$G$1,0))</f>
        <v>0.2</v>
      </c>
      <c r="K611" s="6">
        <f>INDEX(products!$A$1:$G$49,MATCH(orders!$D611,products!$A$1:$A$49,0),MATCH(orders!K$1,products!$A$1:$G$1,0))</f>
        <v>4.3650000000000002</v>
      </c>
      <c r="L611" s="6">
        <f>K611*E611</f>
        <v>26.19</v>
      </c>
      <c r="M611" t="str" cm="1">
        <f t="array" ref="M611">_xlfn.IFS(H611="Rob","Robusta",H611="Exc","Excelsa",H611="Ara","Arabica",H611="Lib","Liberica")</f>
        <v>Liberica</v>
      </c>
      <c r="N611" t="str" cm="1">
        <f t="array" ref="N611">_xlfn.IFS(I611="M","Medium",I611="L","Light",I611="D","Dark")</f>
        <v>Medium</v>
      </c>
      <c r="O611" t="str">
        <f>_xlfn.XLOOKUP(Orders[[#This Row],[Customer ID]],customers!$A$2:$A$1001,customers!$I$2:$I$1001,,0)</f>
        <v>Yes</v>
      </c>
    </row>
    <row r="612" spans="1:15" x14ac:dyDescent="0.3">
      <c r="A612" s="2" t="s">
        <v>3933</v>
      </c>
      <c r="B612" s="3">
        <v>43743</v>
      </c>
      <c r="C612" s="2" t="s">
        <v>3934</v>
      </c>
      <c r="D612" t="s">
        <v>6138</v>
      </c>
      <c r="E612" s="2">
        <v>4</v>
      </c>
      <c r="F612" s="2" t="str">
        <f>_xlfn.XLOOKUP(C612,customers!$A$2:$A$1001,customers!$B$2:$B$1001,,0)</f>
        <v>Angelia Cleyburn</v>
      </c>
      <c r="G612" s="2" t="str">
        <f>_xlfn.XLOOKUP(C612,customers!$A$2:$A$1001,customers!$G$2:$G$1001,,0)</f>
        <v>United States</v>
      </c>
      <c r="H612" t="str">
        <f>INDEX(products!$A$1:$G$49,MATCH(orders!$D612,products!$A$1:$A$49,0),MATCH(orders!H$1,products!$A$1:$G$1,0))</f>
        <v>Rob</v>
      </c>
      <c r="I612" t="str">
        <f>INDEX(products!$A$1:$G$49,MATCH(orders!$D612,products!$A$1:$A$49,0),MATCH(orders!I$1,products!$A$1:$G$1,0))</f>
        <v>M</v>
      </c>
      <c r="J612" s="5">
        <f>INDEX(products!$A$1:$G$49,MATCH(orders!$D612,products!$A$1:$A$49,0),MATCH(orders!J$1,products!$A$1:$G$1,0))</f>
        <v>1</v>
      </c>
      <c r="K612" s="6">
        <f>INDEX(products!$A$1:$G$49,MATCH(orders!$D612,products!$A$1:$A$49,0),MATCH(orders!K$1,products!$A$1:$G$1,0))</f>
        <v>9.9499999999999993</v>
      </c>
      <c r="L612" s="6">
        <f>K612*E612</f>
        <v>39.799999999999997</v>
      </c>
      <c r="M612" t="str" cm="1">
        <f t="array" ref="M612">_xlfn.IFS(H612="Rob","Robusta",H612="Exc","Excelsa",H612="Ara","Arabica",H612="Lib","Liberica")</f>
        <v>Robusta</v>
      </c>
      <c r="N612" t="str" cm="1">
        <f t="array" ref="N612">_xlfn.IFS(I612="M","Medium",I612="L","Light",I612="D","Dark")</f>
        <v>Medium</v>
      </c>
      <c r="O612" t="str">
        <f>_xlfn.XLOOKUP(Orders[[#This Row],[Customer ID]],customers!$A$2:$A$1001,customers!$I$2:$I$1001,,0)</f>
        <v>No</v>
      </c>
    </row>
    <row r="613" spans="1:15" x14ac:dyDescent="0.3">
      <c r="A613" s="2" t="s">
        <v>3939</v>
      </c>
      <c r="B613" s="3">
        <v>43739</v>
      </c>
      <c r="C613" s="2" t="s">
        <v>3940</v>
      </c>
      <c r="D613" t="s">
        <v>6148</v>
      </c>
      <c r="E613" s="2">
        <v>2</v>
      </c>
      <c r="F613" s="2" t="str">
        <f>_xlfn.XLOOKUP(C613,customers!$A$2:$A$1001,customers!$B$2:$B$1001,,0)</f>
        <v>Temple Castiglione</v>
      </c>
      <c r="G613" s="2" t="str">
        <f>_xlfn.XLOOKUP(C613,customers!$A$2:$A$1001,customers!$G$2:$G$1001,,0)</f>
        <v>United States</v>
      </c>
      <c r="H613" t="str">
        <f>INDEX(products!$A$1:$G$49,MATCH(orders!$D613,products!$A$1:$A$49,0),MATCH(orders!H$1,products!$A$1:$G$1,0))</f>
        <v>Exc</v>
      </c>
      <c r="I613" t="str">
        <f>INDEX(products!$A$1:$G$49,MATCH(orders!$D613,products!$A$1:$A$49,0),MATCH(orders!I$1,products!$A$1:$G$1,0))</f>
        <v>L</v>
      </c>
      <c r="J613" s="5">
        <f>INDEX(products!$A$1:$G$49,MATCH(orders!$D613,products!$A$1:$A$49,0),MATCH(orders!J$1,products!$A$1:$G$1,0))</f>
        <v>2.5</v>
      </c>
      <c r="K613" s="6">
        <f>INDEX(products!$A$1:$G$49,MATCH(orders!$D613,products!$A$1:$A$49,0),MATCH(orders!K$1,products!$A$1:$G$1,0))</f>
        <v>34.154999999999994</v>
      </c>
      <c r="L613" s="6">
        <f>K613*E613</f>
        <v>68.309999999999988</v>
      </c>
      <c r="M613" t="str" cm="1">
        <f t="array" ref="M613">_xlfn.IFS(H613="Rob","Robusta",H613="Exc","Excelsa",H613="Ara","Arabica",H613="Lib","Liberica")</f>
        <v>Excelsa</v>
      </c>
      <c r="N613" t="str" cm="1">
        <f t="array" ref="N613">_xlfn.IFS(I613="M","Medium",I613="L","Light",I613="D","Dark")</f>
        <v>Light</v>
      </c>
      <c r="O613" t="str">
        <f>_xlfn.XLOOKUP(Orders[[#This Row],[Customer ID]],customers!$A$2:$A$1001,customers!$I$2:$I$1001,,0)</f>
        <v>No</v>
      </c>
    </row>
    <row r="614" spans="1:15" x14ac:dyDescent="0.3">
      <c r="A614" s="2" t="s">
        <v>3945</v>
      </c>
      <c r="B614" s="3">
        <v>43896</v>
      </c>
      <c r="C614" s="2" t="s">
        <v>3946</v>
      </c>
      <c r="D614" t="s">
        <v>6152</v>
      </c>
      <c r="E614" s="2">
        <v>4</v>
      </c>
      <c r="F614" s="2" t="str">
        <f>_xlfn.XLOOKUP(C614,customers!$A$2:$A$1001,customers!$B$2:$B$1001,,0)</f>
        <v>Betti Lacasa</v>
      </c>
      <c r="G614" s="2" t="str">
        <f>_xlfn.XLOOKUP(C614,customers!$A$2:$A$1001,customers!$G$2:$G$1001,,0)</f>
        <v>Ireland</v>
      </c>
      <c r="H614" t="str">
        <f>INDEX(products!$A$1:$G$49,MATCH(orders!$D614,products!$A$1:$A$49,0),MATCH(orders!H$1,products!$A$1:$G$1,0))</f>
        <v>Ara</v>
      </c>
      <c r="I614" t="str">
        <f>INDEX(products!$A$1:$G$49,MATCH(orders!$D614,products!$A$1:$A$49,0),MATCH(orders!I$1,products!$A$1:$G$1,0))</f>
        <v>M</v>
      </c>
      <c r="J614" s="5">
        <f>INDEX(products!$A$1:$G$49,MATCH(orders!$D614,products!$A$1:$A$49,0),MATCH(orders!J$1,products!$A$1:$G$1,0))</f>
        <v>0.2</v>
      </c>
      <c r="K614" s="6">
        <f>INDEX(products!$A$1:$G$49,MATCH(orders!$D614,products!$A$1:$A$49,0),MATCH(orders!K$1,products!$A$1:$G$1,0))</f>
        <v>3.375</v>
      </c>
      <c r="L614" s="6">
        <f>K614*E614</f>
        <v>13.5</v>
      </c>
      <c r="M614" t="str" cm="1">
        <f t="array" ref="M614">_xlfn.IFS(H614="Rob","Robusta",H614="Exc","Excelsa",H614="Ara","Arabica",H614="Lib","Liberica")</f>
        <v>Arabica</v>
      </c>
      <c r="N614" t="str" cm="1">
        <f t="array" ref="N614">_xlfn.IFS(I614="M","Medium",I614="L","Light",I614="D","Dark")</f>
        <v>Medium</v>
      </c>
      <c r="O614" t="str">
        <f>_xlfn.XLOOKUP(Orders[[#This Row],[Customer ID]],customers!$A$2:$A$1001,customers!$I$2:$I$1001,,0)</f>
        <v>No</v>
      </c>
    </row>
    <row r="615" spans="1:15" x14ac:dyDescent="0.3">
      <c r="A615" s="2" t="s">
        <v>3950</v>
      </c>
      <c r="B615" s="3">
        <v>43761</v>
      </c>
      <c r="C615" s="2" t="s">
        <v>3951</v>
      </c>
      <c r="D615" t="s">
        <v>6146</v>
      </c>
      <c r="E615" s="2">
        <v>1</v>
      </c>
      <c r="F615" s="2" t="str">
        <f>_xlfn.XLOOKUP(C615,customers!$A$2:$A$1001,customers!$B$2:$B$1001,,0)</f>
        <v>Gunilla Lynch</v>
      </c>
      <c r="G615" s="2" t="str">
        <f>_xlfn.XLOOKUP(C615,customers!$A$2:$A$1001,customers!$G$2:$G$1001,,0)</f>
        <v>United States</v>
      </c>
      <c r="H615" t="str">
        <f>INDEX(products!$A$1:$G$49,MATCH(orders!$D615,products!$A$1:$A$49,0),MATCH(orders!H$1,products!$A$1:$G$1,0))</f>
        <v>Rob</v>
      </c>
      <c r="I615" t="str">
        <f>INDEX(products!$A$1:$G$49,MATCH(orders!$D615,products!$A$1:$A$49,0),MATCH(orders!I$1,products!$A$1:$G$1,0))</f>
        <v>M</v>
      </c>
      <c r="J615" s="5">
        <f>INDEX(products!$A$1:$G$49,MATCH(orders!$D615,products!$A$1:$A$49,0),MATCH(orders!J$1,products!$A$1:$G$1,0))</f>
        <v>0.5</v>
      </c>
      <c r="K615" s="6">
        <f>INDEX(products!$A$1:$G$49,MATCH(orders!$D615,products!$A$1:$A$49,0),MATCH(orders!K$1,products!$A$1:$G$1,0))</f>
        <v>5.97</v>
      </c>
      <c r="L615" s="6">
        <f>K615*E615</f>
        <v>5.97</v>
      </c>
      <c r="M615" t="str" cm="1">
        <f t="array" ref="M615">_xlfn.IFS(H615="Rob","Robusta",H615="Exc","Excelsa",H615="Ara","Arabica",H615="Lib","Liberica")</f>
        <v>Robusta</v>
      </c>
      <c r="N615" t="str" cm="1">
        <f t="array" ref="N615">_xlfn.IFS(I615="M","Medium",I615="L","Light",I615="D","Dark")</f>
        <v>Medium</v>
      </c>
      <c r="O615" t="str">
        <f>_xlfn.XLOOKUP(Orders[[#This Row],[Customer ID]],customers!$A$2:$A$1001,customers!$I$2:$I$1001,,0)</f>
        <v>No</v>
      </c>
    </row>
    <row r="616" spans="1:15" x14ac:dyDescent="0.3">
      <c r="A616" s="2" t="s">
        <v>3955</v>
      </c>
      <c r="B616" s="3">
        <v>43944</v>
      </c>
      <c r="C616" s="2" t="s">
        <v>3840</v>
      </c>
      <c r="D616" t="s">
        <v>6146</v>
      </c>
      <c r="E616" s="2">
        <v>5</v>
      </c>
      <c r="F616" s="2" t="str">
        <f>_xlfn.XLOOKUP(C616,customers!$A$2:$A$1001,customers!$B$2:$B$1001,,0)</f>
        <v>Cody Verissimo</v>
      </c>
      <c r="G616" s="2" t="str">
        <f>_xlfn.XLOOKUP(C616,customers!$A$2:$A$1001,customers!$G$2:$G$1001,,0)</f>
        <v>United Kingdom</v>
      </c>
      <c r="H616" t="str">
        <f>INDEX(products!$A$1:$G$49,MATCH(orders!$D616,products!$A$1:$A$49,0),MATCH(orders!H$1,products!$A$1:$G$1,0))</f>
        <v>Rob</v>
      </c>
      <c r="I616" t="str">
        <f>INDEX(products!$A$1:$G$49,MATCH(orders!$D616,products!$A$1:$A$49,0),MATCH(orders!I$1,products!$A$1:$G$1,0))</f>
        <v>M</v>
      </c>
      <c r="J616" s="5">
        <f>INDEX(products!$A$1:$G$49,MATCH(orders!$D616,products!$A$1:$A$49,0),MATCH(orders!J$1,products!$A$1:$G$1,0))</f>
        <v>0.5</v>
      </c>
      <c r="K616" s="6">
        <f>INDEX(products!$A$1:$G$49,MATCH(orders!$D616,products!$A$1:$A$49,0),MATCH(orders!K$1,products!$A$1:$G$1,0))</f>
        <v>5.97</v>
      </c>
      <c r="L616" s="6">
        <f>K616*E616</f>
        <v>29.849999999999998</v>
      </c>
      <c r="M616" t="str" cm="1">
        <f t="array" ref="M616">_xlfn.IFS(H616="Rob","Robusta",H616="Exc","Excelsa",H616="Ara","Arabica",H616="Lib","Liberica")</f>
        <v>Robusta</v>
      </c>
      <c r="N616" t="str" cm="1">
        <f t="array" ref="N616">_xlfn.IFS(I616="M","Medium",I616="L","Light",I616="D","Dark")</f>
        <v>Medium</v>
      </c>
      <c r="O616" t="str">
        <f>_xlfn.XLOOKUP(Orders[[#This Row],[Customer ID]],customers!$A$2:$A$1001,customers!$I$2:$I$1001,,0)</f>
        <v>Yes</v>
      </c>
    </row>
    <row r="617" spans="1:15" x14ac:dyDescent="0.3">
      <c r="A617" s="2" t="s">
        <v>3960</v>
      </c>
      <c r="B617" s="3">
        <v>44006</v>
      </c>
      <c r="C617" s="2" t="s">
        <v>3961</v>
      </c>
      <c r="D617" t="s">
        <v>6164</v>
      </c>
      <c r="E617" s="2">
        <v>2</v>
      </c>
      <c r="F617" s="2" t="str">
        <f>_xlfn.XLOOKUP(C617,customers!$A$2:$A$1001,customers!$B$2:$B$1001,,0)</f>
        <v>Shay Couronne</v>
      </c>
      <c r="G617" s="2" t="str">
        <f>_xlfn.XLOOKUP(C617,customers!$A$2:$A$1001,customers!$G$2:$G$1001,,0)</f>
        <v>United States</v>
      </c>
      <c r="H617" t="str">
        <f>INDEX(products!$A$1:$G$49,MATCH(orders!$D617,products!$A$1:$A$49,0),MATCH(orders!H$1,products!$A$1:$G$1,0))</f>
        <v>Lib</v>
      </c>
      <c r="I617" t="str">
        <f>INDEX(products!$A$1:$G$49,MATCH(orders!$D617,products!$A$1:$A$49,0),MATCH(orders!I$1,products!$A$1:$G$1,0))</f>
        <v>L</v>
      </c>
      <c r="J617" s="5">
        <f>INDEX(products!$A$1:$G$49,MATCH(orders!$D617,products!$A$1:$A$49,0),MATCH(orders!J$1,products!$A$1:$G$1,0))</f>
        <v>2.5</v>
      </c>
      <c r="K617" s="6">
        <f>INDEX(products!$A$1:$G$49,MATCH(orders!$D617,products!$A$1:$A$49,0),MATCH(orders!K$1,products!$A$1:$G$1,0))</f>
        <v>36.454999999999998</v>
      </c>
      <c r="L617" s="6">
        <f>K617*E617</f>
        <v>72.91</v>
      </c>
      <c r="M617" t="str" cm="1">
        <f t="array" ref="M617">_xlfn.IFS(H617="Rob","Robusta",H617="Exc","Excelsa",H617="Ara","Arabica",H617="Lib","Liberica")</f>
        <v>Liberica</v>
      </c>
      <c r="N617" t="str" cm="1">
        <f t="array" ref="N617">_xlfn.IFS(I617="M","Medium",I617="L","Light",I617="D","Dark")</f>
        <v>Light</v>
      </c>
      <c r="O617" t="str">
        <f>_xlfn.XLOOKUP(Orders[[#This Row],[Customer ID]],customers!$A$2:$A$1001,customers!$I$2:$I$1001,,0)</f>
        <v>Yes</v>
      </c>
    </row>
    <row r="618" spans="1:15" x14ac:dyDescent="0.3">
      <c r="A618" s="2" t="s">
        <v>3966</v>
      </c>
      <c r="B618" s="3">
        <v>44271</v>
      </c>
      <c r="C618" s="2" t="s">
        <v>3967</v>
      </c>
      <c r="D618" t="s">
        <v>6166</v>
      </c>
      <c r="E618" s="2">
        <v>4</v>
      </c>
      <c r="F618" s="2" t="str">
        <f>_xlfn.XLOOKUP(C618,customers!$A$2:$A$1001,customers!$B$2:$B$1001,,0)</f>
        <v>Linus Flippelli</v>
      </c>
      <c r="G618" s="2" t="str">
        <f>_xlfn.XLOOKUP(C618,customers!$A$2:$A$1001,customers!$G$2:$G$1001,,0)</f>
        <v>United Kingdom</v>
      </c>
      <c r="H618" t="str">
        <f>INDEX(products!$A$1:$G$49,MATCH(orders!$D618,products!$A$1:$A$49,0),MATCH(orders!H$1,products!$A$1:$G$1,0))</f>
        <v>Exc</v>
      </c>
      <c r="I618" t="str">
        <f>INDEX(products!$A$1:$G$49,MATCH(orders!$D618,products!$A$1:$A$49,0),MATCH(orders!I$1,products!$A$1:$G$1,0))</f>
        <v>M</v>
      </c>
      <c r="J618" s="5">
        <f>INDEX(products!$A$1:$G$49,MATCH(orders!$D618,products!$A$1:$A$49,0),MATCH(orders!J$1,products!$A$1:$G$1,0))</f>
        <v>2.5</v>
      </c>
      <c r="K618" s="6">
        <f>INDEX(products!$A$1:$G$49,MATCH(orders!$D618,products!$A$1:$A$49,0),MATCH(orders!K$1,products!$A$1:$G$1,0))</f>
        <v>31.624999999999996</v>
      </c>
      <c r="L618" s="6">
        <f>K618*E618</f>
        <v>126.49999999999999</v>
      </c>
      <c r="M618" t="str" cm="1">
        <f t="array" ref="M618">_xlfn.IFS(H618="Rob","Robusta",H618="Exc","Excelsa",H618="Ara","Arabica",H618="Lib","Liberica")</f>
        <v>Excelsa</v>
      </c>
      <c r="N618" t="str" cm="1">
        <f t="array" ref="N618">_xlfn.IFS(I618="M","Medium",I618="L","Light",I618="D","Dark")</f>
        <v>Medium</v>
      </c>
      <c r="O618" t="str">
        <f>_xlfn.XLOOKUP(Orders[[#This Row],[Customer ID]],customers!$A$2:$A$1001,customers!$I$2:$I$1001,,0)</f>
        <v>No</v>
      </c>
    </row>
    <row r="619" spans="1:15" x14ac:dyDescent="0.3">
      <c r="A619" s="2" t="s">
        <v>3972</v>
      </c>
      <c r="B619" s="3">
        <v>43928</v>
      </c>
      <c r="C619" s="2" t="s">
        <v>3973</v>
      </c>
      <c r="D619" t="s">
        <v>6181</v>
      </c>
      <c r="E619" s="2">
        <v>1</v>
      </c>
      <c r="F619" s="2" t="str">
        <f>_xlfn.XLOOKUP(C619,customers!$A$2:$A$1001,customers!$B$2:$B$1001,,0)</f>
        <v>Rachelle Elizabeth</v>
      </c>
      <c r="G619" s="2" t="str">
        <f>_xlfn.XLOOKUP(C619,customers!$A$2:$A$1001,customers!$G$2:$G$1001,,0)</f>
        <v>United States</v>
      </c>
      <c r="H619" t="str">
        <f>INDEX(products!$A$1:$G$49,MATCH(orders!$D619,products!$A$1:$A$49,0),MATCH(orders!H$1,products!$A$1:$G$1,0))</f>
        <v>Lib</v>
      </c>
      <c r="I619" t="str">
        <f>INDEX(products!$A$1:$G$49,MATCH(orders!$D619,products!$A$1:$A$49,0),MATCH(orders!I$1,products!$A$1:$G$1,0))</f>
        <v>M</v>
      </c>
      <c r="J619" s="5">
        <f>INDEX(products!$A$1:$G$49,MATCH(orders!$D619,products!$A$1:$A$49,0),MATCH(orders!J$1,products!$A$1:$G$1,0))</f>
        <v>2.5</v>
      </c>
      <c r="K619" s="6">
        <f>INDEX(products!$A$1:$G$49,MATCH(orders!$D619,products!$A$1:$A$49,0),MATCH(orders!K$1,products!$A$1:$G$1,0))</f>
        <v>33.464999999999996</v>
      </c>
      <c r="L619" s="6">
        <f>K619*E619</f>
        <v>33.464999999999996</v>
      </c>
      <c r="M619" t="str" cm="1">
        <f t="array" ref="M619">_xlfn.IFS(H619="Rob","Robusta",H619="Exc","Excelsa",H619="Ara","Arabica",H619="Lib","Liberica")</f>
        <v>Liberica</v>
      </c>
      <c r="N619" t="str" cm="1">
        <f t="array" ref="N619">_xlfn.IFS(I619="M","Medium",I619="L","Light",I619="D","Dark")</f>
        <v>Medium</v>
      </c>
      <c r="O619" t="str">
        <f>_xlfn.XLOOKUP(Orders[[#This Row],[Customer ID]],customers!$A$2:$A$1001,customers!$I$2:$I$1001,,0)</f>
        <v>No</v>
      </c>
    </row>
    <row r="620" spans="1:15" x14ac:dyDescent="0.3">
      <c r="A620" s="2" t="s">
        <v>3978</v>
      </c>
      <c r="B620" s="3">
        <v>44469</v>
      </c>
      <c r="C620" s="2" t="s">
        <v>3979</v>
      </c>
      <c r="D620" t="s">
        <v>6183</v>
      </c>
      <c r="E620" s="2">
        <v>6</v>
      </c>
      <c r="F620" s="2" t="str">
        <f>_xlfn.XLOOKUP(C620,customers!$A$2:$A$1001,customers!$B$2:$B$1001,,0)</f>
        <v>Innis Renhard</v>
      </c>
      <c r="G620" s="2" t="str">
        <f>_xlfn.XLOOKUP(C620,customers!$A$2:$A$1001,customers!$G$2:$G$1001,,0)</f>
        <v>United States</v>
      </c>
      <c r="H620" t="str">
        <f>INDEX(products!$A$1:$G$49,MATCH(orders!$D620,products!$A$1:$A$49,0),MATCH(orders!H$1,products!$A$1:$G$1,0))</f>
        <v>Exc</v>
      </c>
      <c r="I620" t="str">
        <f>INDEX(products!$A$1:$G$49,MATCH(orders!$D620,products!$A$1:$A$49,0),MATCH(orders!I$1,products!$A$1:$G$1,0))</f>
        <v>D</v>
      </c>
      <c r="J620" s="5">
        <f>INDEX(products!$A$1:$G$49,MATCH(orders!$D620,products!$A$1:$A$49,0),MATCH(orders!J$1,products!$A$1:$G$1,0))</f>
        <v>1</v>
      </c>
      <c r="K620" s="6">
        <f>INDEX(products!$A$1:$G$49,MATCH(orders!$D620,products!$A$1:$A$49,0),MATCH(orders!K$1,products!$A$1:$G$1,0))</f>
        <v>12.15</v>
      </c>
      <c r="L620" s="6">
        <f>K620*E620</f>
        <v>72.900000000000006</v>
      </c>
      <c r="M620" t="str" cm="1">
        <f t="array" ref="M620">_xlfn.IFS(H620="Rob","Robusta",H620="Exc","Excelsa",H620="Ara","Arabica",H620="Lib","Liberica")</f>
        <v>Excelsa</v>
      </c>
      <c r="N620" t="str" cm="1">
        <f t="array" ref="N620">_xlfn.IFS(I620="M","Medium",I620="L","Light",I620="D","Dark")</f>
        <v>Dark</v>
      </c>
      <c r="O620" t="str">
        <f>_xlfn.XLOOKUP(Orders[[#This Row],[Customer ID]],customers!$A$2:$A$1001,customers!$I$2:$I$1001,,0)</f>
        <v>Yes</v>
      </c>
    </row>
    <row r="621" spans="1:15" x14ac:dyDescent="0.3">
      <c r="A621" s="2" t="s">
        <v>3984</v>
      </c>
      <c r="B621" s="3">
        <v>44682</v>
      </c>
      <c r="C621" s="2" t="s">
        <v>3985</v>
      </c>
      <c r="D621" t="s">
        <v>6169</v>
      </c>
      <c r="E621" s="2">
        <v>2</v>
      </c>
      <c r="F621" s="2" t="str">
        <f>_xlfn.XLOOKUP(C621,customers!$A$2:$A$1001,customers!$B$2:$B$1001,,0)</f>
        <v>Winne Roche</v>
      </c>
      <c r="G621" s="2" t="str">
        <f>_xlfn.XLOOKUP(C621,customers!$A$2:$A$1001,customers!$G$2:$G$1001,,0)</f>
        <v>United States</v>
      </c>
      <c r="H621" t="str">
        <f>INDEX(products!$A$1:$G$49,MATCH(orders!$D621,products!$A$1:$A$49,0),MATCH(orders!H$1,products!$A$1:$G$1,0))</f>
        <v>Lib</v>
      </c>
      <c r="I621" t="str">
        <f>INDEX(products!$A$1:$G$49,MATCH(orders!$D621,products!$A$1:$A$49,0),MATCH(orders!I$1,products!$A$1:$G$1,0))</f>
        <v>D</v>
      </c>
      <c r="J621" s="5">
        <f>INDEX(products!$A$1:$G$49,MATCH(orders!$D621,products!$A$1:$A$49,0),MATCH(orders!J$1,products!$A$1:$G$1,0))</f>
        <v>0.5</v>
      </c>
      <c r="K621" s="6">
        <f>INDEX(products!$A$1:$G$49,MATCH(orders!$D621,products!$A$1:$A$49,0),MATCH(orders!K$1,products!$A$1:$G$1,0))</f>
        <v>7.77</v>
      </c>
      <c r="L621" s="6">
        <f>K621*E621</f>
        <v>15.54</v>
      </c>
      <c r="M621" t="str" cm="1">
        <f t="array" ref="M621">_xlfn.IFS(H621="Rob","Robusta",H621="Exc","Excelsa",H621="Ara","Arabica",H621="Lib","Liberica")</f>
        <v>Liberica</v>
      </c>
      <c r="N621" t="str" cm="1">
        <f t="array" ref="N621">_xlfn.IFS(I621="M","Medium",I621="L","Light",I621="D","Dark")</f>
        <v>Dark</v>
      </c>
      <c r="O621" t="str">
        <f>_xlfn.XLOOKUP(Orders[[#This Row],[Customer ID]],customers!$A$2:$A$1001,customers!$I$2:$I$1001,,0)</f>
        <v>Yes</v>
      </c>
    </row>
    <row r="622" spans="1:15" x14ac:dyDescent="0.3">
      <c r="A622" s="2" t="s">
        <v>3990</v>
      </c>
      <c r="B622" s="3">
        <v>44217</v>
      </c>
      <c r="C622" s="2" t="s">
        <v>4042</v>
      </c>
      <c r="D622" t="s">
        <v>6152</v>
      </c>
      <c r="E622" s="2">
        <v>6</v>
      </c>
      <c r="F622" s="2" t="str">
        <f>_xlfn.XLOOKUP(C622,customers!$A$2:$A$1001,customers!$B$2:$B$1001,,0)</f>
        <v>Linn Alaway</v>
      </c>
      <c r="G622" s="2" t="str">
        <f>_xlfn.XLOOKUP(C622,customers!$A$2:$A$1001,customers!$G$2:$G$1001,,0)</f>
        <v>United States</v>
      </c>
      <c r="H622" t="str">
        <f>INDEX(products!$A$1:$G$49,MATCH(orders!$D622,products!$A$1:$A$49,0),MATCH(orders!H$1,products!$A$1:$G$1,0))</f>
        <v>Ara</v>
      </c>
      <c r="I622" t="str">
        <f>INDEX(products!$A$1:$G$49,MATCH(orders!$D622,products!$A$1:$A$49,0),MATCH(orders!I$1,products!$A$1:$G$1,0))</f>
        <v>M</v>
      </c>
      <c r="J622" s="5">
        <f>INDEX(products!$A$1:$G$49,MATCH(orders!$D622,products!$A$1:$A$49,0),MATCH(orders!J$1,products!$A$1:$G$1,0))</f>
        <v>0.2</v>
      </c>
      <c r="K622" s="6">
        <f>INDEX(products!$A$1:$G$49,MATCH(orders!$D622,products!$A$1:$A$49,0),MATCH(orders!K$1,products!$A$1:$G$1,0))</f>
        <v>3.375</v>
      </c>
      <c r="L622" s="6">
        <f>K622*E622</f>
        <v>20.25</v>
      </c>
      <c r="M622" t="str" cm="1">
        <f t="array" ref="M622">_xlfn.IFS(H622="Rob","Robusta",H622="Exc","Excelsa",H622="Ara","Arabica",H622="Lib","Liberica")</f>
        <v>Arabica</v>
      </c>
      <c r="N622" t="str" cm="1">
        <f t="array" ref="N622">_xlfn.IFS(I622="M","Medium",I622="L","Light",I622="D","Dark")</f>
        <v>Medium</v>
      </c>
      <c r="O622" t="str">
        <f>_xlfn.XLOOKUP(Orders[[#This Row],[Customer ID]],customers!$A$2:$A$1001,customers!$I$2:$I$1001,,0)</f>
        <v>No</v>
      </c>
    </row>
    <row r="623" spans="1:15" x14ac:dyDescent="0.3">
      <c r="A623" s="2" t="s">
        <v>3996</v>
      </c>
      <c r="B623" s="3">
        <v>44006</v>
      </c>
      <c r="C623" s="2" t="s">
        <v>3997</v>
      </c>
      <c r="D623" t="s">
        <v>6140</v>
      </c>
      <c r="E623" s="2">
        <v>6</v>
      </c>
      <c r="F623" s="2" t="str">
        <f>_xlfn.XLOOKUP(C623,customers!$A$2:$A$1001,customers!$B$2:$B$1001,,0)</f>
        <v>Cordy Odgaard</v>
      </c>
      <c r="G623" s="2" t="str">
        <f>_xlfn.XLOOKUP(C623,customers!$A$2:$A$1001,customers!$G$2:$G$1001,,0)</f>
        <v>United States</v>
      </c>
      <c r="H623" t="str">
        <f>INDEX(products!$A$1:$G$49,MATCH(orders!$D623,products!$A$1:$A$49,0),MATCH(orders!H$1,products!$A$1:$G$1,0))</f>
        <v>Ara</v>
      </c>
      <c r="I623" t="str">
        <f>INDEX(products!$A$1:$G$49,MATCH(orders!$D623,products!$A$1:$A$49,0),MATCH(orders!I$1,products!$A$1:$G$1,0))</f>
        <v>L</v>
      </c>
      <c r="J623" s="5">
        <f>INDEX(products!$A$1:$G$49,MATCH(orders!$D623,products!$A$1:$A$49,0),MATCH(orders!J$1,products!$A$1:$G$1,0))</f>
        <v>1</v>
      </c>
      <c r="K623" s="6">
        <f>INDEX(products!$A$1:$G$49,MATCH(orders!$D623,products!$A$1:$A$49,0),MATCH(orders!K$1,products!$A$1:$G$1,0))</f>
        <v>12.95</v>
      </c>
      <c r="L623" s="6">
        <f>K623*E623</f>
        <v>77.699999999999989</v>
      </c>
      <c r="M623" t="str" cm="1">
        <f t="array" ref="M623">_xlfn.IFS(H623="Rob","Robusta",H623="Exc","Excelsa",H623="Ara","Arabica",H623="Lib","Liberica")</f>
        <v>Arabica</v>
      </c>
      <c r="N623" t="str" cm="1">
        <f t="array" ref="N623">_xlfn.IFS(I623="M","Medium",I623="L","Light",I623="D","Dark")</f>
        <v>Light</v>
      </c>
      <c r="O623" t="str">
        <f>_xlfn.XLOOKUP(Orders[[#This Row],[Customer ID]],customers!$A$2:$A$1001,customers!$I$2:$I$1001,,0)</f>
        <v>No</v>
      </c>
    </row>
    <row r="624" spans="1:15" x14ac:dyDescent="0.3">
      <c r="A624" s="2" t="s">
        <v>4002</v>
      </c>
      <c r="B624" s="3">
        <v>43527</v>
      </c>
      <c r="C624" s="2" t="s">
        <v>4003</v>
      </c>
      <c r="D624" t="s">
        <v>6181</v>
      </c>
      <c r="E624" s="2">
        <v>4</v>
      </c>
      <c r="F624" s="2" t="str">
        <f>_xlfn.XLOOKUP(C624,customers!$A$2:$A$1001,customers!$B$2:$B$1001,,0)</f>
        <v>Bertine Byrd</v>
      </c>
      <c r="G624" s="2" t="str">
        <f>_xlfn.XLOOKUP(C624,customers!$A$2:$A$1001,customers!$G$2:$G$1001,,0)</f>
        <v>United States</v>
      </c>
      <c r="H624" t="str">
        <f>INDEX(products!$A$1:$G$49,MATCH(orders!$D624,products!$A$1:$A$49,0),MATCH(orders!H$1,products!$A$1:$G$1,0))</f>
        <v>Lib</v>
      </c>
      <c r="I624" t="str">
        <f>INDEX(products!$A$1:$G$49,MATCH(orders!$D624,products!$A$1:$A$49,0),MATCH(orders!I$1,products!$A$1:$G$1,0))</f>
        <v>M</v>
      </c>
      <c r="J624" s="5">
        <f>INDEX(products!$A$1:$G$49,MATCH(orders!$D624,products!$A$1:$A$49,0),MATCH(orders!J$1,products!$A$1:$G$1,0))</f>
        <v>2.5</v>
      </c>
      <c r="K624" s="6">
        <f>INDEX(products!$A$1:$G$49,MATCH(orders!$D624,products!$A$1:$A$49,0),MATCH(orders!K$1,products!$A$1:$G$1,0))</f>
        <v>33.464999999999996</v>
      </c>
      <c r="L624" s="6">
        <f>K624*E624</f>
        <v>133.85999999999999</v>
      </c>
      <c r="M624" t="str" cm="1">
        <f t="array" ref="M624">_xlfn.IFS(H624="Rob","Robusta",H624="Exc","Excelsa",H624="Ara","Arabica",H624="Lib","Liberica")</f>
        <v>Liberica</v>
      </c>
      <c r="N624" t="str" cm="1">
        <f t="array" ref="N624">_xlfn.IFS(I624="M","Medium",I624="L","Light",I624="D","Dark")</f>
        <v>Medium</v>
      </c>
      <c r="O624" t="str">
        <f>_xlfn.XLOOKUP(Orders[[#This Row],[Customer ID]],customers!$A$2:$A$1001,customers!$I$2:$I$1001,,0)</f>
        <v>No</v>
      </c>
    </row>
    <row r="625" spans="1:15" x14ac:dyDescent="0.3">
      <c r="A625" s="2" t="s">
        <v>4007</v>
      </c>
      <c r="B625" s="3">
        <v>44224</v>
      </c>
      <c r="C625" s="2" t="s">
        <v>4008</v>
      </c>
      <c r="D625" t="s">
        <v>6183</v>
      </c>
      <c r="E625" s="2">
        <v>1</v>
      </c>
      <c r="F625" s="2" t="str">
        <f>_xlfn.XLOOKUP(C625,customers!$A$2:$A$1001,customers!$B$2:$B$1001,,0)</f>
        <v>Nelie Garnson</v>
      </c>
      <c r="G625" s="2" t="str">
        <f>_xlfn.XLOOKUP(C625,customers!$A$2:$A$1001,customers!$G$2:$G$1001,,0)</f>
        <v>United Kingdom</v>
      </c>
      <c r="H625" t="str">
        <f>INDEX(products!$A$1:$G$49,MATCH(orders!$D625,products!$A$1:$A$49,0),MATCH(orders!H$1,products!$A$1:$G$1,0))</f>
        <v>Exc</v>
      </c>
      <c r="I625" t="str">
        <f>INDEX(products!$A$1:$G$49,MATCH(orders!$D625,products!$A$1:$A$49,0),MATCH(orders!I$1,products!$A$1:$G$1,0))</f>
        <v>D</v>
      </c>
      <c r="J625" s="5">
        <f>INDEX(products!$A$1:$G$49,MATCH(orders!$D625,products!$A$1:$A$49,0),MATCH(orders!J$1,products!$A$1:$G$1,0))</f>
        <v>1</v>
      </c>
      <c r="K625" s="6">
        <f>INDEX(products!$A$1:$G$49,MATCH(orders!$D625,products!$A$1:$A$49,0),MATCH(orders!K$1,products!$A$1:$G$1,0))</f>
        <v>12.15</v>
      </c>
      <c r="L625" s="6">
        <f>K625*E625</f>
        <v>12.15</v>
      </c>
      <c r="M625" t="str" cm="1">
        <f t="array" ref="M625">_xlfn.IFS(H625="Rob","Robusta",H625="Exc","Excelsa",H625="Ara","Arabica",H625="Lib","Liberica")</f>
        <v>Excelsa</v>
      </c>
      <c r="N625" t="str" cm="1">
        <f t="array" ref="N625">_xlfn.IFS(I625="M","Medium",I625="L","Light",I625="D","Dark")</f>
        <v>Dark</v>
      </c>
      <c r="O625" t="str">
        <f>_xlfn.XLOOKUP(Orders[[#This Row],[Customer ID]],customers!$A$2:$A$1001,customers!$I$2:$I$1001,,0)</f>
        <v>No</v>
      </c>
    </row>
    <row r="626" spans="1:15" x14ac:dyDescent="0.3">
      <c r="A626" s="2" t="s">
        <v>4012</v>
      </c>
      <c r="B626" s="3">
        <v>44010</v>
      </c>
      <c r="C626" s="2" t="s">
        <v>4013</v>
      </c>
      <c r="D626" t="s">
        <v>6166</v>
      </c>
      <c r="E626" s="2">
        <v>2</v>
      </c>
      <c r="F626" s="2" t="str">
        <f>_xlfn.XLOOKUP(C626,customers!$A$2:$A$1001,customers!$B$2:$B$1001,,0)</f>
        <v>Dianne Chardin</v>
      </c>
      <c r="G626" s="2" t="str">
        <f>_xlfn.XLOOKUP(C626,customers!$A$2:$A$1001,customers!$G$2:$G$1001,,0)</f>
        <v>Ireland</v>
      </c>
      <c r="H626" t="str">
        <f>INDEX(products!$A$1:$G$49,MATCH(orders!$D626,products!$A$1:$A$49,0),MATCH(orders!H$1,products!$A$1:$G$1,0))</f>
        <v>Exc</v>
      </c>
      <c r="I626" t="str">
        <f>INDEX(products!$A$1:$G$49,MATCH(orders!$D626,products!$A$1:$A$49,0),MATCH(orders!I$1,products!$A$1:$G$1,0))</f>
        <v>M</v>
      </c>
      <c r="J626" s="5">
        <f>INDEX(products!$A$1:$G$49,MATCH(orders!$D626,products!$A$1:$A$49,0),MATCH(orders!J$1,products!$A$1:$G$1,0))</f>
        <v>2.5</v>
      </c>
      <c r="K626" s="6">
        <f>INDEX(products!$A$1:$G$49,MATCH(orders!$D626,products!$A$1:$A$49,0),MATCH(orders!K$1,products!$A$1:$G$1,0))</f>
        <v>31.624999999999996</v>
      </c>
      <c r="L626" s="6">
        <f>K626*E626</f>
        <v>63.249999999999993</v>
      </c>
      <c r="M626" t="str" cm="1">
        <f t="array" ref="M626">_xlfn.IFS(H626="Rob","Robusta",H626="Exc","Excelsa",H626="Ara","Arabica",H626="Lib","Liberica")</f>
        <v>Excelsa</v>
      </c>
      <c r="N626" t="str" cm="1">
        <f t="array" ref="N626">_xlfn.IFS(I626="M","Medium",I626="L","Light",I626="D","Dark")</f>
        <v>Medium</v>
      </c>
      <c r="O626" t="str">
        <f>_xlfn.XLOOKUP(Orders[[#This Row],[Customer ID]],customers!$A$2:$A$1001,customers!$I$2:$I$1001,,0)</f>
        <v>Yes</v>
      </c>
    </row>
    <row r="627" spans="1:15" x14ac:dyDescent="0.3">
      <c r="A627" s="2" t="s">
        <v>4017</v>
      </c>
      <c r="B627" s="3">
        <v>44017</v>
      </c>
      <c r="C627" s="2" t="s">
        <v>4018</v>
      </c>
      <c r="D627" t="s">
        <v>6173</v>
      </c>
      <c r="E627" s="2">
        <v>5</v>
      </c>
      <c r="F627" s="2" t="str">
        <f>_xlfn.XLOOKUP(C627,customers!$A$2:$A$1001,customers!$B$2:$B$1001,,0)</f>
        <v>Hailee Radbone</v>
      </c>
      <c r="G627" s="2" t="str">
        <f>_xlfn.XLOOKUP(C627,customers!$A$2:$A$1001,customers!$G$2:$G$1001,,0)</f>
        <v>United States</v>
      </c>
      <c r="H627" t="str">
        <f>INDEX(products!$A$1:$G$49,MATCH(orders!$D627,products!$A$1:$A$49,0),MATCH(orders!H$1,products!$A$1:$G$1,0))</f>
        <v>Rob</v>
      </c>
      <c r="I627" t="str">
        <f>INDEX(products!$A$1:$G$49,MATCH(orders!$D627,products!$A$1:$A$49,0),MATCH(orders!I$1,products!$A$1:$G$1,0))</f>
        <v>L</v>
      </c>
      <c r="J627" s="5">
        <f>INDEX(products!$A$1:$G$49,MATCH(orders!$D627,products!$A$1:$A$49,0),MATCH(orders!J$1,products!$A$1:$G$1,0))</f>
        <v>0.5</v>
      </c>
      <c r="K627" s="6">
        <f>INDEX(products!$A$1:$G$49,MATCH(orders!$D627,products!$A$1:$A$49,0),MATCH(orders!K$1,products!$A$1:$G$1,0))</f>
        <v>7.169999999999999</v>
      </c>
      <c r="L627" s="6">
        <f>K627*E627</f>
        <v>35.849999999999994</v>
      </c>
      <c r="M627" t="str" cm="1">
        <f t="array" ref="M627">_xlfn.IFS(H627="Rob","Robusta",H627="Exc","Excelsa",H627="Ara","Arabica",H627="Lib","Liberica")</f>
        <v>Robusta</v>
      </c>
      <c r="N627" t="str" cm="1">
        <f t="array" ref="N627">_xlfn.IFS(I627="M","Medium",I627="L","Light",I627="D","Dark")</f>
        <v>Light</v>
      </c>
      <c r="O627" t="str">
        <f>_xlfn.XLOOKUP(Orders[[#This Row],[Customer ID]],customers!$A$2:$A$1001,customers!$I$2:$I$1001,,0)</f>
        <v>No</v>
      </c>
    </row>
    <row r="628" spans="1:15" x14ac:dyDescent="0.3">
      <c r="A628" s="2" t="s">
        <v>4023</v>
      </c>
      <c r="B628" s="3">
        <v>43526</v>
      </c>
      <c r="C628" s="2" t="s">
        <v>4024</v>
      </c>
      <c r="D628" t="s">
        <v>6175</v>
      </c>
      <c r="E628" s="2">
        <v>3</v>
      </c>
      <c r="F628" s="2" t="str">
        <f>_xlfn.XLOOKUP(C628,customers!$A$2:$A$1001,customers!$B$2:$B$1001,,0)</f>
        <v>Wallis Bernth</v>
      </c>
      <c r="G628" s="2" t="str">
        <f>_xlfn.XLOOKUP(C628,customers!$A$2:$A$1001,customers!$G$2:$G$1001,,0)</f>
        <v>United States</v>
      </c>
      <c r="H628" t="str">
        <f>INDEX(products!$A$1:$G$49,MATCH(orders!$D628,products!$A$1:$A$49,0),MATCH(orders!H$1,products!$A$1:$G$1,0))</f>
        <v>Ara</v>
      </c>
      <c r="I628" t="str">
        <f>INDEX(products!$A$1:$G$49,MATCH(orders!$D628,products!$A$1:$A$49,0),MATCH(orders!I$1,products!$A$1:$G$1,0))</f>
        <v>M</v>
      </c>
      <c r="J628" s="5">
        <f>INDEX(products!$A$1:$G$49,MATCH(orders!$D628,products!$A$1:$A$49,0),MATCH(orders!J$1,products!$A$1:$G$1,0))</f>
        <v>2.5</v>
      </c>
      <c r="K628" s="6">
        <f>INDEX(products!$A$1:$G$49,MATCH(orders!$D628,products!$A$1:$A$49,0),MATCH(orders!K$1,products!$A$1:$G$1,0))</f>
        <v>25.874999999999996</v>
      </c>
      <c r="L628" s="6">
        <f>K628*E628</f>
        <v>77.624999999999986</v>
      </c>
      <c r="M628" t="str" cm="1">
        <f t="array" ref="M628">_xlfn.IFS(H628="Rob","Robusta",H628="Exc","Excelsa",H628="Ara","Arabica",H628="Lib","Liberica")</f>
        <v>Arabica</v>
      </c>
      <c r="N628" t="str" cm="1">
        <f t="array" ref="N628">_xlfn.IFS(I628="M","Medium",I628="L","Light",I628="D","Dark")</f>
        <v>Medium</v>
      </c>
      <c r="O628" t="str">
        <f>_xlfn.XLOOKUP(Orders[[#This Row],[Customer ID]],customers!$A$2:$A$1001,customers!$I$2:$I$1001,,0)</f>
        <v>No</v>
      </c>
    </row>
    <row r="629" spans="1:15" x14ac:dyDescent="0.3">
      <c r="A629" s="2" t="s">
        <v>4029</v>
      </c>
      <c r="B629" s="3">
        <v>44682</v>
      </c>
      <c r="C629" s="2" t="s">
        <v>4030</v>
      </c>
      <c r="D629" t="s">
        <v>6166</v>
      </c>
      <c r="E629" s="2">
        <v>2</v>
      </c>
      <c r="F629" s="2" t="str">
        <f>_xlfn.XLOOKUP(C629,customers!$A$2:$A$1001,customers!$B$2:$B$1001,,0)</f>
        <v>Byron Acarson</v>
      </c>
      <c r="G629" s="2" t="str">
        <f>_xlfn.XLOOKUP(C629,customers!$A$2:$A$1001,customers!$G$2:$G$1001,,0)</f>
        <v>United States</v>
      </c>
      <c r="H629" t="str">
        <f>INDEX(products!$A$1:$G$49,MATCH(orders!$D629,products!$A$1:$A$49,0),MATCH(orders!H$1,products!$A$1:$G$1,0))</f>
        <v>Exc</v>
      </c>
      <c r="I629" t="str">
        <f>INDEX(products!$A$1:$G$49,MATCH(orders!$D629,products!$A$1:$A$49,0),MATCH(orders!I$1,products!$A$1:$G$1,0))</f>
        <v>M</v>
      </c>
      <c r="J629" s="5">
        <f>INDEX(products!$A$1:$G$49,MATCH(orders!$D629,products!$A$1:$A$49,0),MATCH(orders!J$1,products!$A$1:$G$1,0))</f>
        <v>2.5</v>
      </c>
      <c r="K629" s="6">
        <f>INDEX(products!$A$1:$G$49,MATCH(orders!$D629,products!$A$1:$A$49,0),MATCH(orders!K$1,products!$A$1:$G$1,0))</f>
        <v>31.624999999999996</v>
      </c>
      <c r="L629" s="6">
        <f>K629*E629</f>
        <v>63.249999999999993</v>
      </c>
      <c r="M629" t="str" cm="1">
        <f t="array" ref="M629">_xlfn.IFS(H629="Rob","Robusta",H629="Exc","Excelsa",H629="Ara","Arabica",H629="Lib","Liberica")</f>
        <v>Excelsa</v>
      </c>
      <c r="N629" t="str" cm="1">
        <f t="array" ref="N629">_xlfn.IFS(I629="M","Medium",I629="L","Light",I629="D","Dark")</f>
        <v>Medium</v>
      </c>
      <c r="O629" t="str">
        <f>_xlfn.XLOOKUP(Orders[[#This Row],[Customer ID]],customers!$A$2:$A$1001,customers!$I$2:$I$1001,,0)</f>
        <v>Yes</v>
      </c>
    </row>
    <row r="630" spans="1:15" x14ac:dyDescent="0.3">
      <c r="A630" s="2" t="s">
        <v>4035</v>
      </c>
      <c r="B630" s="3">
        <v>44680</v>
      </c>
      <c r="C630" s="2" t="s">
        <v>4036</v>
      </c>
      <c r="D630" t="s">
        <v>6184</v>
      </c>
      <c r="E630" s="2">
        <v>6</v>
      </c>
      <c r="F630" s="2" t="str">
        <f>_xlfn.XLOOKUP(C630,customers!$A$2:$A$1001,customers!$B$2:$B$1001,,0)</f>
        <v>Faunie Brigham</v>
      </c>
      <c r="G630" s="2" t="str">
        <f>_xlfn.XLOOKUP(C630,customers!$A$2:$A$1001,customers!$G$2:$G$1001,,0)</f>
        <v>Ireland</v>
      </c>
      <c r="H630" t="str">
        <f>INDEX(products!$A$1:$G$49,MATCH(orders!$D630,products!$A$1:$A$49,0),MATCH(orders!H$1,products!$A$1:$G$1,0))</f>
        <v>Exc</v>
      </c>
      <c r="I630" t="str">
        <f>INDEX(products!$A$1:$G$49,MATCH(orders!$D630,products!$A$1:$A$49,0),MATCH(orders!I$1,products!$A$1:$G$1,0))</f>
        <v>L</v>
      </c>
      <c r="J630" s="5">
        <f>INDEX(products!$A$1:$G$49,MATCH(orders!$D630,products!$A$1:$A$49,0),MATCH(orders!J$1,products!$A$1:$G$1,0))</f>
        <v>0.2</v>
      </c>
      <c r="K630" s="6">
        <f>INDEX(products!$A$1:$G$49,MATCH(orders!$D630,products!$A$1:$A$49,0),MATCH(orders!K$1,products!$A$1:$G$1,0))</f>
        <v>4.4550000000000001</v>
      </c>
      <c r="L630" s="6">
        <f>K630*E630</f>
        <v>26.73</v>
      </c>
      <c r="M630" t="str" cm="1">
        <f t="array" ref="M630">_xlfn.IFS(H630="Rob","Robusta",H630="Exc","Excelsa",H630="Ara","Arabica",H630="Lib","Liberica")</f>
        <v>Excelsa</v>
      </c>
      <c r="N630" t="str" cm="1">
        <f t="array" ref="N630">_xlfn.IFS(I630="M","Medium",I630="L","Light",I630="D","Dark")</f>
        <v>Light</v>
      </c>
      <c r="O630" t="str">
        <f>_xlfn.XLOOKUP(Orders[[#This Row],[Customer ID]],customers!$A$2:$A$1001,customers!$I$2:$I$1001,,0)</f>
        <v>Yes</v>
      </c>
    </row>
    <row r="631" spans="1:15" x14ac:dyDescent="0.3">
      <c r="A631" s="2" t="s">
        <v>4035</v>
      </c>
      <c r="B631" s="3">
        <v>44680</v>
      </c>
      <c r="C631" s="2" t="s">
        <v>4036</v>
      </c>
      <c r="D631" t="s">
        <v>6169</v>
      </c>
      <c r="E631" s="2">
        <v>4</v>
      </c>
      <c r="F631" s="2" t="str">
        <f>_xlfn.XLOOKUP(C631,customers!$A$2:$A$1001,customers!$B$2:$B$1001,,0)</f>
        <v>Faunie Brigham</v>
      </c>
      <c r="G631" s="2" t="str">
        <f>_xlfn.XLOOKUP(C631,customers!$A$2:$A$1001,customers!$G$2:$G$1001,,0)</f>
        <v>Ireland</v>
      </c>
      <c r="H631" t="str">
        <f>INDEX(products!$A$1:$G$49,MATCH(orders!$D631,products!$A$1:$A$49,0),MATCH(orders!H$1,products!$A$1:$G$1,0))</f>
        <v>Lib</v>
      </c>
      <c r="I631" t="str">
        <f>INDEX(products!$A$1:$G$49,MATCH(orders!$D631,products!$A$1:$A$49,0),MATCH(orders!I$1,products!$A$1:$G$1,0))</f>
        <v>D</v>
      </c>
      <c r="J631" s="5">
        <f>INDEX(products!$A$1:$G$49,MATCH(orders!$D631,products!$A$1:$A$49,0),MATCH(orders!J$1,products!$A$1:$G$1,0))</f>
        <v>0.5</v>
      </c>
      <c r="K631" s="6">
        <f>INDEX(products!$A$1:$G$49,MATCH(orders!$D631,products!$A$1:$A$49,0),MATCH(orders!K$1,products!$A$1:$G$1,0))</f>
        <v>7.77</v>
      </c>
      <c r="L631" s="6">
        <f>K631*E631</f>
        <v>31.08</v>
      </c>
      <c r="M631" t="str" cm="1">
        <f t="array" ref="M631">_xlfn.IFS(H631="Rob","Robusta",H631="Exc","Excelsa",H631="Ara","Arabica",H631="Lib","Liberica")</f>
        <v>Liberica</v>
      </c>
      <c r="N631" t="str" cm="1">
        <f t="array" ref="N631">_xlfn.IFS(I631="M","Medium",I631="L","Light",I631="D","Dark")</f>
        <v>Dark</v>
      </c>
      <c r="O631" t="str">
        <f>_xlfn.XLOOKUP(Orders[[#This Row],[Customer ID]],customers!$A$2:$A$1001,customers!$I$2:$I$1001,,0)</f>
        <v>Yes</v>
      </c>
    </row>
    <row r="632" spans="1:15" x14ac:dyDescent="0.3">
      <c r="A632" s="2" t="s">
        <v>4035</v>
      </c>
      <c r="B632" s="3">
        <v>44680</v>
      </c>
      <c r="C632" s="2" t="s">
        <v>4036</v>
      </c>
      <c r="D632" t="s">
        <v>6154</v>
      </c>
      <c r="E632" s="2">
        <v>1</v>
      </c>
      <c r="F632" s="2" t="str">
        <f>_xlfn.XLOOKUP(C632,customers!$A$2:$A$1001,customers!$B$2:$B$1001,,0)</f>
        <v>Faunie Brigham</v>
      </c>
      <c r="G632" s="2" t="str">
        <f>_xlfn.XLOOKUP(C632,customers!$A$2:$A$1001,customers!$G$2:$G$1001,,0)</f>
        <v>Ireland</v>
      </c>
      <c r="H632" t="str">
        <f>INDEX(products!$A$1:$G$49,MATCH(orders!$D632,products!$A$1:$A$49,0),MATCH(orders!H$1,products!$A$1:$G$1,0))</f>
        <v>Ara</v>
      </c>
      <c r="I632" t="str">
        <f>INDEX(products!$A$1:$G$49,MATCH(orders!$D632,products!$A$1:$A$49,0),MATCH(orders!I$1,products!$A$1:$G$1,0))</f>
        <v>D</v>
      </c>
      <c r="J632" s="5">
        <f>INDEX(products!$A$1:$G$49,MATCH(orders!$D632,products!$A$1:$A$49,0),MATCH(orders!J$1,products!$A$1:$G$1,0))</f>
        <v>0.2</v>
      </c>
      <c r="K632" s="6">
        <f>INDEX(products!$A$1:$G$49,MATCH(orders!$D632,products!$A$1:$A$49,0),MATCH(orders!K$1,products!$A$1:$G$1,0))</f>
        <v>2.9849999999999999</v>
      </c>
      <c r="L632" s="6">
        <f>K632*E632</f>
        <v>2.9849999999999999</v>
      </c>
      <c r="M632" t="str" cm="1">
        <f t="array" ref="M632">_xlfn.IFS(H632="Rob","Robusta",H632="Exc","Excelsa",H632="Ara","Arabica",H632="Lib","Liberica")</f>
        <v>Arabica</v>
      </c>
      <c r="N632" t="str" cm="1">
        <f t="array" ref="N632">_xlfn.IFS(I632="M","Medium",I632="L","Light",I632="D","Dark")</f>
        <v>Dark</v>
      </c>
      <c r="O632" t="str">
        <f>_xlfn.XLOOKUP(Orders[[#This Row],[Customer ID]],customers!$A$2:$A$1001,customers!$I$2:$I$1001,,0)</f>
        <v>Yes</v>
      </c>
    </row>
    <row r="633" spans="1:15" x14ac:dyDescent="0.3">
      <c r="A633" s="2" t="s">
        <v>4035</v>
      </c>
      <c r="B633" s="3">
        <v>44680</v>
      </c>
      <c r="C633" s="2" t="s">
        <v>4036</v>
      </c>
      <c r="D633" t="s">
        <v>6149</v>
      </c>
      <c r="E633" s="2">
        <v>5</v>
      </c>
      <c r="F633" s="2" t="str">
        <f>_xlfn.XLOOKUP(C633,customers!$A$2:$A$1001,customers!$B$2:$B$1001,,0)</f>
        <v>Faunie Brigham</v>
      </c>
      <c r="G633" s="2" t="str">
        <f>_xlfn.XLOOKUP(C633,customers!$A$2:$A$1001,customers!$G$2:$G$1001,,0)</f>
        <v>Ireland</v>
      </c>
      <c r="H633" t="str">
        <f>INDEX(products!$A$1:$G$49,MATCH(orders!$D633,products!$A$1:$A$49,0),MATCH(orders!H$1,products!$A$1:$G$1,0))</f>
        <v>Rob</v>
      </c>
      <c r="I633" t="str">
        <f>INDEX(products!$A$1:$G$49,MATCH(orders!$D633,products!$A$1:$A$49,0),MATCH(orders!I$1,products!$A$1:$G$1,0))</f>
        <v>D</v>
      </c>
      <c r="J633" s="5">
        <f>INDEX(products!$A$1:$G$49,MATCH(orders!$D633,products!$A$1:$A$49,0),MATCH(orders!J$1,products!$A$1:$G$1,0))</f>
        <v>2.5</v>
      </c>
      <c r="K633" s="6">
        <f>INDEX(products!$A$1:$G$49,MATCH(orders!$D633,products!$A$1:$A$49,0),MATCH(orders!K$1,products!$A$1:$G$1,0))</f>
        <v>20.584999999999997</v>
      </c>
      <c r="L633" s="6">
        <f>K633*E633</f>
        <v>102.92499999999998</v>
      </c>
      <c r="M633" t="str" cm="1">
        <f t="array" ref="M633">_xlfn.IFS(H633="Rob","Robusta",H633="Exc","Excelsa",H633="Ara","Arabica",H633="Lib","Liberica")</f>
        <v>Robusta</v>
      </c>
      <c r="N633" t="str" cm="1">
        <f t="array" ref="N633">_xlfn.IFS(I633="M","Medium",I633="L","Light",I633="D","Dark")</f>
        <v>Dark</v>
      </c>
      <c r="O633" t="str">
        <f>_xlfn.XLOOKUP(Orders[[#This Row],[Customer ID]],customers!$A$2:$A$1001,customers!$I$2:$I$1001,,0)</f>
        <v>Yes</v>
      </c>
    </row>
    <row r="634" spans="1:15" x14ac:dyDescent="0.3">
      <c r="A634" s="2" t="s">
        <v>4056</v>
      </c>
      <c r="B634" s="3">
        <v>44049</v>
      </c>
      <c r="C634" s="2" t="s">
        <v>4057</v>
      </c>
      <c r="D634" t="s">
        <v>6176</v>
      </c>
      <c r="E634" s="2">
        <v>4</v>
      </c>
      <c r="F634" s="2" t="str">
        <f>_xlfn.XLOOKUP(C634,customers!$A$2:$A$1001,customers!$B$2:$B$1001,,0)</f>
        <v>Marjorie Yoxen</v>
      </c>
      <c r="G634" s="2" t="str">
        <f>_xlfn.XLOOKUP(C634,customers!$A$2:$A$1001,customers!$G$2:$G$1001,,0)</f>
        <v>United States</v>
      </c>
      <c r="H634" t="str">
        <f>INDEX(products!$A$1:$G$49,MATCH(orders!$D634,products!$A$1:$A$49,0),MATCH(orders!H$1,products!$A$1:$G$1,0))</f>
        <v>Exc</v>
      </c>
      <c r="I634" t="str">
        <f>INDEX(products!$A$1:$G$49,MATCH(orders!$D634,products!$A$1:$A$49,0),MATCH(orders!I$1,products!$A$1:$G$1,0))</f>
        <v>L</v>
      </c>
      <c r="J634" s="5">
        <f>INDEX(products!$A$1:$G$49,MATCH(orders!$D634,products!$A$1:$A$49,0),MATCH(orders!J$1,products!$A$1:$G$1,0))</f>
        <v>0.5</v>
      </c>
      <c r="K634" s="6">
        <f>INDEX(products!$A$1:$G$49,MATCH(orders!$D634,products!$A$1:$A$49,0),MATCH(orders!K$1,products!$A$1:$G$1,0))</f>
        <v>8.91</v>
      </c>
      <c r="L634" s="6">
        <f>K634*E634</f>
        <v>35.64</v>
      </c>
      <c r="M634" t="str" cm="1">
        <f t="array" ref="M634">_xlfn.IFS(H634="Rob","Robusta",H634="Exc","Excelsa",H634="Ara","Arabica",H634="Lib","Liberica")</f>
        <v>Excelsa</v>
      </c>
      <c r="N634" t="str" cm="1">
        <f t="array" ref="N634">_xlfn.IFS(I634="M","Medium",I634="L","Light",I634="D","Dark")</f>
        <v>Light</v>
      </c>
      <c r="O634" t="str">
        <f>_xlfn.XLOOKUP(Orders[[#This Row],[Customer ID]],customers!$A$2:$A$1001,customers!$I$2:$I$1001,,0)</f>
        <v>No</v>
      </c>
    </row>
    <row r="635" spans="1:15" x14ac:dyDescent="0.3">
      <c r="A635" s="2" t="s">
        <v>4062</v>
      </c>
      <c r="B635" s="3">
        <v>43820</v>
      </c>
      <c r="C635" s="2" t="s">
        <v>4063</v>
      </c>
      <c r="D635" t="s">
        <v>6179</v>
      </c>
      <c r="E635" s="2">
        <v>4</v>
      </c>
      <c r="F635" s="2" t="str">
        <f>_xlfn.XLOOKUP(C635,customers!$A$2:$A$1001,customers!$B$2:$B$1001,,0)</f>
        <v>Gaspar McGavin</v>
      </c>
      <c r="G635" s="2" t="str">
        <f>_xlfn.XLOOKUP(C635,customers!$A$2:$A$1001,customers!$G$2:$G$1001,,0)</f>
        <v>United States</v>
      </c>
      <c r="H635" t="str">
        <f>INDEX(products!$A$1:$G$49,MATCH(orders!$D635,products!$A$1:$A$49,0),MATCH(orders!H$1,products!$A$1:$G$1,0))</f>
        <v>Rob</v>
      </c>
      <c r="I635" t="str">
        <f>INDEX(products!$A$1:$G$49,MATCH(orders!$D635,products!$A$1:$A$49,0),MATCH(orders!I$1,products!$A$1:$G$1,0))</f>
        <v>L</v>
      </c>
      <c r="J635" s="5">
        <f>INDEX(products!$A$1:$G$49,MATCH(orders!$D635,products!$A$1:$A$49,0),MATCH(orders!J$1,products!$A$1:$G$1,0))</f>
        <v>1</v>
      </c>
      <c r="K635" s="6">
        <f>INDEX(products!$A$1:$G$49,MATCH(orders!$D635,products!$A$1:$A$49,0),MATCH(orders!K$1,products!$A$1:$G$1,0))</f>
        <v>11.95</v>
      </c>
      <c r="L635" s="6">
        <f>K635*E635</f>
        <v>47.8</v>
      </c>
      <c r="M635" t="str" cm="1">
        <f t="array" ref="M635">_xlfn.IFS(H635="Rob","Robusta",H635="Exc","Excelsa",H635="Ara","Arabica",H635="Lib","Liberica")</f>
        <v>Robusta</v>
      </c>
      <c r="N635" t="str" cm="1">
        <f t="array" ref="N635">_xlfn.IFS(I635="M","Medium",I635="L","Light",I635="D","Dark")</f>
        <v>Light</v>
      </c>
      <c r="O635" t="str">
        <f>_xlfn.XLOOKUP(Orders[[#This Row],[Customer ID]],customers!$A$2:$A$1001,customers!$I$2:$I$1001,,0)</f>
        <v>No</v>
      </c>
    </row>
    <row r="636" spans="1:15" x14ac:dyDescent="0.3">
      <c r="A636" s="2" t="s">
        <v>4068</v>
      </c>
      <c r="B636" s="3">
        <v>43940</v>
      </c>
      <c r="C636" s="2" t="s">
        <v>4069</v>
      </c>
      <c r="D636" t="s">
        <v>6162</v>
      </c>
      <c r="E636" s="2">
        <v>3</v>
      </c>
      <c r="F636" s="2" t="str">
        <f>_xlfn.XLOOKUP(C636,customers!$A$2:$A$1001,customers!$B$2:$B$1001,,0)</f>
        <v>Lindy Uttermare</v>
      </c>
      <c r="G636" s="2" t="str">
        <f>_xlfn.XLOOKUP(C636,customers!$A$2:$A$1001,customers!$G$2:$G$1001,,0)</f>
        <v>United States</v>
      </c>
      <c r="H636" t="str">
        <f>INDEX(products!$A$1:$G$49,MATCH(orders!$D636,products!$A$1:$A$49,0),MATCH(orders!H$1,products!$A$1:$G$1,0))</f>
        <v>Lib</v>
      </c>
      <c r="I636" t="str">
        <f>INDEX(products!$A$1:$G$49,MATCH(orders!$D636,products!$A$1:$A$49,0),MATCH(orders!I$1,products!$A$1:$G$1,0))</f>
        <v>M</v>
      </c>
      <c r="J636" s="5">
        <f>INDEX(products!$A$1:$G$49,MATCH(orders!$D636,products!$A$1:$A$49,0),MATCH(orders!J$1,products!$A$1:$G$1,0))</f>
        <v>1</v>
      </c>
      <c r="K636" s="6">
        <f>INDEX(products!$A$1:$G$49,MATCH(orders!$D636,products!$A$1:$A$49,0),MATCH(orders!K$1,products!$A$1:$G$1,0))</f>
        <v>14.55</v>
      </c>
      <c r="L636" s="6">
        <f>K636*E636</f>
        <v>43.650000000000006</v>
      </c>
      <c r="M636" t="str" cm="1">
        <f t="array" ref="M636">_xlfn.IFS(H636="Rob","Robusta",H636="Exc","Excelsa",H636="Ara","Arabica",H636="Lib","Liberica")</f>
        <v>Liberica</v>
      </c>
      <c r="N636" t="str" cm="1">
        <f t="array" ref="N636">_xlfn.IFS(I636="M","Medium",I636="L","Light",I636="D","Dark")</f>
        <v>Medium</v>
      </c>
      <c r="O636" t="str">
        <f>_xlfn.XLOOKUP(Orders[[#This Row],[Customer ID]],customers!$A$2:$A$1001,customers!$I$2:$I$1001,,0)</f>
        <v>No</v>
      </c>
    </row>
    <row r="637" spans="1:15" x14ac:dyDescent="0.3">
      <c r="A637" s="2" t="s">
        <v>4074</v>
      </c>
      <c r="B637" s="3">
        <v>44578</v>
      </c>
      <c r="C637" s="2" t="s">
        <v>4075</v>
      </c>
      <c r="D637" t="s">
        <v>6176</v>
      </c>
      <c r="E637" s="2">
        <v>4</v>
      </c>
      <c r="F637" s="2" t="str">
        <f>_xlfn.XLOOKUP(C637,customers!$A$2:$A$1001,customers!$B$2:$B$1001,,0)</f>
        <v>Eal D'Ambrogio</v>
      </c>
      <c r="G637" s="2" t="str">
        <f>_xlfn.XLOOKUP(C637,customers!$A$2:$A$1001,customers!$G$2:$G$1001,,0)</f>
        <v>United States</v>
      </c>
      <c r="H637" t="str">
        <f>INDEX(products!$A$1:$G$49,MATCH(orders!$D637,products!$A$1:$A$49,0),MATCH(orders!H$1,products!$A$1:$G$1,0))</f>
        <v>Exc</v>
      </c>
      <c r="I637" t="str">
        <f>INDEX(products!$A$1:$G$49,MATCH(orders!$D637,products!$A$1:$A$49,0),MATCH(orders!I$1,products!$A$1:$G$1,0))</f>
        <v>L</v>
      </c>
      <c r="J637" s="5">
        <f>INDEX(products!$A$1:$G$49,MATCH(orders!$D637,products!$A$1:$A$49,0),MATCH(orders!J$1,products!$A$1:$G$1,0))</f>
        <v>0.5</v>
      </c>
      <c r="K637" s="6">
        <f>INDEX(products!$A$1:$G$49,MATCH(orders!$D637,products!$A$1:$A$49,0),MATCH(orders!K$1,products!$A$1:$G$1,0))</f>
        <v>8.91</v>
      </c>
      <c r="L637" s="6">
        <f>K637*E637</f>
        <v>35.64</v>
      </c>
      <c r="M637" t="str" cm="1">
        <f t="array" ref="M637">_xlfn.IFS(H637="Rob","Robusta",H637="Exc","Excelsa",H637="Ara","Arabica",H637="Lib","Liberica")</f>
        <v>Excelsa</v>
      </c>
      <c r="N637" t="str" cm="1">
        <f t="array" ref="N637">_xlfn.IFS(I637="M","Medium",I637="L","Light",I637="D","Dark")</f>
        <v>Light</v>
      </c>
      <c r="O637" t="str">
        <f>_xlfn.XLOOKUP(Orders[[#This Row],[Customer ID]],customers!$A$2:$A$1001,customers!$I$2:$I$1001,,0)</f>
        <v>Yes</v>
      </c>
    </row>
    <row r="638" spans="1:15" x14ac:dyDescent="0.3">
      <c r="A638" s="2" t="s">
        <v>4080</v>
      </c>
      <c r="B638" s="3">
        <v>43487</v>
      </c>
      <c r="C638" s="2" t="s">
        <v>4081</v>
      </c>
      <c r="D638" t="s">
        <v>6170</v>
      </c>
      <c r="E638" s="2">
        <v>6</v>
      </c>
      <c r="F638" s="2" t="str">
        <f>_xlfn.XLOOKUP(C638,customers!$A$2:$A$1001,customers!$B$2:$B$1001,,0)</f>
        <v>Carolee Winchcombe</v>
      </c>
      <c r="G638" s="2" t="str">
        <f>_xlfn.XLOOKUP(C638,customers!$A$2:$A$1001,customers!$G$2:$G$1001,,0)</f>
        <v>United States</v>
      </c>
      <c r="H638" t="str">
        <f>INDEX(products!$A$1:$G$49,MATCH(orders!$D638,products!$A$1:$A$49,0),MATCH(orders!H$1,products!$A$1:$G$1,0))</f>
        <v>Lib</v>
      </c>
      <c r="I638" t="str">
        <f>INDEX(products!$A$1:$G$49,MATCH(orders!$D638,products!$A$1:$A$49,0),MATCH(orders!I$1,products!$A$1:$G$1,0))</f>
        <v>L</v>
      </c>
      <c r="J638" s="5">
        <f>INDEX(products!$A$1:$G$49,MATCH(orders!$D638,products!$A$1:$A$49,0),MATCH(orders!J$1,products!$A$1:$G$1,0))</f>
        <v>1</v>
      </c>
      <c r="K638" s="6">
        <f>INDEX(products!$A$1:$G$49,MATCH(orders!$D638,products!$A$1:$A$49,0),MATCH(orders!K$1,products!$A$1:$G$1,0))</f>
        <v>15.85</v>
      </c>
      <c r="L638" s="6">
        <f>K638*E638</f>
        <v>95.1</v>
      </c>
      <c r="M638" t="str" cm="1">
        <f t="array" ref="M638">_xlfn.IFS(H638="Rob","Robusta",H638="Exc","Excelsa",H638="Ara","Arabica",H638="Lib","Liberica")</f>
        <v>Liberica</v>
      </c>
      <c r="N638" t="str" cm="1">
        <f t="array" ref="N638">_xlfn.IFS(I638="M","Medium",I638="L","Light",I638="D","Dark")</f>
        <v>Light</v>
      </c>
      <c r="O638" t="str">
        <f>_xlfn.XLOOKUP(Orders[[#This Row],[Customer ID]],customers!$A$2:$A$1001,customers!$I$2:$I$1001,,0)</f>
        <v>Yes</v>
      </c>
    </row>
    <row r="639" spans="1:15" x14ac:dyDescent="0.3">
      <c r="A639" s="2" t="s">
        <v>4086</v>
      </c>
      <c r="B639" s="3">
        <v>43889</v>
      </c>
      <c r="C639" s="2" t="s">
        <v>4087</v>
      </c>
      <c r="D639" t="s">
        <v>6166</v>
      </c>
      <c r="E639" s="2">
        <v>1</v>
      </c>
      <c r="F639" s="2" t="str">
        <f>_xlfn.XLOOKUP(C639,customers!$A$2:$A$1001,customers!$B$2:$B$1001,,0)</f>
        <v>Benedikta Paumier</v>
      </c>
      <c r="G639" s="2" t="str">
        <f>_xlfn.XLOOKUP(C639,customers!$A$2:$A$1001,customers!$G$2:$G$1001,,0)</f>
        <v>Ireland</v>
      </c>
      <c r="H639" t="str">
        <f>INDEX(products!$A$1:$G$49,MATCH(orders!$D639,products!$A$1:$A$49,0),MATCH(orders!H$1,products!$A$1:$G$1,0))</f>
        <v>Exc</v>
      </c>
      <c r="I639" t="str">
        <f>INDEX(products!$A$1:$G$49,MATCH(orders!$D639,products!$A$1:$A$49,0),MATCH(orders!I$1,products!$A$1:$G$1,0))</f>
        <v>M</v>
      </c>
      <c r="J639" s="5">
        <f>INDEX(products!$A$1:$G$49,MATCH(orders!$D639,products!$A$1:$A$49,0),MATCH(orders!J$1,products!$A$1:$G$1,0))</f>
        <v>2.5</v>
      </c>
      <c r="K639" s="6">
        <f>INDEX(products!$A$1:$G$49,MATCH(orders!$D639,products!$A$1:$A$49,0),MATCH(orders!K$1,products!$A$1:$G$1,0))</f>
        <v>31.624999999999996</v>
      </c>
      <c r="L639" s="6">
        <f>K639*E639</f>
        <v>31.624999999999996</v>
      </c>
      <c r="M639" t="str" cm="1">
        <f t="array" ref="M639">_xlfn.IFS(H639="Rob","Robusta",H639="Exc","Excelsa",H639="Ara","Arabica",H639="Lib","Liberica")</f>
        <v>Excelsa</v>
      </c>
      <c r="N639" t="str" cm="1">
        <f t="array" ref="N639">_xlfn.IFS(I639="M","Medium",I639="L","Light",I639="D","Dark")</f>
        <v>Medium</v>
      </c>
      <c r="O639" t="str">
        <f>_xlfn.XLOOKUP(Orders[[#This Row],[Customer ID]],customers!$A$2:$A$1001,customers!$I$2:$I$1001,,0)</f>
        <v>Yes</v>
      </c>
    </row>
    <row r="640" spans="1:15" x14ac:dyDescent="0.3">
      <c r="A640" s="2" t="s">
        <v>4093</v>
      </c>
      <c r="B640" s="3">
        <v>43684</v>
      </c>
      <c r="C640" s="2" t="s">
        <v>4094</v>
      </c>
      <c r="D640" t="s">
        <v>6175</v>
      </c>
      <c r="E640" s="2">
        <v>3</v>
      </c>
      <c r="F640" s="2" t="str">
        <f>_xlfn.XLOOKUP(C640,customers!$A$2:$A$1001,customers!$B$2:$B$1001,,0)</f>
        <v>Neville Piatto</v>
      </c>
      <c r="G640" s="2" t="str">
        <f>_xlfn.XLOOKUP(C640,customers!$A$2:$A$1001,customers!$G$2:$G$1001,,0)</f>
        <v>Ireland</v>
      </c>
      <c r="H640" t="str">
        <f>INDEX(products!$A$1:$G$49,MATCH(orders!$D640,products!$A$1:$A$49,0),MATCH(orders!H$1,products!$A$1:$G$1,0))</f>
        <v>Ara</v>
      </c>
      <c r="I640" t="str">
        <f>INDEX(products!$A$1:$G$49,MATCH(orders!$D640,products!$A$1:$A$49,0),MATCH(orders!I$1,products!$A$1:$G$1,0))</f>
        <v>M</v>
      </c>
      <c r="J640" s="5">
        <f>INDEX(products!$A$1:$G$49,MATCH(orders!$D640,products!$A$1:$A$49,0),MATCH(orders!J$1,products!$A$1:$G$1,0))</f>
        <v>2.5</v>
      </c>
      <c r="K640" s="6">
        <f>INDEX(products!$A$1:$G$49,MATCH(orders!$D640,products!$A$1:$A$49,0),MATCH(orders!K$1,products!$A$1:$G$1,0))</f>
        <v>25.874999999999996</v>
      </c>
      <c r="L640" s="6">
        <f>K640*E640</f>
        <v>77.624999999999986</v>
      </c>
      <c r="M640" t="str" cm="1">
        <f t="array" ref="M640">_xlfn.IFS(H640="Rob","Robusta",H640="Exc","Excelsa",H640="Ara","Arabica",H640="Lib","Liberica")</f>
        <v>Arabica</v>
      </c>
      <c r="N640" t="str" cm="1">
        <f t="array" ref="N640">_xlfn.IFS(I640="M","Medium",I640="L","Light",I640="D","Dark")</f>
        <v>Medium</v>
      </c>
      <c r="O640" t="str">
        <f>_xlfn.XLOOKUP(Orders[[#This Row],[Customer ID]],customers!$A$2:$A$1001,customers!$I$2:$I$1001,,0)</f>
        <v>Yes</v>
      </c>
    </row>
    <row r="641" spans="1:15" x14ac:dyDescent="0.3">
      <c r="A641" s="2" t="s">
        <v>4098</v>
      </c>
      <c r="B641" s="3">
        <v>44331</v>
      </c>
      <c r="C641" s="2" t="s">
        <v>4099</v>
      </c>
      <c r="D641" t="s">
        <v>6150</v>
      </c>
      <c r="E641" s="2">
        <v>1</v>
      </c>
      <c r="F641" s="2" t="str">
        <f>_xlfn.XLOOKUP(C641,customers!$A$2:$A$1001,customers!$B$2:$B$1001,,0)</f>
        <v>Jeno Capey</v>
      </c>
      <c r="G641" s="2" t="str">
        <f>_xlfn.XLOOKUP(C641,customers!$A$2:$A$1001,customers!$G$2:$G$1001,,0)</f>
        <v>United States</v>
      </c>
      <c r="H641" t="str">
        <f>INDEX(products!$A$1:$G$49,MATCH(orders!$D641,products!$A$1:$A$49,0),MATCH(orders!H$1,products!$A$1:$G$1,0))</f>
        <v>Lib</v>
      </c>
      <c r="I641" t="str">
        <f>INDEX(products!$A$1:$G$49,MATCH(orders!$D641,products!$A$1:$A$49,0),MATCH(orders!I$1,products!$A$1:$G$1,0))</f>
        <v>D</v>
      </c>
      <c r="J641" s="5">
        <f>INDEX(products!$A$1:$G$49,MATCH(orders!$D641,products!$A$1:$A$49,0),MATCH(orders!J$1,products!$A$1:$G$1,0))</f>
        <v>0.2</v>
      </c>
      <c r="K641" s="6">
        <f>INDEX(products!$A$1:$G$49,MATCH(orders!$D641,products!$A$1:$A$49,0),MATCH(orders!K$1,products!$A$1:$G$1,0))</f>
        <v>3.8849999999999998</v>
      </c>
      <c r="L641" s="6">
        <f>K641*E641</f>
        <v>3.8849999999999998</v>
      </c>
      <c r="M641" t="str" cm="1">
        <f t="array" ref="M641">_xlfn.IFS(H641="Rob","Robusta",H641="Exc","Excelsa",H641="Ara","Arabica",H641="Lib","Liberica")</f>
        <v>Liberica</v>
      </c>
      <c r="N641" t="str" cm="1">
        <f t="array" ref="N641">_xlfn.IFS(I641="M","Medium",I641="L","Light",I641="D","Dark")</f>
        <v>Dark</v>
      </c>
      <c r="O641" t="str">
        <f>_xlfn.XLOOKUP(Orders[[#This Row],[Customer ID]],customers!$A$2:$A$1001,customers!$I$2:$I$1001,,0)</f>
        <v>Yes</v>
      </c>
    </row>
    <row r="642" spans="1:15" x14ac:dyDescent="0.3">
      <c r="A642" s="2" t="s">
        <v>4104</v>
      </c>
      <c r="B642" s="3">
        <v>44547</v>
      </c>
      <c r="C642" s="2" t="s">
        <v>4152</v>
      </c>
      <c r="D642" t="s">
        <v>6142</v>
      </c>
      <c r="E642" s="2">
        <v>5</v>
      </c>
      <c r="F642" s="2" t="str">
        <f>_xlfn.XLOOKUP(C642,customers!$A$2:$A$1001,customers!$B$2:$B$1001,,0)</f>
        <v>Tuckie Mathonnet</v>
      </c>
      <c r="G642" s="2" t="str">
        <f>_xlfn.XLOOKUP(C642,customers!$A$2:$A$1001,customers!$G$2:$G$1001,,0)</f>
        <v>United States</v>
      </c>
      <c r="H642" t="str">
        <f>INDEX(products!$A$1:$G$49,MATCH(orders!$D642,products!$A$1:$A$49,0),MATCH(orders!H$1,products!$A$1:$G$1,0))</f>
        <v>Rob</v>
      </c>
      <c r="I642" t="str">
        <f>INDEX(products!$A$1:$G$49,MATCH(orders!$D642,products!$A$1:$A$49,0),MATCH(orders!I$1,products!$A$1:$G$1,0))</f>
        <v>L</v>
      </c>
      <c r="J642" s="5">
        <f>INDEX(products!$A$1:$G$49,MATCH(orders!$D642,products!$A$1:$A$49,0),MATCH(orders!J$1,products!$A$1:$G$1,0))</f>
        <v>2.5</v>
      </c>
      <c r="K642" s="6">
        <f>INDEX(products!$A$1:$G$49,MATCH(orders!$D642,products!$A$1:$A$49,0),MATCH(orders!K$1,products!$A$1:$G$1,0))</f>
        <v>27.484999999999996</v>
      </c>
      <c r="L642" s="6">
        <f>K642*E642</f>
        <v>137.42499999999998</v>
      </c>
      <c r="M642" t="str" cm="1">
        <f t="array" ref="M642">_xlfn.IFS(H642="Rob","Robusta",H642="Exc","Excelsa",H642="Ara","Arabica",H642="Lib","Liberica")</f>
        <v>Robusta</v>
      </c>
      <c r="N642" t="str" cm="1">
        <f t="array" ref="N642">_xlfn.IFS(I642="M","Medium",I642="L","Light",I642="D","Dark")</f>
        <v>Light</v>
      </c>
      <c r="O642" t="str">
        <f>_xlfn.XLOOKUP(Orders[[#This Row],[Customer ID]],customers!$A$2:$A$1001,customers!$I$2:$I$1001,,0)</f>
        <v>No</v>
      </c>
    </row>
    <row r="643" spans="1:15" x14ac:dyDescent="0.3">
      <c r="A643" s="2" t="s">
        <v>4109</v>
      </c>
      <c r="B643" s="3">
        <v>44448</v>
      </c>
      <c r="C643" s="2" t="s">
        <v>4110</v>
      </c>
      <c r="D643" t="s">
        <v>6179</v>
      </c>
      <c r="E643" s="2">
        <v>3</v>
      </c>
      <c r="F643" s="2" t="str">
        <f>_xlfn.XLOOKUP(C643,customers!$A$2:$A$1001,customers!$B$2:$B$1001,,0)</f>
        <v>Yardley Basill</v>
      </c>
      <c r="G643" s="2" t="str">
        <f>_xlfn.XLOOKUP(C643,customers!$A$2:$A$1001,customers!$G$2:$G$1001,,0)</f>
        <v>United States</v>
      </c>
      <c r="H643" t="str">
        <f>INDEX(products!$A$1:$G$49,MATCH(orders!$D643,products!$A$1:$A$49,0),MATCH(orders!H$1,products!$A$1:$G$1,0))</f>
        <v>Rob</v>
      </c>
      <c r="I643" t="str">
        <f>INDEX(products!$A$1:$G$49,MATCH(orders!$D643,products!$A$1:$A$49,0),MATCH(orders!I$1,products!$A$1:$G$1,0))</f>
        <v>L</v>
      </c>
      <c r="J643" s="5">
        <f>INDEX(products!$A$1:$G$49,MATCH(orders!$D643,products!$A$1:$A$49,0),MATCH(orders!J$1,products!$A$1:$G$1,0))</f>
        <v>1</v>
      </c>
      <c r="K643" s="6">
        <f>INDEX(products!$A$1:$G$49,MATCH(orders!$D643,products!$A$1:$A$49,0),MATCH(orders!K$1,products!$A$1:$G$1,0))</f>
        <v>11.95</v>
      </c>
      <c r="L643" s="6">
        <f>K643*E643</f>
        <v>35.849999999999994</v>
      </c>
      <c r="M643" t="str" cm="1">
        <f t="array" ref="M643">_xlfn.IFS(H643="Rob","Robusta",H643="Exc","Excelsa",H643="Ara","Arabica",H643="Lib","Liberica")</f>
        <v>Robusta</v>
      </c>
      <c r="N643" t="str" cm="1">
        <f t="array" ref="N643">_xlfn.IFS(I643="M","Medium",I643="L","Light",I643="D","Dark")</f>
        <v>Light</v>
      </c>
      <c r="O643" t="str">
        <f>_xlfn.XLOOKUP(Orders[[#This Row],[Customer ID]],customers!$A$2:$A$1001,customers!$I$2:$I$1001,,0)</f>
        <v>Yes</v>
      </c>
    </row>
    <row r="644" spans="1:15" x14ac:dyDescent="0.3">
      <c r="A644" s="2" t="s">
        <v>4115</v>
      </c>
      <c r="B644" s="3">
        <v>43880</v>
      </c>
      <c r="C644" s="2" t="s">
        <v>4116</v>
      </c>
      <c r="D644" t="s">
        <v>6156</v>
      </c>
      <c r="E644" s="2">
        <v>2</v>
      </c>
      <c r="F644" s="2" t="str">
        <f>_xlfn.XLOOKUP(C644,customers!$A$2:$A$1001,customers!$B$2:$B$1001,,0)</f>
        <v>Maggy Baistow</v>
      </c>
      <c r="G644" s="2" t="str">
        <f>_xlfn.XLOOKUP(C644,customers!$A$2:$A$1001,customers!$G$2:$G$1001,,0)</f>
        <v>United Kingdom</v>
      </c>
      <c r="H644" t="str">
        <f>INDEX(products!$A$1:$G$49,MATCH(orders!$D644,products!$A$1:$A$49,0),MATCH(orders!H$1,products!$A$1:$G$1,0))</f>
        <v>Exc</v>
      </c>
      <c r="I644" t="str">
        <f>INDEX(products!$A$1:$G$49,MATCH(orders!$D644,products!$A$1:$A$49,0),MATCH(orders!I$1,products!$A$1:$G$1,0))</f>
        <v>M</v>
      </c>
      <c r="J644" s="5">
        <f>INDEX(products!$A$1:$G$49,MATCH(orders!$D644,products!$A$1:$A$49,0),MATCH(orders!J$1,products!$A$1:$G$1,0))</f>
        <v>0.2</v>
      </c>
      <c r="K644" s="6">
        <f>INDEX(products!$A$1:$G$49,MATCH(orders!$D644,products!$A$1:$A$49,0),MATCH(orders!K$1,products!$A$1:$G$1,0))</f>
        <v>4.125</v>
      </c>
      <c r="L644" s="6">
        <f>K644*E644</f>
        <v>8.25</v>
      </c>
      <c r="M644" t="str" cm="1">
        <f t="array" ref="M644">_xlfn.IFS(H644="Rob","Robusta",H644="Exc","Excelsa",H644="Ara","Arabica",H644="Lib","Liberica")</f>
        <v>Excelsa</v>
      </c>
      <c r="N644" t="str" cm="1">
        <f t="array" ref="N644">_xlfn.IFS(I644="M","Medium",I644="L","Light",I644="D","Dark")</f>
        <v>Medium</v>
      </c>
      <c r="O644" t="str">
        <f>_xlfn.XLOOKUP(Orders[[#This Row],[Customer ID]],customers!$A$2:$A$1001,customers!$I$2:$I$1001,,0)</f>
        <v>Yes</v>
      </c>
    </row>
    <row r="645" spans="1:15" x14ac:dyDescent="0.3">
      <c r="A645" s="2" t="s">
        <v>4123</v>
      </c>
      <c r="B645" s="3">
        <v>44011</v>
      </c>
      <c r="C645" s="2" t="s">
        <v>4124</v>
      </c>
      <c r="D645" t="s">
        <v>6148</v>
      </c>
      <c r="E645" s="2">
        <v>3</v>
      </c>
      <c r="F645" s="2" t="str">
        <f>_xlfn.XLOOKUP(C645,customers!$A$2:$A$1001,customers!$B$2:$B$1001,,0)</f>
        <v>Courtney Pallant</v>
      </c>
      <c r="G645" s="2" t="str">
        <f>_xlfn.XLOOKUP(C645,customers!$A$2:$A$1001,customers!$G$2:$G$1001,,0)</f>
        <v>United States</v>
      </c>
      <c r="H645" t="str">
        <f>INDEX(products!$A$1:$G$49,MATCH(orders!$D645,products!$A$1:$A$49,0),MATCH(orders!H$1,products!$A$1:$G$1,0))</f>
        <v>Exc</v>
      </c>
      <c r="I645" t="str">
        <f>INDEX(products!$A$1:$G$49,MATCH(orders!$D645,products!$A$1:$A$49,0),MATCH(orders!I$1,products!$A$1:$G$1,0))</f>
        <v>L</v>
      </c>
      <c r="J645" s="5">
        <f>INDEX(products!$A$1:$G$49,MATCH(orders!$D645,products!$A$1:$A$49,0),MATCH(orders!J$1,products!$A$1:$G$1,0))</f>
        <v>2.5</v>
      </c>
      <c r="K645" s="6">
        <f>INDEX(products!$A$1:$G$49,MATCH(orders!$D645,products!$A$1:$A$49,0),MATCH(orders!K$1,products!$A$1:$G$1,0))</f>
        <v>34.154999999999994</v>
      </c>
      <c r="L645" s="6">
        <f>K645*E645</f>
        <v>102.46499999999997</v>
      </c>
      <c r="M645" t="str" cm="1">
        <f t="array" ref="M645">_xlfn.IFS(H645="Rob","Robusta",H645="Exc","Excelsa",H645="Ara","Arabica",H645="Lib","Liberica")</f>
        <v>Excelsa</v>
      </c>
      <c r="N645" t="str" cm="1">
        <f t="array" ref="N645">_xlfn.IFS(I645="M","Medium",I645="L","Light",I645="D","Dark")</f>
        <v>Light</v>
      </c>
      <c r="O645" t="str">
        <f>_xlfn.XLOOKUP(Orders[[#This Row],[Customer ID]],customers!$A$2:$A$1001,customers!$I$2:$I$1001,,0)</f>
        <v>Yes</v>
      </c>
    </row>
    <row r="646" spans="1:15" x14ac:dyDescent="0.3">
      <c r="A646" s="2" t="s">
        <v>4128</v>
      </c>
      <c r="B646" s="3">
        <v>44694</v>
      </c>
      <c r="C646" s="2" t="s">
        <v>4129</v>
      </c>
      <c r="D646" t="s">
        <v>6149</v>
      </c>
      <c r="E646" s="2">
        <v>2</v>
      </c>
      <c r="F646" s="2" t="str">
        <f>_xlfn.XLOOKUP(C646,customers!$A$2:$A$1001,customers!$B$2:$B$1001,,0)</f>
        <v>Marne Mingey</v>
      </c>
      <c r="G646" s="2" t="str">
        <f>_xlfn.XLOOKUP(C646,customers!$A$2:$A$1001,customers!$G$2:$G$1001,,0)</f>
        <v>United States</v>
      </c>
      <c r="H646" t="str">
        <f>INDEX(products!$A$1:$G$49,MATCH(orders!$D646,products!$A$1:$A$49,0),MATCH(orders!H$1,products!$A$1:$G$1,0))</f>
        <v>Rob</v>
      </c>
      <c r="I646" t="str">
        <f>INDEX(products!$A$1:$G$49,MATCH(orders!$D646,products!$A$1:$A$49,0),MATCH(orders!I$1,products!$A$1:$G$1,0))</f>
        <v>D</v>
      </c>
      <c r="J646" s="5">
        <f>INDEX(products!$A$1:$G$49,MATCH(orders!$D646,products!$A$1:$A$49,0),MATCH(orders!J$1,products!$A$1:$G$1,0))</f>
        <v>2.5</v>
      </c>
      <c r="K646" s="6">
        <f>INDEX(products!$A$1:$G$49,MATCH(orders!$D646,products!$A$1:$A$49,0),MATCH(orders!K$1,products!$A$1:$G$1,0))</f>
        <v>20.584999999999997</v>
      </c>
      <c r="L646" s="6">
        <f>K646*E646</f>
        <v>41.169999999999995</v>
      </c>
      <c r="M646" t="str" cm="1">
        <f t="array" ref="M646">_xlfn.IFS(H646="Rob","Robusta",H646="Exc","Excelsa",H646="Ara","Arabica",H646="Lib","Liberica")</f>
        <v>Robusta</v>
      </c>
      <c r="N646" t="str" cm="1">
        <f t="array" ref="N646">_xlfn.IFS(I646="M","Medium",I646="L","Light",I646="D","Dark")</f>
        <v>Dark</v>
      </c>
      <c r="O646" t="str">
        <f>_xlfn.XLOOKUP(Orders[[#This Row],[Customer ID]],customers!$A$2:$A$1001,customers!$I$2:$I$1001,,0)</f>
        <v>No</v>
      </c>
    </row>
    <row r="647" spans="1:15" x14ac:dyDescent="0.3">
      <c r="A647" s="2" t="s">
        <v>4133</v>
      </c>
      <c r="B647" s="3">
        <v>44106</v>
      </c>
      <c r="C647" s="2" t="s">
        <v>4134</v>
      </c>
      <c r="D647" t="s">
        <v>6168</v>
      </c>
      <c r="E647" s="2">
        <v>3</v>
      </c>
      <c r="F647" s="2" t="str">
        <f>_xlfn.XLOOKUP(C647,customers!$A$2:$A$1001,customers!$B$2:$B$1001,,0)</f>
        <v>Denny O' Ronan</v>
      </c>
      <c r="G647" s="2" t="str">
        <f>_xlfn.XLOOKUP(C647,customers!$A$2:$A$1001,customers!$G$2:$G$1001,,0)</f>
        <v>United States</v>
      </c>
      <c r="H647" t="str">
        <f>INDEX(products!$A$1:$G$49,MATCH(orders!$D647,products!$A$1:$A$49,0),MATCH(orders!H$1,products!$A$1:$G$1,0))</f>
        <v>Ara</v>
      </c>
      <c r="I647" t="str">
        <f>INDEX(products!$A$1:$G$49,MATCH(orders!$D647,products!$A$1:$A$49,0),MATCH(orders!I$1,products!$A$1:$G$1,0))</f>
        <v>D</v>
      </c>
      <c r="J647" s="5">
        <f>INDEX(products!$A$1:$G$49,MATCH(orders!$D647,products!$A$1:$A$49,0),MATCH(orders!J$1,products!$A$1:$G$1,0))</f>
        <v>2.5</v>
      </c>
      <c r="K647" s="6">
        <f>INDEX(products!$A$1:$G$49,MATCH(orders!$D647,products!$A$1:$A$49,0),MATCH(orders!K$1,products!$A$1:$G$1,0))</f>
        <v>22.884999999999998</v>
      </c>
      <c r="L647" s="6">
        <f>K647*E647</f>
        <v>68.655000000000001</v>
      </c>
      <c r="M647" t="str" cm="1">
        <f t="array" ref="M647">_xlfn.IFS(H647="Rob","Robusta",H647="Exc","Excelsa",H647="Ara","Arabica",H647="Lib","Liberica")</f>
        <v>Arabica</v>
      </c>
      <c r="N647" t="str" cm="1">
        <f t="array" ref="N647">_xlfn.IFS(I647="M","Medium",I647="L","Light",I647="D","Dark")</f>
        <v>Dark</v>
      </c>
      <c r="O647" t="str">
        <f>_xlfn.XLOOKUP(Orders[[#This Row],[Customer ID]],customers!$A$2:$A$1001,customers!$I$2:$I$1001,,0)</f>
        <v>Yes</v>
      </c>
    </row>
    <row r="648" spans="1:15" x14ac:dyDescent="0.3">
      <c r="A648" s="2" t="s">
        <v>4139</v>
      </c>
      <c r="B648" s="3">
        <v>44532</v>
      </c>
      <c r="C648" s="2" t="s">
        <v>4140</v>
      </c>
      <c r="D648" t="s">
        <v>6147</v>
      </c>
      <c r="E648" s="2">
        <v>1</v>
      </c>
      <c r="F648" s="2" t="str">
        <f>_xlfn.XLOOKUP(C648,customers!$A$2:$A$1001,customers!$B$2:$B$1001,,0)</f>
        <v>Dottie Rallin</v>
      </c>
      <c r="G648" s="2" t="str">
        <f>_xlfn.XLOOKUP(C648,customers!$A$2:$A$1001,customers!$G$2:$G$1001,,0)</f>
        <v>United States</v>
      </c>
      <c r="H648" t="str">
        <f>INDEX(products!$A$1:$G$49,MATCH(orders!$D648,products!$A$1:$A$49,0),MATCH(orders!H$1,products!$A$1:$G$1,0))</f>
        <v>Ara</v>
      </c>
      <c r="I648" t="str">
        <f>INDEX(products!$A$1:$G$49,MATCH(orders!$D648,products!$A$1:$A$49,0),MATCH(orders!I$1,products!$A$1:$G$1,0))</f>
        <v>D</v>
      </c>
      <c r="J648" s="5">
        <f>INDEX(products!$A$1:$G$49,MATCH(orders!$D648,products!$A$1:$A$49,0),MATCH(orders!J$1,products!$A$1:$G$1,0))</f>
        <v>1</v>
      </c>
      <c r="K648" s="6">
        <f>INDEX(products!$A$1:$G$49,MATCH(orders!$D648,products!$A$1:$A$49,0),MATCH(orders!K$1,products!$A$1:$G$1,0))</f>
        <v>9.9499999999999993</v>
      </c>
      <c r="L648" s="6">
        <f>K648*E648</f>
        <v>9.9499999999999993</v>
      </c>
      <c r="M648" t="str" cm="1">
        <f t="array" ref="M648">_xlfn.IFS(H648="Rob","Robusta",H648="Exc","Excelsa",H648="Ara","Arabica",H648="Lib","Liberica")</f>
        <v>Arabica</v>
      </c>
      <c r="N648" t="str" cm="1">
        <f t="array" ref="N648">_xlfn.IFS(I648="M","Medium",I648="L","Light",I648="D","Dark")</f>
        <v>Dark</v>
      </c>
      <c r="O648" t="str">
        <f>_xlfn.XLOOKUP(Orders[[#This Row],[Customer ID]],customers!$A$2:$A$1001,customers!$I$2:$I$1001,,0)</f>
        <v>Yes</v>
      </c>
    </row>
    <row r="649" spans="1:15" x14ac:dyDescent="0.3">
      <c r="A649" s="2" t="s">
        <v>4145</v>
      </c>
      <c r="B649" s="3">
        <v>44502</v>
      </c>
      <c r="C649" s="2" t="s">
        <v>4146</v>
      </c>
      <c r="D649" t="s">
        <v>6161</v>
      </c>
      <c r="E649" s="2">
        <v>3</v>
      </c>
      <c r="F649" s="2" t="str">
        <f>_xlfn.XLOOKUP(C649,customers!$A$2:$A$1001,customers!$B$2:$B$1001,,0)</f>
        <v>Ardith Chill</v>
      </c>
      <c r="G649" s="2" t="str">
        <f>_xlfn.XLOOKUP(C649,customers!$A$2:$A$1001,customers!$G$2:$G$1001,,0)</f>
        <v>United Kingdom</v>
      </c>
      <c r="H649" t="str">
        <f>INDEX(products!$A$1:$G$49,MATCH(orders!$D649,products!$A$1:$A$49,0),MATCH(orders!H$1,products!$A$1:$G$1,0))</f>
        <v>Lib</v>
      </c>
      <c r="I649" t="str">
        <f>INDEX(products!$A$1:$G$49,MATCH(orders!$D649,products!$A$1:$A$49,0),MATCH(orders!I$1,products!$A$1:$G$1,0))</f>
        <v>L</v>
      </c>
      <c r="J649" s="5">
        <f>INDEX(products!$A$1:$G$49,MATCH(orders!$D649,products!$A$1:$A$49,0),MATCH(orders!J$1,products!$A$1:$G$1,0))</f>
        <v>0.5</v>
      </c>
      <c r="K649" s="6">
        <f>INDEX(products!$A$1:$G$49,MATCH(orders!$D649,products!$A$1:$A$49,0),MATCH(orders!K$1,products!$A$1:$G$1,0))</f>
        <v>9.51</v>
      </c>
      <c r="L649" s="6">
        <f>K649*E649</f>
        <v>28.53</v>
      </c>
      <c r="M649" t="str" cm="1">
        <f t="array" ref="M649">_xlfn.IFS(H649="Rob","Robusta",H649="Exc","Excelsa",H649="Ara","Arabica",H649="Lib","Liberica")</f>
        <v>Liberica</v>
      </c>
      <c r="N649" t="str" cm="1">
        <f t="array" ref="N649">_xlfn.IFS(I649="M","Medium",I649="L","Light",I649="D","Dark")</f>
        <v>Light</v>
      </c>
      <c r="O649" t="str">
        <f>_xlfn.XLOOKUP(Orders[[#This Row],[Customer ID]],customers!$A$2:$A$1001,customers!$I$2:$I$1001,,0)</f>
        <v>Yes</v>
      </c>
    </row>
    <row r="650" spans="1:15" x14ac:dyDescent="0.3">
      <c r="A650" s="2" t="s">
        <v>4151</v>
      </c>
      <c r="B650" s="3">
        <v>43884</v>
      </c>
      <c r="C650" s="2" t="s">
        <v>4152</v>
      </c>
      <c r="D650" t="s">
        <v>6163</v>
      </c>
      <c r="E650" s="2">
        <v>6</v>
      </c>
      <c r="F650" s="2" t="str">
        <f>_xlfn.XLOOKUP(C650,customers!$A$2:$A$1001,customers!$B$2:$B$1001,,0)</f>
        <v>Tuckie Mathonnet</v>
      </c>
      <c r="G650" s="2" t="str">
        <f>_xlfn.XLOOKUP(C650,customers!$A$2:$A$1001,customers!$G$2:$G$1001,,0)</f>
        <v>United States</v>
      </c>
      <c r="H650" t="str">
        <f>INDEX(products!$A$1:$G$49,MATCH(orders!$D650,products!$A$1:$A$49,0),MATCH(orders!H$1,products!$A$1:$G$1,0))</f>
        <v>Rob</v>
      </c>
      <c r="I650" t="str">
        <f>INDEX(products!$A$1:$G$49,MATCH(orders!$D650,products!$A$1:$A$49,0),MATCH(orders!I$1,products!$A$1:$G$1,0))</f>
        <v>D</v>
      </c>
      <c r="J650" s="5">
        <f>INDEX(products!$A$1:$G$49,MATCH(orders!$D650,products!$A$1:$A$49,0),MATCH(orders!J$1,products!$A$1:$G$1,0))</f>
        <v>0.2</v>
      </c>
      <c r="K650" s="6">
        <f>INDEX(products!$A$1:$G$49,MATCH(orders!$D650,products!$A$1:$A$49,0),MATCH(orders!K$1,products!$A$1:$G$1,0))</f>
        <v>2.6849999999999996</v>
      </c>
      <c r="L650" s="6">
        <f>K650*E650</f>
        <v>16.11</v>
      </c>
      <c r="M650" t="str" cm="1">
        <f t="array" ref="M650">_xlfn.IFS(H650="Rob","Robusta",H650="Exc","Excelsa",H650="Ara","Arabica",H650="Lib","Liberica")</f>
        <v>Robusta</v>
      </c>
      <c r="N650" t="str" cm="1">
        <f t="array" ref="N650">_xlfn.IFS(I650="M","Medium",I650="L","Light",I650="D","Dark")</f>
        <v>Dark</v>
      </c>
      <c r="O650" t="str">
        <f>_xlfn.XLOOKUP(Orders[[#This Row],[Customer ID]],customers!$A$2:$A$1001,customers!$I$2:$I$1001,,0)</f>
        <v>No</v>
      </c>
    </row>
    <row r="651" spans="1:15" x14ac:dyDescent="0.3">
      <c r="A651" s="2" t="s">
        <v>4157</v>
      </c>
      <c r="B651" s="3">
        <v>44015</v>
      </c>
      <c r="C651" s="2" t="s">
        <v>4158</v>
      </c>
      <c r="D651" t="s">
        <v>6170</v>
      </c>
      <c r="E651" s="2">
        <v>6</v>
      </c>
      <c r="F651" s="2" t="str">
        <f>_xlfn.XLOOKUP(C651,customers!$A$2:$A$1001,customers!$B$2:$B$1001,,0)</f>
        <v>Charmane Denys</v>
      </c>
      <c r="G651" s="2" t="str">
        <f>_xlfn.XLOOKUP(C651,customers!$A$2:$A$1001,customers!$G$2:$G$1001,,0)</f>
        <v>United Kingdom</v>
      </c>
      <c r="H651" t="str">
        <f>INDEX(products!$A$1:$G$49,MATCH(orders!$D651,products!$A$1:$A$49,0),MATCH(orders!H$1,products!$A$1:$G$1,0))</f>
        <v>Lib</v>
      </c>
      <c r="I651" t="str">
        <f>INDEX(products!$A$1:$G$49,MATCH(orders!$D651,products!$A$1:$A$49,0),MATCH(orders!I$1,products!$A$1:$G$1,0))</f>
        <v>L</v>
      </c>
      <c r="J651" s="5">
        <f>INDEX(products!$A$1:$G$49,MATCH(orders!$D651,products!$A$1:$A$49,0),MATCH(orders!J$1,products!$A$1:$G$1,0))</f>
        <v>1</v>
      </c>
      <c r="K651" s="6">
        <f>INDEX(products!$A$1:$G$49,MATCH(orders!$D651,products!$A$1:$A$49,0),MATCH(orders!K$1,products!$A$1:$G$1,0))</f>
        <v>15.85</v>
      </c>
      <c r="L651" s="6">
        <f>K651*E651</f>
        <v>95.1</v>
      </c>
      <c r="M651" t="str" cm="1">
        <f t="array" ref="M651">_xlfn.IFS(H651="Rob","Robusta",H651="Exc","Excelsa",H651="Ara","Arabica",H651="Lib","Liberica")</f>
        <v>Liberica</v>
      </c>
      <c r="N651" t="str" cm="1">
        <f t="array" ref="N651">_xlfn.IFS(I651="M","Medium",I651="L","Light",I651="D","Dark")</f>
        <v>Light</v>
      </c>
      <c r="O651" t="str">
        <f>_xlfn.XLOOKUP(Orders[[#This Row],[Customer ID]],customers!$A$2:$A$1001,customers!$I$2:$I$1001,,0)</f>
        <v>No</v>
      </c>
    </row>
    <row r="652" spans="1:15" x14ac:dyDescent="0.3">
      <c r="A652" s="2" t="s">
        <v>4163</v>
      </c>
      <c r="B652" s="3">
        <v>43507</v>
      </c>
      <c r="C652" s="2" t="s">
        <v>4164</v>
      </c>
      <c r="D652" t="s">
        <v>6172</v>
      </c>
      <c r="E652" s="2">
        <v>1</v>
      </c>
      <c r="F652" s="2" t="str">
        <f>_xlfn.XLOOKUP(C652,customers!$A$2:$A$1001,customers!$B$2:$B$1001,,0)</f>
        <v>Cecily Stebbings</v>
      </c>
      <c r="G652" s="2" t="str">
        <f>_xlfn.XLOOKUP(C652,customers!$A$2:$A$1001,customers!$G$2:$G$1001,,0)</f>
        <v>United States</v>
      </c>
      <c r="H652" t="str">
        <f>INDEX(products!$A$1:$G$49,MATCH(orders!$D652,products!$A$1:$A$49,0),MATCH(orders!H$1,products!$A$1:$G$1,0))</f>
        <v>Rob</v>
      </c>
      <c r="I652" t="str">
        <f>INDEX(products!$A$1:$G$49,MATCH(orders!$D652,products!$A$1:$A$49,0),MATCH(orders!I$1,products!$A$1:$G$1,0))</f>
        <v>D</v>
      </c>
      <c r="J652" s="5">
        <f>INDEX(products!$A$1:$G$49,MATCH(orders!$D652,products!$A$1:$A$49,0),MATCH(orders!J$1,products!$A$1:$G$1,0))</f>
        <v>0.5</v>
      </c>
      <c r="K652" s="6">
        <f>INDEX(products!$A$1:$G$49,MATCH(orders!$D652,products!$A$1:$A$49,0),MATCH(orders!K$1,products!$A$1:$G$1,0))</f>
        <v>5.3699999999999992</v>
      </c>
      <c r="L652" s="6">
        <f>K652*E652</f>
        <v>5.3699999999999992</v>
      </c>
      <c r="M652" t="str" cm="1">
        <f t="array" ref="M652">_xlfn.IFS(H652="Rob","Robusta",H652="Exc","Excelsa",H652="Ara","Arabica",H652="Lib","Liberica")</f>
        <v>Robusta</v>
      </c>
      <c r="N652" t="str" cm="1">
        <f t="array" ref="N652">_xlfn.IFS(I652="M","Medium",I652="L","Light",I652="D","Dark")</f>
        <v>Dark</v>
      </c>
      <c r="O652" t="str">
        <f>_xlfn.XLOOKUP(Orders[[#This Row],[Customer ID]],customers!$A$2:$A$1001,customers!$I$2:$I$1001,,0)</f>
        <v>Yes</v>
      </c>
    </row>
    <row r="653" spans="1:15" x14ac:dyDescent="0.3">
      <c r="A653" s="2" t="s">
        <v>4169</v>
      </c>
      <c r="B653" s="3">
        <v>44084</v>
      </c>
      <c r="C653" s="2" t="s">
        <v>4170</v>
      </c>
      <c r="D653" t="s">
        <v>6179</v>
      </c>
      <c r="E653" s="2">
        <v>4</v>
      </c>
      <c r="F653" s="2" t="str">
        <f>_xlfn.XLOOKUP(C653,customers!$A$2:$A$1001,customers!$B$2:$B$1001,,0)</f>
        <v>Giana Tonnesen</v>
      </c>
      <c r="G653" s="2" t="str">
        <f>_xlfn.XLOOKUP(C653,customers!$A$2:$A$1001,customers!$G$2:$G$1001,,0)</f>
        <v>United States</v>
      </c>
      <c r="H653" t="str">
        <f>INDEX(products!$A$1:$G$49,MATCH(orders!$D653,products!$A$1:$A$49,0),MATCH(orders!H$1,products!$A$1:$G$1,0))</f>
        <v>Rob</v>
      </c>
      <c r="I653" t="str">
        <f>INDEX(products!$A$1:$G$49,MATCH(orders!$D653,products!$A$1:$A$49,0),MATCH(orders!I$1,products!$A$1:$G$1,0))</f>
        <v>L</v>
      </c>
      <c r="J653" s="5">
        <f>INDEX(products!$A$1:$G$49,MATCH(orders!$D653,products!$A$1:$A$49,0),MATCH(orders!J$1,products!$A$1:$G$1,0))</f>
        <v>1</v>
      </c>
      <c r="K653" s="6">
        <f>INDEX(products!$A$1:$G$49,MATCH(orders!$D653,products!$A$1:$A$49,0),MATCH(orders!K$1,products!$A$1:$G$1,0))</f>
        <v>11.95</v>
      </c>
      <c r="L653" s="6">
        <f>K653*E653</f>
        <v>47.8</v>
      </c>
      <c r="M653" t="str" cm="1">
        <f t="array" ref="M653">_xlfn.IFS(H653="Rob","Robusta",H653="Exc","Excelsa",H653="Ara","Arabica",H653="Lib","Liberica")</f>
        <v>Robusta</v>
      </c>
      <c r="N653" t="str" cm="1">
        <f t="array" ref="N653">_xlfn.IFS(I653="M","Medium",I653="L","Light",I653="D","Dark")</f>
        <v>Light</v>
      </c>
      <c r="O653" t="str">
        <f>_xlfn.XLOOKUP(Orders[[#This Row],[Customer ID]],customers!$A$2:$A$1001,customers!$I$2:$I$1001,,0)</f>
        <v>No</v>
      </c>
    </row>
    <row r="654" spans="1:15" x14ac:dyDescent="0.3">
      <c r="A654" s="2" t="s">
        <v>4174</v>
      </c>
      <c r="B654" s="3">
        <v>43892</v>
      </c>
      <c r="C654" s="2" t="s">
        <v>4175</v>
      </c>
      <c r="D654" t="s">
        <v>6170</v>
      </c>
      <c r="E654" s="2">
        <v>4</v>
      </c>
      <c r="F654" s="2" t="str">
        <f>_xlfn.XLOOKUP(C654,customers!$A$2:$A$1001,customers!$B$2:$B$1001,,0)</f>
        <v>Rhetta Zywicki</v>
      </c>
      <c r="G654" s="2" t="str">
        <f>_xlfn.XLOOKUP(C654,customers!$A$2:$A$1001,customers!$G$2:$G$1001,,0)</f>
        <v>Ireland</v>
      </c>
      <c r="H654" t="str">
        <f>INDEX(products!$A$1:$G$49,MATCH(orders!$D654,products!$A$1:$A$49,0),MATCH(orders!H$1,products!$A$1:$G$1,0))</f>
        <v>Lib</v>
      </c>
      <c r="I654" t="str">
        <f>INDEX(products!$A$1:$G$49,MATCH(orders!$D654,products!$A$1:$A$49,0),MATCH(orders!I$1,products!$A$1:$G$1,0))</f>
        <v>L</v>
      </c>
      <c r="J654" s="5">
        <f>INDEX(products!$A$1:$G$49,MATCH(orders!$D654,products!$A$1:$A$49,0),MATCH(orders!J$1,products!$A$1:$G$1,0))</f>
        <v>1</v>
      </c>
      <c r="K654" s="6">
        <f>INDEX(products!$A$1:$G$49,MATCH(orders!$D654,products!$A$1:$A$49,0),MATCH(orders!K$1,products!$A$1:$G$1,0))</f>
        <v>15.85</v>
      </c>
      <c r="L654" s="6">
        <f>K654*E654</f>
        <v>63.4</v>
      </c>
      <c r="M654" t="str" cm="1">
        <f t="array" ref="M654">_xlfn.IFS(H654="Rob","Robusta",H654="Exc","Excelsa",H654="Ara","Arabica",H654="Lib","Liberica")</f>
        <v>Liberica</v>
      </c>
      <c r="N654" t="str" cm="1">
        <f t="array" ref="N654">_xlfn.IFS(I654="M","Medium",I654="L","Light",I654="D","Dark")</f>
        <v>Light</v>
      </c>
      <c r="O654" t="str">
        <f>_xlfn.XLOOKUP(Orders[[#This Row],[Customer ID]],customers!$A$2:$A$1001,customers!$I$2:$I$1001,,0)</f>
        <v>No</v>
      </c>
    </row>
    <row r="655" spans="1:15" x14ac:dyDescent="0.3">
      <c r="A655" s="2" t="s">
        <v>4179</v>
      </c>
      <c r="B655" s="3">
        <v>44375</v>
      </c>
      <c r="C655" s="2" t="s">
        <v>4180</v>
      </c>
      <c r="D655" t="s">
        <v>6175</v>
      </c>
      <c r="E655" s="2">
        <v>4</v>
      </c>
      <c r="F655" s="2" t="str">
        <f>_xlfn.XLOOKUP(C655,customers!$A$2:$A$1001,customers!$B$2:$B$1001,,0)</f>
        <v>Almeria Burgett</v>
      </c>
      <c r="G655" s="2" t="str">
        <f>_xlfn.XLOOKUP(C655,customers!$A$2:$A$1001,customers!$G$2:$G$1001,,0)</f>
        <v>United States</v>
      </c>
      <c r="H655" t="str">
        <f>INDEX(products!$A$1:$G$49,MATCH(orders!$D655,products!$A$1:$A$49,0),MATCH(orders!H$1,products!$A$1:$G$1,0))</f>
        <v>Ara</v>
      </c>
      <c r="I655" t="str">
        <f>INDEX(products!$A$1:$G$49,MATCH(orders!$D655,products!$A$1:$A$49,0),MATCH(orders!I$1,products!$A$1:$G$1,0))</f>
        <v>M</v>
      </c>
      <c r="J655" s="5">
        <f>INDEX(products!$A$1:$G$49,MATCH(orders!$D655,products!$A$1:$A$49,0),MATCH(orders!J$1,products!$A$1:$G$1,0))</f>
        <v>2.5</v>
      </c>
      <c r="K655" s="6">
        <f>INDEX(products!$A$1:$G$49,MATCH(orders!$D655,products!$A$1:$A$49,0),MATCH(orders!K$1,products!$A$1:$G$1,0))</f>
        <v>25.874999999999996</v>
      </c>
      <c r="L655" s="6">
        <f>K655*E655</f>
        <v>103.49999999999999</v>
      </c>
      <c r="M655" t="str" cm="1">
        <f t="array" ref="M655">_xlfn.IFS(H655="Rob","Robusta",H655="Exc","Excelsa",H655="Ara","Arabica",H655="Lib","Liberica")</f>
        <v>Arabica</v>
      </c>
      <c r="N655" t="str" cm="1">
        <f t="array" ref="N655">_xlfn.IFS(I655="M","Medium",I655="L","Light",I655="D","Dark")</f>
        <v>Medium</v>
      </c>
      <c r="O655" t="str">
        <f>_xlfn.XLOOKUP(Orders[[#This Row],[Customer ID]],customers!$A$2:$A$1001,customers!$I$2:$I$1001,,0)</f>
        <v>No</v>
      </c>
    </row>
    <row r="656" spans="1:15" x14ac:dyDescent="0.3">
      <c r="A656" s="2" t="s">
        <v>4185</v>
      </c>
      <c r="B656" s="3">
        <v>43476</v>
      </c>
      <c r="C656" s="2" t="s">
        <v>4186</v>
      </c>
      <c r="D656" t="s">
        <v>6168</v>
      </c>
      <c r="E656" s="2">
        <v>3</v>
      </c>
      <c r="F656" s="2" t="str">
        <f>_xlfn.XLOOKUP(C656,customers!$A$2:$A$1001,customers!$B$2:$B$1001,,0)</f>
        <v>Marvin Malloy</v>
      </c>
      <c r="G656" s="2" t="str">
        <f>_xlfn.XLOOKUP(C656,customers!$A$2:$A$1001,customers!$G$2:$G$1001,,0)</f>
        <v>United States</v>
      </c>
      <c r="H656" t="str">
        <f>INDEX(products!$A$1:$G$49,MATCH(orders!$D656,products!$A$1:$A$49,0),MATCH(orders!H$1,products!$A$1:$G$1,0))</f>
        <v>Ara</v>
      </c>
      <c r="I656" t="str">
        <f>INDEX(products!$A$1:$G$49,MATCH(orders!$D656,products!$A$1:$A$49,0),MATCH(orders!I$1,products!$A$1:$G$1,0))</f>
        <v>D</v>
      </c>
      <c r="J656" s="5">
        <f>INDEX(products!$A$1:$G$49,MATCH(orders!$D656,products!$A$1:$A$49,0),MATCH(orders!J$1,products!$A$1:$G$1,0))</f>
        <v>2.5</v>
      </c>
      <c r="K656" s="6">
        <f>INDEX(products!$A$1:$G$49,MATCH(orders!$D656,products!$A$1:$A$49,0),MATCH(orders!K$1,products!$A$1:$G$1,0))</f>
        <v>22.884999999999998</v>
      </c>
      <c r="L656" s="6">
        <f>K656*E656</f>
        <v>68.655000000000001</v>
      </c>
      <c r="M656" t="str" cm="1">
        <f t="array" ref="M656">_xlfn.IFS(H656="Rob","Robusta",H656="Exc","Excelsa",H656="Ara","Arabica",H656="Lib","Liberica")</f>
        <v>Arabica</v>
      </c>
      <c r="N656" t="str" cm="1">
        <f t="array" ref="N656">_xlfn.IFS(I656="M","Medium",I656="L","Light",I656="D","Dark")</f>
        <v>Dark</v>
      </c>
      <c r="O656" t="str">
        <f>_xlfn.XLOOKUP(Orders[[#This Row],[Customer ID]],customers!$A$2:$A$1001,customers!$I$2:$I$1001,,0)</f>
        <v>No</v>
      </c>
    </row>
    <row r="657" spans="1:15" x14ac:dyDescent="0.3">
      <c r="A657" s="2" t="s">
        <v>4191</v>
      </c>
      <c r="B657" s="3">
        <v>43728</v>
      </c>
      <c r="C657" s="2" t="s">
        <v>4192</v>
      </c>
      <c r="D657" t="s">
        <v>6151</v>
      </c>
      <c r="E657" s="2">
        <v>2</v>
      </c>
      <c r="F657" s="2" t="str">
        <f>_xlfn.XLOOKUP(C657,customers!$A$2:$A$1001,customers!$B$2:$B$1001,,0)</f>
        <v>Maxim McParland</v>
      </c>
      <c r="G657" s="2" t="str">
        <f>_xlfn.XLOOKUP(C657,customers!$A$2:$A$1001,customers!$G$2:$G$1001,,0)</f>
        <v>United States</v>
      </c>
      <c r="H657" t="str">
        <f>INDEX(products!$A$1:$G$49,MATCH(orders!$D657,products!$A$1:$A$49,0),MATCH(orders!H$1,products!$A$1:$G$1,0))</f>
        <v>Rob</v>
      </c>
      <c r="I657" t="str">
        <f>INDEX(products!$A$1:$G$49,MATCH(orders!$D657,products!$A$1:$A$49,0),MATCH(orders!I$1,products!$A$1:$G$1,0))</f>
        <v>M</v>
      </c>
      <c r="J657" s="5">
        <f>INDEX(products!$A$1:$G$49,MATCH(orders!$D657,products!$A$1:$A$49,0),MATCH(orders!J$1,products!$A$1:$G$1,0))</f>
        <v>2.5</v>
      </c>
      <c r="K657" s="6">
        <f>INDEX(products!$A$1:$G$49,MATCH(orders!$D657,products!$A$1:$A$49,0),MATCH(orders!K$1,products!$A$1:$G$1,0))</f>
        <v>22.884999999999998</v>
      </c>
      <c r="L657" s="6">
        <f>K657*E657</f>
        <v>45.769999999999996</v>
      </c>
      <c r="M657" t="str" cm="1">
        <f t="array" ref="M657">_xlfn.IFS(H657="Rob","Robusta",H657="Exc","Excelsa",H657="Ara","Arabica",H657="Lib","Liberica")</f>
        <v>Robusta</v>
      </c>
      <c r="N657" t="str" cm="1">
        <f t="array" ref="N657">_xlfn.IFS(I657="M","Medium",I657="L","Light",I657="D","Dark")</f>
        <v>Medium</v>
      </c>
      <c r="O657" t="str">
        <f>_xlfn.XLOOKUP(Orders[[#This Row],[Customer ID]],customers!$A$2:$A$1001,customers!$I$2:$I$1001,,0)</f>
        <v>Yes</v>
      </c>
    </row>
    <row r="658" spans="1:15" x14ac:dyDescent="0.3">
      <c r="A658" s="2" t="s">
        <v>4196</v>
      </c>
      <c r="B658" s="3">
        <v>44485</v>
      </c>
      <c r="C658" s="2" t="s">
        <v>4197</v>
      </c>
      <c r="D658" t="s">
        <v>6143</v>
      </c>
      <c r="E658" s="2">
        <v>4</v>
      </c>
      <c r="F658" s="2" t="str">
        <f>_xlfn.XLOOKUP(C658,customers!$A$2:$A$1001,customers!$B$2:$B$1001,,0)</f>
        <v>Sylas Jennaroy</v>
      </c>
      <c r="G658" s="2" t="str">
        <f>_xlfn.XLOOKUP(C658,customers!$A$2:$A$1001,customers!$G$2:$G$1001,,0)</f>
        <v>United States</v>
      </c>
      <c r="H658" t="str">
        <f>INDEX(products!$A$1:$G$49,MATCH(orders!$D658,products!$A$1:$A$49,0),MATCH(orders!H$1,products!$A$1:$G$1,0))</f>
        <v>Lib</v>
      </c>
      <c r="I658" t="str">
        <f>INDEX(products!$A$1:$G$49,MATCH(orders!$D658,products!$A$1:$A$49,0),MATCH(orders!I$1,products!$A$1:$G$1,0))</f>
        <v>D</v>
      </c>
      <c r="J658" s="5">
        <f>INDEX(products!$A$1:$G$49,MATCH(orders!$D658,products!$A$1:$A$49,0),MATCH(orders!J$1,products!$A$1:$G$1,0))</f>
        <v>1</v>
      </c>
      <c r="K658" s="6">
        <f>INDEX(products!$A$1:$G$49,MATCH(orders!$D658,products!$A$1:$A$49,0),MATCH(orders!K$1,products!$A$1:$G$1,0))</f>
        <v>12.95</v>
      </c>
      <c r="L658" s="6">
        <f>K658*E658</f>
        <v>51.8</v>
      </c>
      <c r="M658" t="str" cm="1">
        <f t="array" ref="M658">_xlfn.IFS(H658="Rob","Robusta",H658="Exc","Excelsa",H658="Ara","Arabica",H658="Lib","Liberica")</f>
        <v>Liberica</v>
      </c>
      <c r="N658" t="str" cm="1">
        <f t="array" ref="N658">_xlfn.IFS(I658="M","Medium",I658="L","Light",I658="D","Dark")</f>
        <v>Dark</v>
      </c>
      <c r="O658" t="str">
        <f>_xlfn.XLOOKUP(Orders[[#This Row],[Customer ID]],customers!$A$2:$A$1001,customers!$I$2:$I$1001,,0)</f>
        <v>No</v>
      </c>
    </row>
    <row r="659" spans="1:15" x14ac:dyDescent="0.3">
      <c r="A659" s="2" t="s">
        <v>4201</v>
      </c>
      <c r="B659" s="3">
        <v>43831</v>
      </c>
      <c r="C659" s="2" t="s">
        <v>4202</v>
      </c>
      <c r="D659" t="s">
        <v>6157</v>
      </c>
      <c r="E659" s="2">
        <v>2</v>
      </c>
      <c r="F659" s="2" t="str">
        <f>_xlfn.XLOOKUP(C659,customers!$A$2:$A$1001,customers!$B$2:$B$1001,,0)</f>
        <v>Wren Place</v>
      </c>
      <c r="G659" s="2" t="str">
        <f>_xlfn.XLOOKUP(C659,customers!$A$2:$A$1001,customers!$G$2:$G$1001,,0)</f>
        <v>United States</v>
      </c>
      <c r="H659" t="str">
        <f>INDEX(products!$A$1:$G$49,MATCH(orders!$D659,products!$A$1:$A$49,0),MATCH(orders!H$1,products!$A$1:$G$1,0))</f>
        <v>Ara</v>
      </c>
      <c r="I659" t="str">
        <f>INDEX(products!$A$1:$G$49,MATCH(orders!$D659,products!$A$1:$A$49,0),MATCH(orders!I$1,products!$A$1:$G$1,0))</f>
        <v>M</v>
      </c>
      <c r="J659" s="5">
        <f>INDEX(products!$A$1:$G$49,MATCH(orders!$D659,products!$A$1:$A$49,0),MATCH(orders!J$1,products!$A$1:$G$1,0))</f>
        <v>0.5</v>
      </c>
      <c r="K659" s="6">
        <f>INDEX(products!$A$1:$G$49,MATCH(orders!$D659,products!$A$1:$A$49,0),MATCH(orders!K$1,products!$A$1:$G$1,0))</f>
        <v>6.75</v>
      </c>
      <c r="L659" s="6">
        <f>K659*E659</f>
        <v>13.5</v>
      </c>
      <c r="M659" t="str" cm="1">
        <f t="array" ref="M659">_xlfn.IFS(H659="Rob","Robusta",H659="Exc","Excelsa",H659="Ara","Arabica",H659="Lib","Liberica")</f>
        <v>Arabica</v>
      </c>
      <c r="N659" t="str" cm="1">
        <f t="array" ref="N659">_xlfn.IFS(I659="M","Medium",I659="L","Light",I659="D","Dark")</f>
        <v>Medium</v>
      </c>
      <c r="O659" t="str">
        <f>_xlfn.XLOOKUP(Orders[[#This Row],[Customer ID]],customers!$A$2:$A$1001,customers!$I$2:$I$1001,,0)</f>
        <v>Yes</v>
      </c>
    </row>
    <row r="660" spans="1:15" x14ac:dyDescent="0.3">
      <c r="A660" s="2" t="s">
        <v>4207</v>
      </c>
      <c r="B660" s="3">
        <v>44630</v>
      </c>
      <c r="C660" s="2" t="s">
        <v>4263</v>
      </c>
      <c r="D660" t="s">
        <v>6139</v>
      </c>
      <c r="E660" s="2">
        <v>3</v>
      </c>
      <c r="F660" s="2" t="str">
        <f>_xlfn.XLOOKUP(C660,customers!$A$2:$A$1001,customers!$B$2:$B$1001,,0)</f>
        <v>Janella Millett</v>
      </c>
      <c r="G660" s="2" t="str">
        <f>_xlfn.XLOOKUP(C660,customers!$A$2:$A$1001,customers!$G$2:$G$1001,,0)</f>
        <v>United States</v>
      </c>
      <c r="H660" t="str">
        <f>INDEX(products!$A$1:$G$49,MATCH(orders!$D660,products!$A$1:$A$49,0),MATCH(orders!H$1,products!$A$1:$G$1,0))</f>
        <v>Exc</v>
      </c>
      <c r="I660" t="str">
        <f>INDEX(products!$A$1:$G$49,MATCH(orders!$D660,products!$A$1:$A$49,0),MATCH(orders!I$1,products!$A$1:$G$1,0))</f>
        <v>M</v>
      </c>
      <c r="J660" s="5">
        <f>INDEX(products!$A$1:$G$49,MATCH(orders!$D660,products!$A$1:$A$49,0),MATCH(orders!J$1,products!$A$1:$G$1,0))</f>
        <v>0.5</v>
      </c>
      <c r="K660" s="6">
        <f>INDEX(products!$A$1:$G$49,MATCH(orders!$D660,products!$A$1:$A$49,0),MATCH(orders!K$1,products!$A$1:$G$1,0))</f>
        <v>8.25</v>
      </c>
      <c r="L660" s="6">
        <f>K660*E660</f>
        <v>24.75</v>
      </c>
      <c r="M660" t="str" cm="1">
        <f t="array" ref="M660">_xlfn.IFS(H660="Rob","Robusta",H660="Exc","Excelsa",H660="Ara","Arabica",H660="Lib","Liberica")</f>
        <v>Excelsa</v>
      </c>
      <c r="N660" t="str" cm="1">
        <f t="array" ref="N660">_xlfn.IFS(I660="M","Medium",I660="L","Light",I660="D","Dark")</f>
        <v>Medium</v>
      </c>
      <c r="O660" t="str">
        <f>_xlfn.XLOOKUP(Orders[[#This Row],[Customer ID]],customers!$A$2:$A$1001,customers!$I$2:$I$1001,,0)</f>
        <v>Yes</v>
      </c>
    </row>
    <row r="661" spans="1:15" x14ac:dyDescent="0.3">
      <c r="A661" s="2" t="s">
        <v>4211</v>
      </c>
      <c r="B661" s="3">
        <v>44693</v>
      </c>
      <c r="C661" s="2" t="s">
        <v>4212</v>
      </c>
      <c r="D661" t="s">
        <v>6168</v>
      </c>
      <c r="E661" s="2">
        <v>2</v>
      </c>
      <c r="F661" s="2" t="str">
        <f>_xlfn.XLOOKUP(C661,customers!$A$2:$A$1001,customers!$B$2:$B$1001,,0)</f>
        <v>Dollie Gadsden</v>
      </c>
      <c r="G661" s="2" t="str">
        <f>_xlfn.XLOOKUP(C661,customers!$A$2:$A$1001,customers!$G$2:$G$1001,,0)</f>
        <v>Ireland</v>
      </c>
      <c r="H661" t="str">
        <f>INDEX(products!$A$1:$G$49,MATCH(orders!$D661,products!$A$1:$A$49,0),MATCH(orders!H$1,products!$A$1:$G$1,0))</f>
        <v>Ara</v>
      </c>
      <c r="I661" t="str">
        <f>INDEX(products!$A$1:$G$49,MATCH(orders!$D661,products!$A$1:$A$49,0),MATCH(orders!I$1,products!$A$1:$G$1,0))</f>
        <v>D</v>
      </c>
      <c r="J661" s="5">
        <f>INDEX(products!$A$1:$G$49,MATCH(orders!$D661,products!$A$1:$A$49,0),MATCH(orders!J$1,products!$A$1:$G$1,0))</f>
        <v>2.5</v>
      </c>
      <c r="K661" s="6">
        <f>INDEX(products!$A$1:$G$49,MATCH(orders!$D661,products!$A$1:$A$49,0),MATCH(orders!K$1,products!$A$1:$G$1,0))</f>
        <v>22.884999999999998</v>
      </c>
      <c r="L661" s="6">
        <f>K661*E661</f>
        <v>45.769999999999996</v>
      </c>
      <c r="M661" t="str" cm="1">
        <f t="array" ref="M661">_xlfn.IFS(H661="Rob","Robusta",H661="Exc","Excelsa",H661="Ara","Arabica",H661="Lib","Liberica")</f>
        <v>Arabica</v>
      </c>
      <c r="N661" t="str" cm="1">
        <f t="array" ref="N661">_xlfn.IFS(I661="M","Medium",I661="L","Light",I661="D","Dark")</f>
        <v>Dark</v>
      </c>
      <c r="O661" t="str">
        <f>_xlfn.XLOOKUP(Orders[[#This Row],[Customer ID]],customers!$A$2:$A$1001,customers!$I$2:$I$1001,,0)</f>
        <v>Yes</v>
      </c>
    </row>
    <row r="662" spans="1:15" x14ac:dyDescent="0.3">
      <c r="A662" s="2" t="s">
        <v>4217</v>
      </c>
      <c r="B662" s="3">
        <v>44084</v>
      </c>
      <c r="C662" s="2" t="s">
        <v>4218</v>
      </c>
      <c r="D662" t="s">
        <v>6176</v>
      </c>
      <c r="E662" s="2">
        <v>6</v>
      </c>
      <c r="F662" s="2" t="str">
        <f>_xlfn.XLOOKUP(C662,customers!$A$2:$A$1001,customers!$B$2:$B$1001,,0)</f>
        <v>Val Wakelin</v>
      </c>
      <c r="G662" s="2" t="str">
        <f>_xlfn.XLOOKUP(C662,customers!$A$2:$A$1001,customers!$G$2:$G$1001,,0)</f>
        <v>United States</v>
      </c>
      <c r="H662" t="str">
        <f>INDEX(products!$A$1:$G$49,MATCH(orders!$D662,products!$A$1:$A$49,0),MATCH(orders!H$1,products!$A$1:$G$1,0))</f>
        <v>Exc</v>
      </c>
      <c r="I662" t="str">
        <f>INDEX(products!$A$1:$G$49,MATCH(orders!$D662,products!$A$1:$A$49,0),MATCH(orders!I$1,products!$A$1:$G$1,0))</f>
        <v>L</v>
      </c>
      <c r="J662" s="5">
        <f>INDEX(products!$A$1:$G$49,MATCH(orders!$D662,products!$A$1:$A$49,0),MATCH(orders!J$1,products!$A$1:$G$1,0))</f>
        <v>0.5</v>
      </c>
      <c r="K662" s="6">
        <f>INDEX(products!$A$1:$G$49,MATCH(orders!$D662,products!$A$1:$A$49,0),MATCH(orders!K$1,products!$A$1:$G$1,0))</f>
        <v>8.91</v>
      </c>
      <c r="L662" s="6">
        <f>K662*E662</f>
        <v>53.46</v>
      </c>
      <c r="M662" t="str" cm="1">
        <f t="array" ref="M662">_xlfn.IFS(H662="Rob","Robusta",H662="Exc","Excelsa",H662="Ara","Arabica",H662="Lib","Liberica")</f>
        <v>Excelsa</v>
      </c>
      <c r="N662" t="str" cm="1">
        <f t="array" ref="N662">_xlfn.IFS(I662="M","Medium",I662="L","Light",I662="D","Dark")</f>
        <v>Light</v>
      </c>
      <c r="O662" t="str">
        <f>_xlfn.XLOOKUP(Orders[[#This Row],[Customer ID]],customers!$A$2:$A$1001,customers!$I$2:$I$1001,,0)</f>
        <v>No</v>
      </c>
    </row>
    <row r="663" spans="1:15" x14ac:dyDescent="0.3">
      <c r="A663" s="2" t="s">
        <v>4223</v>
      </c>
      <c r="B663" s="3">
        <v>44485</v>
      </c>
      <c r="C663" s="2" t="s">
        <v>4224</v>
      </c>
      <c r="D663" t="s">
        <v>6152</v>
      </c>
      <c r="E663" s="2">
        <v>6</v>
      </c>
      <c r="F663" s="2" t="str">
        <f>_xlfn.XLOOKUP(C663,customers!$A$2:$A$1001,customers!$B$2:$B$1001,,0)</f>
        <v>Annie Campsall</v>
      </c>
      <c r="G663" s="2" t="str">
        <f>_xlfn.XLOOKUP(C663,customers!$A$2:$A$1001,customers!$G$2:$G$1001,,0)</f>
        <v>United States</v>
      </c>
      <c r="H663" t="str">
        <f>INDEX(products!$A$1:$G$49,MATCH(orders!$D663,products!$A$1:$A$49,0),MATCH(orders!H$1,products!$A$1:$G$1,0))</f>
        <v>Ara</v>
      </c>
      <c r="I663" t="str">
        <f>INDEX(products!$A$1:$G$49,MATCH(orders!$D663,products!$A$1:$A$49,0),MATCH(orders!I$1,products!$A$1:$G$1,0))</f>
        <v>M</v>
      </c>
      <c r="J663" s="5">
        <f>INDEX(products!$A$1:$G$49,MATCH(orders!$D663,products!$A$1:$A$49,0),MATCH(orders!J$1,products!$A$1:$G$1,0))</f>
        <v>0.2</v>
      </c>
      <c r="K663" s="6">
        <f>INDEX(products!$A$1:$G$49,MATCH(orders!$D663,products!$A$1:$A$49,0),MATCH(orders!K$1,products!$A$1:$G$1,0))</f>
        <v>3.375</v>
      </c>
      <c r="L663" s="6">
        <f>K663*E663</f>
        <v>20.25</v>
      </c>
      <c r="M663" t="str" cm="1">
        <f t="array" ref="M663">_xlfn.IFS(H663="Rob","Robusta",H663="Exc","Excelsa",H663="Ara","Arabica",H663="Lib","Liberica")</f>
        <v>Arabica</v>
      </c>
      <c r="N663" t="str" cm="1">
        <f t="array" ref="N663">_xlfn.IFS(I663="M","Medium",I663="L","Light",I663="D","Dark")</f>
        <v>Medium</v>
      </c>
      <c r="O663" t="str">
        <f>_xlfn.XLOOKUP(Orders[[#This Row],[Customer ID]],customers!$A$2:$A$1001,customers!$I$2:$I$1001,,0)</f>
        <v>Yes</v>
      </c>
    </row>
    <row r="664" spans="1:15" x14ac:dyDescent="0.3">
      <c r="A664" s="2" t="s">
        <v>4229</v>
      </c>
      <c r="B664" s="3">
        <v>44364</v>
      </c>
      <c r="C664" s="2" t="s">
        <v>4230</v>
      </c>
      <c r="D664" t="s">
        <v>6165</v>
      </c>
      <c r="E664" s="2">
        <v>5</v>
      </c>
      <c r="F664" s="2" t="str">
        <f>_xlfn.XLOOKUP(C664,customers!$A$2:$A$1001,customers!$B$2:$B$1001,,0)</f>
        <v>Shermy Moseby</v>
      </c>
      <c r="G664" s="2" t="str">
        <f>_xlfn.XLOOKUP(C664,customers!$A$2:$A$1001,customers!$G$2:$G$1001,,0)</f>
        <v>United States</v>
      </c>
      <c r="H664" t="str">
        <f>INDEX(products!$A$1:$G$49,MATCH(orders!$D664,products!$A$1:$A$49,0),MATCH(orders!H$1,products!$A$1:$G$1,0))</f>
        <v>Lib</v>
      </c>
      <c r="I664" t="str">
        <f>INDEX(products!$A$1:$G$49,MATCH(orders!$D664,products!$A$1:$A$49,0),MATCH(orders!I$1,products!$A$1:$G$1,0))</f>
        <v>D</v>
      </c>
      <c r="J664" s="5">
        <f>INDEX(products!$A$1:$G$49,MATCH(orders!$D664,products!$A$1:$A$49,0),MATCH(orders!J$1,products!$A$1:$G$1,0))</f>
        <v>2.5</v>
      </c>
      <c r="K664" s="6">
        <f>INDEX(products!$A$1:$G$49,MATCH(orders!$D664,products!$A$1:$A$49,0),MATCH(orders!K$1,products!$A$1:$G$1,0))</f>
        <v>29.784999999999997</v>
      </c>
      <c r="L664" s="6">
        <f>K664*E664</f>
        <v>148.92499999999998</v>
      </c>
      <c r="M664" t="str" cm="1">
        <f t="array" ref="M664">_xlfn.IFS(H664="Rob","Robusta",H664="Exc","Excelsa",H664="Ara","Arabica",H664="Lib","Liberica")</f>
        <v>Liberica</v>
      </c>
      <c r="N664" t="str" cm="1">
        <f t="array" ref="N664">_xlfn.IFS(I664="M","Medium",I664="L","Light",I664="D","Dark")</f>
        <v>Dark</v>
      </c>
      <c r="O664" t="str">
        <f>_xlfn.XLOOKUP(Orders[[#This Row],[Customer ID]],customers!$A$2:$A$1001,customers!$I$2:$I$1001,,0)</f>
        <v>No</v>
      </c>
    </row>
    <row r="665" spans="1:15" x14ac:dyDescent="0.3">
      <c r="A665" s="2" t="s">
        <v>4234</v>
      </c>
      <c r="B665" s="3">
        <v>43554</v>
      </c>
      <c r="C665" s="2" t="s">
        <v>4235</v>
      </c>
      <c r="D665" t="s">
        <v>6155</v>
      </c>
      <c r="E665" s="2">
        <v>6</v>
      </c>
      <c r="F665" s="2" t="str">
        <f>_xlfn.XLOOKUP(C665,customers!$A$2:$A$1001,customers!$B$2:$B$1001,,0)</f>
        <v>Corrie Wass</v>
      </c>
      <c r="G665" s="2" t="str">
        <f>_xlfn.XLOOKUP(C665,customers!$A$2:$A$1001,customers!$G$2:$G$1001,,0)</f>
        <v>United States</v>
      </c>
      <c r="H665" t="str">
        <f>INDEX(products!$A$1:$G$49,MATCH(orders!$D665,products!$A$1:$A$49,0),MATCH(orders!H$1,products!$A$1:$G$1,0))</f>
        <v>Ara</v>
      </c>
      <c r="I665" t="str">
        <f>INDEX(products!$A$1:$G$49,MATCH(orders!$D665,products!$A$1:$A$49,0),MATCH(orders!I$1,products!$A$1:$G$1,0))</f>
        <v>M</v>
      </c>
      <c r="J665" s="5">
        <f>INDEX(products!$A$1:$G$49,MATCH(orders!$D665,products!$A$1:$A$49,0),MATCH(orders!J$1,products!$A$1:$G$1,0))</f>
        <v>1</v>
      </c>
      <c r="K665" s="6">
        <f>INDEX(products!$A$1:$G$49,MATCH(orders!$D665,products!$A$1:$A$49,0),MATCH(orders!K$1,products!$A$1:$G$1,0))</f>
        <v>11.25</v>
      </c>
      <c r="L665" s="6">
        <f>K665*E665</f>
        <v>67.5</v>
      </c>
      <c r="M665" t="str" cm="1">
        <f t="array" ref="M665">_xlfn.IFS(H665="Rob","Robusta",H665="Exc","Excelsa",H665="Ara","Arabica",H665="Lib","Liberica")</f>
        <v>Arabica</v>
      </c>
      <c r="N665" t="str" cm="1">
        <f t="array" ref="N665">_xlfn.IFS(I665="M","Medium",I665="L","Light",I665="D","Dark")</f>
        <v>Medium</v>
      </c>
      <c r="O665" t="str">
        <f>_xlfn.XLOOKUP(Orders[[#This Row],[Customer ID]],customers!$A$2:$A$1001,customers!$I$2:$I$1001,,0)</f>
        <v>No</v>
      </c>
    </row>
    <row r="666" spans="1:15" x14ac:dyDescent="0.3">
      <c r="A666" s="2" t="s">
        <v>4239</v>
      </c>
      <c r="B666" s="3">
        <v>44549</v>
      </c>
      <c r="C666" s="2" t="s">
        <v>4240</v>
      </c>
      <c r="D666" t="s">
        <v>6183</v>
      </c>
      <c r="E666" s="2">
        <v>6</v>
      </c>
      <c r="F666" s="2" t="str">
        <f>_xlfn.XLOOKUP(C666,customers!$A$2:$A$1001,customers!$B$2:$B$1001,,0)</f>
        <v>Ira Sjostrom</v>
      </c>
      <c r="G666" s="2" t="str">
        <f>_xlfn.XLOOKUP(C666,customers!$A$2:$A$1001,customers!$G$2:$G$1001,,0)</f>
        <v>United States</v>
      </c>
      <c r="H666" t="str">
        <f>INDEX(products!$A$1:$G$49,MATCH(orders!$D666,products!$A$1:$A$49,0),MATCH(orders!H$1,products!$A$1:$G$1,0))</f>
        <v>Exc</v>
      </c>
      <c r="I666" t="str">
        <f>INDEX(products!$A$1:$G$49,MATCH(orders!$D666,products!$A$1:$A$49,0),MATCH(orders!I$1,products!$A$1:$G$1,0))</f>
        <v>D</v>
      </c>
      <c r="J666" s="5">
        <f>INDEX(products!$A$1:$G$49,MATCH(orders!$D666,products!$A$1:$A$49,0),MATCH(orders!J$1,products!$A$1:$G$1,0))</f>
        <v>1</v>
      </c>
      <c r="K666" s="6">
        <f>INDEX(products!$A$1:$G$49,MATCH(orders!$D666,products!$A$1:$A$49,0),MATCH(orders!K$1,products!$A$1:$G$1,0))</f>
        <v>12.15</v>
      </c>
      <c r="L666" s="6">
        <f>K666*E666</f>
        <v>72.900000000000006</v>
      </c>
      <c r="M666" t="str" cm="1">
        <f t="array" ref="M666">_xlfn.IFS(H666="Rob","Robusta",H666="Exc","Excelsa",H666="Ara","Arabica",H666="Lib","Liberica")</f>
        <v>Excelsa</v>
      </c>
      <c r="N666" t="str" cm="1">
        <f t="array" ref="N666">_xlfn.IFS(I666="M","Medium",I666="L","Light",I666="D","Dark")</f>
        <v>Dark</v>
      </c>
      <c r="O666" t="str">
        <f>_xlfn.XLOOKUP(Orders[[#This Row],[Customer ID]],customers!$A$2:$A$1001,customers!$I$2:$I$1001,,0)</f>
        <v>No</v>
      </c>
    </row>
    <row r="667" spans="1:15" x14ac:dyDescent="0.3">
      <c r="A667" s="2" t="s">
        <v>4239</v>
      </c>
      <c r="B667" s="3">
        <v>44549</v>
      </c>
      <c r="C667" s="2" t="s">
        <v>4240</v>
      </c>
      <c r="D667" t="s">
        <v>6150</v>
      </c>
      <c r="E667" s="2">
        <v>2</v>
      </c>
      <c r="F667" s="2" t="str">
        <f>_xlfn.XLOOKUP(C667,customers!$A$2:$A$1001,customers!$B$2:$B$1001,,0)</f>
        <v>Ira Sjostrom</v>
      </c>
      <c r="G667" s="2" t="str">
        <f>_xlfn.XLOOKUP(C667,customers!$A$2:$A$1001,customers!$G$2:$G$1001,,0)</f>
        <v>United States</v>
      </c>
      <c r="H667" t="str">
        <f>INDEX(products!$A$1:$G$49,MATCH(orders!$D667,products!$A$1:$A$49,0),MATCH(orders!H$1,products!$A$1:$G$1,0))</f>
        <v>Lib</v>
      </c>
      <c r="I667" t="str">
        <f>INDEX(products!$A$1:$G$49,MATCH(orders!$D667,products!$A$1:$A$49,0),MATCH(orders!I$1,products!$A$1:$G$1,0))</f>
        <v>D</v>
      </c>
      <c r="J667" s="5">
        <f>INDEX(products!$A$1:$G$49,MATCH(orders!$D667,products!$A$1:$A$49,0),MATCH(orders!J$1,products!$A$1:$G$1,0))</f>
        <v>0.2</v>
      </c>
      <c r="K667" s="6">
        <f>INDEX(products!$A$1:$G$49,MATCH(orders!$D667,products!$A$1:$A$49,0),MATCH(orders!K$1,products!$A$1:$G$1,0))</f>
        <v>3.8849999999999998</v>
      </c>
      <c r="L667" s="6">
        <f>K667*E667</f>
        <v>7.77</v>
      </c>
      <c r="M667" t="str" cm="1">
        <f t="array" ref="M667">_xlfn.IFS(H667="Rob","Robusta",H667="Exc","Excelsa",H667="Ara","Arabica",H667="Lib","Liberica")</f>
        <v>Liberica</v>
      </c>
      <c r="N667" t="str" cm="1">
        <f t="array" ref="N667">_xlfn.IFS(I667="M","Medium",I667="L","Light",I667="D","Dark")</f>
        <v>Dark</v>
      </c>
      <c r="O667" t="str">
        <f>_xlfn.XLOOKUP(Orders[[#This Row],[Customer ID]],customers!$A$2:$A$1001,customers!$I$2:$I$1001,,0)</f>
        <v>No</v>
      </c>
    </row>
    <row r="668" spans="1:15" x14ac:dyDescent="0.3">
      <c r="A668" s="2" t="s">
        <v>4250</v>
      </c>
      <c r="B668" s="3">
        <v>43987</v>
      </c>
      <c r="C668" s="2" t="s">
        <v>4251</v>
      </c>
      <c r="D668" t="s">
        <v>6168</v>
      </c>
      <c r="E668" s="2">
        <v>4</v>
      </c>
      <c r="F668" s="2" t="str">
        <f>_xlfn.XLOOKUP(C668,customers!$A$2:$A$1001,customers!$B$2:$B$1001,,0)</f>
        <v>Jermaine Branchett</v>
      </c>
      <c r="G668" s="2" t="str">
        <f>_xlfn.XLOOKUP(C668,customers!$A$2:$A$1001,customers!$G$2:$G$1001,,0)</f>
        <v>United States</v>
      </c>
      <c r="H668" t="str">
        <f>INDEX(products!$A$1:$G$49,MATCH(orders!$D668,products!$A$1:$A$49,0),MATCH(orders!H$1,products!$A$1:$G$1,0))</f>
        <v>Ara</v>
      </c>
      <c r="I668" t="str">
        <f>INDEX(products!$A$1:$G$49,MATCH(orders!$D668,products!$A$1:$A$49,0),MATCH(orders!I$1,products!$A$1:$G$1,0))</f>
        <v>D</v>
      </c>
      <c r="J668" s="5">
        <f>INDEX(products!$A$1:$G$49,MATCH(orders!$D668,products!$A$1:$A$49,0),MATCH(orders!J$1,products!$A$1:$G$1,0))</f>
        <v>2.5</v>
      </c>
      <c r="K668" s="6">
        <f>INDEX(products!$A$1:$G$49,MATCH(orders!$D668,products!$A$1:$A$49,0),MATCH(orders!K$1,products!$A$1:$G$1,0))</f>
        <v>22.884999999999998</v>
      </c>
      <c r="L668" s="6">
        <f>K668*E668</f>
        <v>91.539999999999992</v>
      </c>
      <c r="M668" t="str" cm="1">
        <f t="array" ref="M668">_xlfn.IFS(H668="Rob","Robusta",H668="Exc","Excelsa",H668="Ara","Arabica",H668="Lib","Liberica")</f>
        <v>Arabica</v>
      </c>
      <c r="N668" t="str" cm="1">
        <f t="array" ref="N668">_xlfn.IFS(I668="M","Medium",I668="L","Light",I668="D","Dark")</f>
        <v>Dark</v>
      </c>
      <c r="O668" t="str">
        <f>_xlfn.XLOOKUP(Orders[[#This Row],[Customer ID]],customers!$A$2:$A$1001,customers!$I$2:$I$1001,,0)</f>
        <v>No</v>
      </c>
    </row>
    <row r="669" spans="1:15" x14ac:dyDescent="0.3">
      <c r="A669" s="2" t="s">
        <v>4256</v>
      </c>
      <c r="B669" s="3">
        <v>44451</v>
      </c>
      <c r="C669" s="2" t="s">
        <v>4257</v>
      </c>
      <c r="D669" t="s">
        <v>6147</v>
      </c>
      <c r="E669" s="2">
        <v>6</v>
      </c>
      <c r="F669" s="2" t="str">
        <f>_xlfn.XLOOKUP(C669,customers!$A$2:$A$1001,customers!$B$2:$B$1001,,0)</f>
        <v>Nissie Rudland</v>
      </c>
      <c r="G669" s="2" t="str">
        <f>_xlfn.XLOOKUP(C669,customers!$A$2:$A$1001,customers!$G$2:$G$1001,,0)</f>
        <v>Ireland</v>
      </c>
      <c r="H669" t="str">
        <f>INDEX(products!$A$1:$G$49,MATCH(orders!$D669,products!$A$1:$A$49,0),MATCH(orders!H$1,products!$A$1:$G$1,0))</f>
        <v>Ara</v>
      </c>
      <c r="I669" t="str">
        <f>INDEX(products!$A$1:$G$49,MATCH(orders!$D669,products!$A$1:$A$49,0),MATCH(orders!I$1,products!$A$1:$G$1,0))</f>
        <v>D</v>
      </c>
      <c r="J669" s="5">
        <f>INDEX(products!$A$1:$G$49,MATCH(orders!$D669,products!$A$1:$A$49,0),MATCH(orders!J$1,products!$A$1:$G$1,0))</f>
        <v>1</v>
      </c>
      <c r="K669" s="6">
        <f>INDEX(products!$A$1:$G$49,MATCH(orders!$D669,products!$A$1:$A$49,0),MATCH(orders!K$1,products!$A$1:$G$1,0))</f>
        <v>9.9499999999999993</v>
      </c>
      <c r="L669" s="6">
        <f>K669*E669</f>
        <v>59.699999999999996</v>
      </c>
      <c r="M669" t="str" cm="1">
        <f t="array" ref="M669">_xlfn.IFS(H669="Rob","Robusta",H669="Exc","Excelsa",H669="Ara","Arabica",H669="Lib","Liberica")</f>
        <v>Arabica</v>
      </c>
      <c r="N669" t="str" cm="1">
        <f t="array" ref="N669">_xlfn.IFS(I669="M","Medium",I669="L","Light",I669="D","Dark")</f>
        <v>Dark</v>
      </c>
      <c r="O669" t="str">
        <f>_xlfn.XLOOKUP(Orders[[#This Row],[Customer ID]],customers!$A$2:$A$1001,customers!$I$2:$I$1001,,0)</f>
        <v>No</v>
      </c>
    </row>
    <row r="670" spans="1:15" x14ac:dyDescent="0.3">
      <c r="A670" s="2" t="s">
        <v>4262</v>
      </c>
      <c r="B670" s="3">
        <v>44636</v>
      </c>
      <c r="C670" s="2" t="s">
        <v>4263</v>
      </c>
      <c r="D670" t="s">
        <v>6142</v>
      </c>
      <c r="E670" s="2">
        <v>5</v>
      </c>
      <c r="F670" s="2" t="str">
        <f>_xlfn.XLOOKUP(C670,customers!$A$2:$A$1001,customers!$B$2:$B$1001,,0)</f>
        <v>Janella Millett</v>
      </c>
      <c r="G670" s="2" t="str">
        <f>_xlfn.XLOOKUP(C670,customers!$A$2:$A$1001,customers!$G$2:$G$1001,,0)</f>
        <v>United States</v>
      </c>
      <c r="H670" t="str">
        <f>INDEX(products!$A$1:$G$49,MATCH(orders!$D670,products!$A$1:$A$49,0),MATCH(orders!H$1,products!$A$1:$G$1,0))</f>
        <v>Rob</v>
      </c>
      <c r="I670" t="str">
        <f>INDEX(products!$A$1:$G$49,MATCH(orders!$D670,products!$A$1:$A$49,0),MATCH(orders!I$1,products!$A$1:$G$1,0))</f>
        <v>L</v>
      </c>
      <c r="J670" s="5">
        <f>INDEX(products!$A$1:$G$49,MATCH(orders!$D670,products!$A$1:$A$49,0),MATCH(orders!J$1,products!$A$1:$G$1,0))</f>
        <v>2.5</v>
      </c>
      <c r="K670" s="6">
        <f>INDEX(products!$A$1:$G$49,MATCH(orders!$D670,products!$A$1:$A$49,0),MATCH(orders!K$1,products!$A$1:$G$1,0))</f>
        <v>27.484999999999996</v>
      </c>
      <c r="L670" s="6">
        <f>K670*E670</f>
        <v>137.42499999999998</v>
      </c>
      <c r="M670" t="str" cm="1">
        <f t="array" ref="M670">_xlfn.IFS(H670="Rob","Robusta",H670="Exc","Excelsa",H670="Ara","Arabica",H670="Lib","Liberica")</f>
        <v>Robusta</v>
      </c>
      <c r="N670" t="str" cm="1">
        <f t="array" ref="N670">_xlfn.IFS(I670="M","Medium",I670="L","Light",I670="D","Dark")</f>
        <v>Light</v>
      </c>
      <c r="O670" t="str">
        <f>_xlfn.XLOOKUP(Orders[[#This Row],[Customer ID]],customers!$A$2:$A$1001,customers!$I$2:$I$1001,,0)</f>
        <v>Yes</v>
      </c>
    </row>
    <row r="671" spans="1:15" x14ac:dyDescent="0.3">
      <c r="A671" s="2" t="s">
        <v>4268</v>
      </c>
      <c r="B671" s="3">
        <v>44551</v>
      </c>
      <c r="C671" s="2" t="s">
        <v>4269</v>
      </c>
      <c r="D671" t="s">
        <v>6181</v>
      </c>
      <c r="E671" s="2">
        <v>2</v>
      </c>
      <c r="F671" s="2" t="str">
        <f>_xlfn.XLOOKUP(C671,customers!$A$2:$A$1001,customers!$B$2:$B$1001,,0)</f>
        <v>Ferdie Tourry</v>
      </c>
      <c r="G671" s="2" t="str">
        <f>_xlfn.XLOOKUP(C671,customers!$A$2:$A$1001,customers!$G$2:$G$1001,,0)</f>
        <v>United States</v>
      </c>
      <c r="H671" t="str">
        <f>INDEX(products!$A$1:$G$49,MATCH(orders!$D671,products!$A$1:$A$49,0),MATCH(orders!H$1,products!$A$1:$G$1,0))</f>
        <v>Lib</v>
      </c>
      <c r="I671" t="str">
        <f>INDEX(products!$A$1:$G$49,MATCH(orders!$D671,products!$A$1:$A$49,0),MATCH(orders!I$1,products!$A$1:$G$1,0))</f>
        <v>M</v>
      </c>
      <c r="J671" s="5">
        <f>INDEX(products!$A$1:$G$49,MATCH(orders!$D671,products!$A$1:$A$49,0),MATCH(orders!J$1,products!$A$1:$G$1,0))</f>
        <v>2.5</v>
      </c>
      <c r="K671" s="6">
        <f>INDEX(products!$A$1:$G$49,MATCH(orders!$D671,products!$A$1:$A$49,0),MATCH(orders!K$1,products!$A$1:$G$1,0))</f>
        <v>33.464999999999996</v>
      </c>
      <c r="L671" s="6">
        <f>K671*E671</f>
        <v>66.929999999999993</v>
      </c>
      <c r="M671" t="str" cm="1">
        <f t="array" ref="M671">_xlfn.IFS(H671="Rob","Robusta",H671="Exc","Excelsa",H671="Ara","Arabica",H671="Lib","Liberica")</f>
        <v>Liberica</v>
      </c>
      <c r="N671" t="str" cm="1">
        <f t="array" ref="N671">_xlfn.IFS(I671="M","Medium",I671="L","Light",I671="D","Dark")</f>
        <v>Medium</v>
      </c>
      <c r="O671" t="str">
        <f>_xlfn.XLOOKUP(Orders[[#This Row],[Customer ID]],customers!$A$2:$A$1001,customers!$I$2:$I$1001,,0)</f>
        <v>No</v>
      </c>
    </row>
    <row r="672" spans="1:15" x14ac:dyDescent="0.3">
      <c r="A672" s="2" t="s">
        <v>4274</v>
      </c>
      <c r="B672" s="3">
        <v>43606</v>
      </c>
      <c r="C672" s="2" t="s">
        <v>4275</v>
      </c>
      <c r="D672" t="s">
        <v>6159</v>
      </c>
      <c r="E672" s="2">
        <v>3</v>
      </c>
      <c r="F672" s="2" t="str">
        <f>_xlfn.XLOOKUP(C672,customers!$A$2:$A$1001,customers!$B$2:$B$1001,,0)</f>
        <v>Cecil Weatherall</v>
      </c>
      <c r="G672" s="2" t="str">
        <f>_xlfn.XLOOKUP(C672,customers!$A$2:$A$1001,customers!$G$2:$G$1001,,0)</f>
        <v>United States</v>
      </c>
      <c r="H672" t="str">
        <f>INDEX(products!$A$1:$G$49,MATCH(orders!$D672,products!$A$1:$A$49,0),MATCH(orders!H$1,products!$A$1:$G$1,0))</f>
        <v>Lib</v>
      </c>
      <c r="I672" t="str">
        <f>INDEX(products!$A$1:$G$49,MATCH(orders!$D672,products!$A$1:$A$49,0),MATCH(orders!I$1,products!$A$1:$G$1,0))</f>
        <v>M</v>
      </c>
      <c r="J672" s="5">
        <f>INDEX(products!$A$1:$G$49,MATCH(orders!$D672,products!$A$1:$A$49,0),MATCH(orders!J$1,products!$A$1:$G$1,0))</f>
        <v>0.2</v>
      </c>
      <c r="K672" s="6">
        <f>INDEX(products!$A$1:$G$49,MATCH(orders!$D672,products!$A$1:$A$49,0),MATCH(orders!K$1,products!$A$1:$G$1,0))</f>
        <v>4.3650000000000002</v>
      </c>
      <c r="L672" s="6">
        <f>K672*E672</f>
        <v>13.095000000000001</v>
      </c>
      <c r="M672" t="str" cm="1">
        <f t="array" ref="M672">_xlfn.IFS(H672="Rob","Robusta",H672="Exc","Excelsa",H672="Ara","Arabica",H672="Lib","Liberica")</f>
        <v>Liberica</v>
      </c>
      <c r="N672" t="str" cm="1">
        <f t="array" ref="N672">_xlfn.IFS(I672="M","Medium",I672="L","Light",I672="D","Dark")</f>
        <v>Medium</v>
      </c>
      <c r="O672" t="str">
        <f>_xlfn.XLOOKUP(Orders[[#This Row],[Customer ID]],customers!$A$2:$A$1001,customers!$I$2:$I$1001,,0)</f>
        <v>Yes</v>
      </c>
    </row>
    <row r="673" spans="1:15" x14ac:dyDescent="0.3">
      <c r="A673" s="2" t="s">
        <v>4280</v>
      </c>
      <c r="B673" s="3">
        <v>44495</v>
      </c>
      <c r="C673" s="2" t="s">
        <v>4281</v>
      </c>
      <c r="D673" t="s">
        <v>6179</v>
      </c>
      <c r="E673" s="2">
        <v>5</v>
      </c>
      <c r="F673" s="2" t="str">
        <f>_xlfn.XLOOKUP(C673,customers!$A$2:$A$1001,customers!$B$2:$B$1001,,0)</f>
        <v>Gale Heindrick</v>
      </c>
      <c r="G673" s="2" t="str">
        <f>_xlfn.XLOOKUP(C673,customers!$A$2:$A$1001,customers!$G$2:$G$1001,,0)</f>
        <v>United States</v>
      </c>
      <c r="H673" t="str">
        <f>INDEX(products!$A$1:$G$49,MATCH(orders!$D673,products!$A$1:$A$49,0),MATCH(orders!H$1,products!$A$1:$G$1,0))</f>
        <v>Rob</v>
      </c>
      <c r="I673" t="str">
        <f>INDEX(products!$A$1:$G$49,MATCH(orders!$D673,products!$A$1:$A$49,0),MATCH(orders!I$1,products!$A$1:$G$1,0))</f>
        <v>L</v>
      </c>
      <c r="J673" s="5">
        <f>INDEX(products!$A$1:$G$49,MATCH(orders!$D673,products!$A$1:$A$49,0),MATCH(orders!J$1,products!$A$1:$G$1,0))</f>
        <v>1</v>
      </c>
      <c r="K673" s="6">
        <f>INDEX(products!$A$1:$G$49,MATCH(orders!$D673,products!$A$1:$A$49,0),MATCH(orders!K$1,products!$A$1:$G$1,0))</f>
        <v>11.95</v>
      </c>
      <c r="L673" s="6">
        <f>K673*E673</f>
        <v>59.75</v>
      </c>
      <c r="M673" t="str" cm="1">
        <f t="array" ref="M673">_xlfn.IFS(H673="Rob","Robusta",H673="Exc","Excelsa",H673="Ara","Arabica",H673="Lib","Liberica")</f>
        <v>Robusta</v>
      </c>
      <c r="N673" t="str" cm="1">
        <f t="array" ref="N673">_xlfn.IFS(I673="M","Medium",I673="L","Light",I673="D","Dark")</f>
        <v>Light</v>
      </c>
      <c r="O673" t="str">
        <f>_xlfn.XLOOKUP(Orders[[#This Row],[Customer ID]],customers!$A$2:$A$1001,customers!$I$2:$I$1001,,0)</f>
        <v>No</v>
      </c>
    </row>
    <row r="674" spans="1:15" x14ac:dyDescent="0.3">
      <c r="A674" s="2" t="s">
        <v>4286</v>
      </c>
      <c r="B674" s="3">
        <v>43916</v>
      </c>
      <c r="C674" s="2" t="s">
        <v>4287</v>
      </c>
      <c r="D674" t="s">
        <v>6160</v>
      </c>
      <c r="E674" s="2">
        <v>5</v>
      </c>
      <c r="F674" s="2" t="str">
        <f>_xlfn.XLOOKUP(C674,customers!$A$2:$A$1001,customers!$B$2:$B$1001,,0)</f>
        <v>Layne Imason</v>
      </c>
      <c r="G674" s="2" t="str">
        <f>_xlfn.XLOOKUP(C674,customers!$A$2:$A$1001,customers!$G$2:$G$1001,,0)</f>
        <v>United States</v>
      </c>
      <c r="H674" t="str">
        <f>INDEX(products!$A$1:$G$49,MATCH(orders!$D674,products!$A$1:$A$49,0),MATCH(orders!H$1,products!$A$1:$G$1,0))</f>
        <v>Lib</v>
      </c>
      <c r="I674" t="str">
        <f>INDEX(products!$A$1:$G$49,MATCH(orders!$D674,products!$A$1:$A$49,0),MATCH(orders!I$1,products!$A$1:$G$1,0))</f>
        <v>M</v>
      </c>
      <c r="J674" s="5">
        <f>INDEX(products!$A$1:$G$49,MATCH(orders!$D674,products!$A$1:$A$49,0),MATCH(orders!J$1,products!$A$1:$G$1,0))</f>
        <v>0.5</v>
      </c>
      <c r="K674" s="6">
        <f>INDEX(products!$A$1:$G$49,MATCH(orders!$D674,products!$A$1:$A$49,0),MATCH(orders!K$1,products!$A$1:$G$1,0))</f>
        <v>8.73</v>
      </c>
      <c r="L674" s="6">
        <f>K674*E674</f>
        <v>43.650000000000006</v>
      </c>
      <c r="M674" t="str" cm="1">
        <f t="array" ref="M674">_xlfn.IFS(H674="Rob","Robusta",H674="Exc","Excelsa",H674="Ara","Arabica",H674="Lib","Liberica")</f>
        <v>Liberica</v>
      </c>
      <c r="N674" t="str" cm="1">
        <f t="array" ref="N674">_xlfn.IFS(I674="M","Medium",I674="L","Light",I674="D","Dark")</f>
        <v>Medium</v>
      </c>
      <c r="O674" t="str">
        <f>_xlfn.XLOOKUP(Orders[[#This Row],[Customer ID]],customers!$A$2:$A$1001,customers!$I$2:$I$1001,,0)</f>
        <v>Yes</v>
      </c>
    </row>
    <row r="675" spans="1:15" x14ac:dyDescent="0.3">
      <c r="A675" s="2" t="s">
        <v>4291</v>
      </c>
      <c r="B675" s="3">
        <v>44118</v>
      </c>
      <c r="C675" s="2" t="s">
        <v>4292</v>
      </c>
      <c r="D675" t="s">
        <v>6141</v>
      </c>
      <c r="E675" s="2">
        <v>6</v>
      </c>
      <c r="F675" s="2" t="str">
        <f>_xlfn.XLOOKUP(C675,customers!$A$2:$A$1001,customers!$B$2:$B$1001,,0)</f>
        <v>Hazel Saill</v>
      </c>
      <c r="G675" s="2" t="str">
        <f>_xlfn.XLOOKUP(C675,customers!$A$2:$A$1001,customers!$G$2:$G$1001,,0)</f>
        <v>United States</v>
      </c>
      <c r="H675" t="str">
        <f>INDEX(products!$A$1:$G$49,MATCH(orders!$D675,products!$A$1:$A$49,0),MATCH(orders!H$1,products!$A$1:$G$1,0))</f>
        <v>Exc</v>
      </c>
      <c r="I675" t="str">
        <f>INDEX(products!$A$1:$G$49,MATCH(orders!$D675,products!$A$1:$A$49,0),MATCH(orders!I$1,products!$A$1:$G$1,0))</f>
        <v>M</v>
      </c>
      <c r="J675" s="5">
        <f>INDEX(products!$A$1:$G$49,MATCH(orders!$D675,products!$A$1:$A$49,0),MATCH(orders!J$1,products!$A$1:$G$1,0))</f>
        <v>1</v>
      </c>
      <c r="K675" s="6">
        <f>INDEX(products!$A$1:$G$49,MATCH(orders!$D675,products!$A$1:$A$49,0),MATCH(orders!K$1,products!$A$1:$G$1,0))</f>
        <v>13.75</v>
      </c>
      <c r="L675" s="6">
        <f>K675*E675</f>
        <v>82.5</v>
      </c>
      <c r="M675" t="str" cm="1">
        <f t="array" ref="M675">_xlfn.IFS(H675="Rob","Robusta",H675="Exc","Excelsa",H675="Ara","Arabica",H675="Lib","Liberica")</f>
        <v>Excelsa</v>
      </c>
      <c r="N675" t="str" cm="1">
        <f t="array" ref="N675">_xlfn.IFS(I675="M","Medium",I675="L","Light",I675="D","Dark")</f>
        <v>Medium</v>
      </c>
      <c r="O675" t="str">
        <f>_xlfn.XLOOKUP(Orders[[#This Row],[Customer ID]],customers!$A$2:$A$1001,customers!$I$2:$I$1001,,0)</f>
        <v>Yes</v>
      </c>
    </row>
    <row r="676" spans="1:15" x14ac:dyDescent="0.3">
      <c r="A676" s="2" t="s">
        <v>4297</v>
      </c>
      <c r="B676" s="3">
        <v>44543</v>
      </c>
      <c r="C676" s="2" t="s">
        <v>4298</v>
      </c>
      <c r="D676" t="s">
        <v>6182</v>
      </c>
      <c r="E676" s="2">
        <v>6</v>
      </c>
      <c r="F676" s="2" t="str">
        <f>_xlfn.XLOOKUP(C676,customers!$A$2:$A$1001,customers!$B$2:$B$1001,,0)</f>
        <v>Hermann Larvor</v>
      </c>
      <c r="G676" s="2" t="str">
        <f>_xlfn.XLOOKUP(C676,customers!$A$2:$A$1001,customers!$G$2:$G$1001,,0)</f>
        <v>United States</v>
      </c>
      <c r="H676" t="str">
        <f>INDEX(products!$A$1:$G$49,MATCH(orders!$D676,products!$A$1:$A$49,0),MATCH(orders!H$1,products!$A$1:$G$1,0))</f>
        <v>Ara</v>
      </c>
      <c r="I676" t="str">
        <f>INDEX(products!$A$1:$G$49,MATCH(orders!$D676,products!$A$1:$A$49,0),MATCH(orders!I$1,products!$A$1:$G$1,0))</f>
        <v>L</v>
      </c>
      <c r="J676" s="5">
        <f>INDEX(products!$A$1:$G$49,MATCH(orders!$D676,products!$A$1:$A$49,0),MATCH(orders!J$1,products!$A$1:$G$1,0))</f>
        <v>2.5</v>
      </c>
      <c r="K676" s="6">
        <f>INDEX(products!$A$1:$G$49,MATCH(orders!$D676,products!$A$1:$A$49,0),MATCH(orders!K$1,products!$A$1:$G$1,0))</f>
        <v>29.784999999999997</v>
      </c>
      <c r="L676" s="6">
        <f>K676*E676</f>
        <v>178.70999999999998</v>
      </c>
      <c r="M676" t="str" cm="1">
        <f t="array" ref="M676">_xlfn.IFS(H676="Rob","Robusta",H676="Exc","Excelsa",H676="Ara","Arabica",H676="Lib","Liberica")</f>
        <v>Arabica</v>
      </c>
      <c r="N676" t="str" cm="1">
        <f t="array" ref="N676">_xlfn.IFS(I676="M","Medium",I676="L","Light",I676="D","Dark")</f>
        <v>Light</v>
      </c>
      <c r="O676" t="str">
        <f>_xlfn.XLOOKUP(Orders[[#This Row],[Customer ID]],customers!$A$2:$A$1001,customers!$I$2:$I$1001,,0)</f>
        <v>Yes</v>
      </c>
    </row>
    <row r="677" spans="1:15" x14ac:dyDescent="0.3">
      <c r="A677" s="2" t="s">
        <v>4303</v>
      </c>
      <c r="B677" s="3">
        <v>44263</v>
      </c>
      <c r="C677" s="2" t="s">
        <v>4304</v>
      </c>
      <c r="D677" t="s">
        <v>6165</v>
      </c>
      <c r="E677" s="2">
        <v>4</v>
      </c>
      <c r="F677" s="2" t="str">
        <f>_xlfn.XLOOKUP(C677,customers!$A$2:$A$1001,customers!$B$2:$B$1001,,0)</f>
        <v>Terri Lyford</v>
      </c>
      <c r="G677" s="2" t="str">
        <f>_xlfn.XLOOKUP(C677,customers!$A$2:$A$1001,customers!$G$2:$G$1001,,0)</f>
        <v>United States</v>
      </c>
      <c r="H677" t="str">
        <f>INDEX(products!$A$1:$G$49,MATCH(orders!$D677,products!$A$1:$A$49,0),MATCH(orders!H$1,products!$A$1:$G$1,0))</f>
        <v>Lib</v>
      </c>
      <c r="I677" t="str">
        <f>INDEX(products!$A$1:$G$49,MATCH(orders!$D677,products!$A$1:$A$49,0),MATCH(orders!I$1,products!$A$1:$G$1,0))</f>
        <v>D</v>
      </c>
      <c r="J677" s="5">
        <f>INDEX(products!$A$1:$G$49,MATCH(orders!$D677,products!$A$1:$A$49,0),MATCH(orders!J$1,products!$A$1:$G$1,0))</f>
        <v>2.5</v>
      </c>
      <c r="K677" s="6">
        <f>INDEX(products!$A$1:$G$49,MATCH(orders!$D677,products!$A$1:$A$49,0),MATCH(orders!K$1,products!$A$1:$G$1,0))</f>
        <v>29.784999999999997</v>
      </c>
      <c r="L677" s="6">
        <f>K677*E677</f>
        <v>119.13999999999999</v>
      </c>
      <c r="M677" t="str" cm="1">
        <f t="array" ref="M677">_xlfn.IFS(H677="Rob","Robusta",H677="Exc","Excelsa",H677="Ara","Arabica",H677="Lib","Liberica")</f>
        <v>Liberica</v>
      </c>
      <c r="N677" t="str" cm="1">
        <f t="array" ref="N677">_xlfn.IFS(I677="M","Medium",I677="L","Light",I677="D","Dark")</f>
        <v>Dark</v>
      </c>
      <c r="O677" t="str">
        <f>_xlfn.XLOOKUP(Orders[[#This Row],[Customer ID]],customers!$A$2:$A$1001,customers!$I$2:$I$1001,,0)</f>
        <v>Yes</v>
      </c>
    </row>
    <row r="678" spans="1:15" x14ac:dyDescent="0.3">
      <c r="A678" s="2" t="s">
        <v>4308</v>
      </c>
      <c r="B678" s="3">
        <v>44217</v>
      </c>
      <c r="C678" s="2" t="s">
        <v>4309</v>
      </c>
      <c r="D678" t="s">
        <v>6161</v>
      </c>
      <c r="E678" s="2">
        <v>5</v>
      </c>
      <c r="F678" s="2" t="str">
        <f>_xlfn.XLOOKUP(C678,customers!$A$2:$A$1001,customers!$B$2:$B$1001,,0)</f>
        <v>Gabey Cogan</v>
      </c>
      <c r="G678" s="2" t="str">
        <f>_xlfn.XLOOKUP(C678,customers!$A$2:$A$1001,customers!$G$2:$G$1001,,0)</f>
        <v>United States</v>
      </c>
      <c r="H678" t="str">
        <f>INDEX(products!$A$1:$G$49,MATCH(orders!$D678,products!$A$1:$A$49,0),MATCH(orders!H$1,products!$A$1:$G$1,0))</f>
        <v>Lib</v>
      </c>
      <c r="I678" t="str">
        <f>INDEX(products!$A$1:$G$49,MATCH(orders!$D678,products!$A$1:$A$49,0),MATCH(orders!I$1,products!$A$1:$G$1,0))</f>
        <v>L</v>
      </c>
      <c r="J678" s="5">
        <f>INDEX(products!$A$1:$G$49,MATCH(orders!$D678,products!$A$1:$A$49,0),MATCH(orders!J$1,products!$A$1:$G$1,0))</f>
        <v>0.5</v>
      </c>
      <c r="K678" s="6">
        <f>INDEX(products!$A$1:$G$49,MATCH(orders!$D678,products!$A$1:$A$49,0),MATCH(orders!K$1,products!$A$1:$G$1,0))</f>
        <v>9.51</v>
      </c>
      <c r="L678" s="6">
        <f>K678*E678</f>
        <v>47.55</v>
      </c>
      <c r="M678" t="str" cm="1">
        <f t="array" ref="M678">_xlfn.IFS(H678="Rob","Robusta",H678="Exc","Excelsa",H678="Ara","Arabica",H678="Lib","Liberica")</f>
        <v>Liberica</v>
      </c>
      <c r="N678" t="str" cm="1">
        <f t="array" ref="N678">_xlfn.IFS(I678="M","Medium",I678="L","Light",I678="D","Dark")</f>
        <v>Light</v>
      </c>
      <c r="O678" t="str">
        <f>_xlfn.XLOOKUP(Orders[[#This Row],[Customer ID]],customers!$A$2:$A$1001,customers!$I$2:$I$1001,,0)</f>
        <v>No</v>
      </c>
    </row>
    <row r="679" spans="1:15" x14ac:dyDescent="0.3">
      <c r="A679" s="2" t="s">
        <v>4313</v>
      </c>
      <c r="B679" s="3">
        <v>44206</v>
      </c>
      <c r="C679" s="2" t="s">
        <v>4314</v>
      </c>
      <c r="D679" t="s">
        <v>6160</v>
      </c>
      <c r="E679" s="2">
        <v>5</v>
      </c>
      <c r="F679" s="2" t="str">
        <f>_xlfn.XLOOKUP(C679,customers!$A$2:$A$1001,customers!$B$2:$B$1001,,0)</f>
        <v>Charin Penwarden</v>
      </c>
      <c r="G679" s="2" t="str">
        <f>_xlfn.XLOOKUP(C679,customers!$A$2:$A$1001,customers!$G$2:$G$1001,,0)</f>
        <v>Ireland</v>
      </c>
      <c r="H679" t="str">
        <f>INDEX(products!$A$1:$G$49,MATCH(orders!$D679,products!$A$1:$A$49,0),MATCH(orders!H$1,products!$A$1:$G$1,0))</f>
        <v>Lib</v>
      </c>
      <c r="I679" t="str">
        <f>INDEX(products!$A$1:$G$49,MATCH(orders!$D679,products!$A$1:$A$49,0),MATCH(orders!I$1,products!$A$1:$G$1,0))</f>
        <v>M</v>
      </c>
      <c r="J679" s="5">
        <f>INDEX(products!$A$1:$G$49,MATCH(orders!$D679,products!$A$1:$A$49,0),MATCH(orders!J$1,products!$A$1:$G$1,0))</f>
        <v>0.5</v>
      </c>
      <c r="K679" s="6">
        <f>INDEX(products!$A$1:$G$49,MATCH(orders!$D679,products!$A$1:$A$49,0),MATCH(orders!K$1,products!$A$1:$G$1,0))</f>
        <v>8.73</v>
      </c>
      <c r="L679" s="6">
        <f>K679*E679</f>
        <v>43.650000000000006</v>
      </c>
      <c r="M679" t="str" cm="1">
        <f t="array" ref="M679">_xlfn.IFS(H679="Rob","Robusta",H679="Exc","Excelsa",H679="Ara","Arabica",H679="Lib","Liberica")</f>
        <v>Liberica</v>
      </c>
      <c r="N679" t="str" cm="1">
        <f t="array" ref="N679">_xlfn.IFS(I679="M","Medium",I679="L","Light",I679="D","Dark")</f>
        <v>Medium</v>
      </c>
      <c r="O679" t="str">
        <f>_xlfn.XLOOKUP(Orders[[#This Row],[Customer ID]],customers!$A$2:$A$1001,customers!$I$2:$I$1001,,0)</f>
        <v>No</v>
      </c>
    </row>
    <row r="680" spans="1:15" x14ac:dyDescent="0.3">
      <c r="A680" s="2" t="s">
        <v>4319</v>
      </c>
      <c r="B680" s="3">
        <v>44281</v>
      </c>
      <c r="C680" s="2" t="s">
        <v>4320</v>
      </c>
      <c r="D680" t="s">
        <v>6182</v>
      </c>
      <c r="E680" s="2">
        <v>6</v>
      </c>
      <c r="F680" s="2" t="str">
        <f>_xlfn.XLOOKUP(C680,customers!$A$2:$A$1001,customers!$B$2:$B$1001,,0)</f>
        <v>Milty Middis</v>
      </c>
      <c r="G680" s="2" t="str">
        <f>_xlfn.XLOOKUP(C680,customers!$A$2:$A$1001,customers!$G$2:$G$1001,,0)</f>
        <v>United States</v>
      </c>
      <c r="H680" t="str">
        <f>INDEX(products!$A$1:$G$49,MATCH(orders!$D680,products!$A$1:$A$49,0),MATCH(orders!H$1,products!$A$1:$G$1,0))</f>
        <v>Ara</v>
      </c>
      <c r="I680" t="str">
        <f>INDEX(products!$A$1:$G$49,MATCH(orders!$D680,products!$A$1:$A$49,0),MATCH(orders!I$1,products!$A$1:$G$1,0))</f>
        <v>L</v>
      </c>
      <c r="J680" s="5">
        <f>INDEX(products!$A$1:$G$49,MATCH(orders!$D680,products!$A$1:$A$49,0),MATCH(orders!J$1,products!$A$1:$G$1,0))</f>
        <v>2.5</v>
      </c>
      <c r="K680" s="6">
        <f>INDEX(products!$A$1:$G$49,MATCH(orders!$D680,products!$A$1:$A$49,0),MATCH(orders!K$1,products!$A$1:$G$1,0))</f>
        <v>29.784999999999997</v>
      </c>
      <c r="L680" s="6">
        <f>K680*E680</f>
        <v>178.70999999999998</v>
      </c>
      <c r="M680" t="str" cm="1">
        <f t="array" ref="M680">_xlfn.IFS(H680="Rob","Robusta",H680="Exc","Excelsa",H680="Ara","Arabica",H680="Lib","Liberica")</f>
        <v>Arabica</v>
      </c>
      <c r="N680" t="str" cm="1">
        <f t="array" ref="N680">_xlfn.IFS(I680="M","Medium",I680="L","Light",I680="D","Dark")</f>
        <v>Light</v>
      </c>
      <c r="O680" t="str">
        <f>_xlfn.XLOOKUP(Orders[[#This Row],[Customer ID]],customers!$A$2:$A$1001,customers!$I$2:$I$1001,,0)</f>
        <v>Yes</v>
      </c>
    </row>
    <row r="681" spans="1:15" x14ac:dyDescent="0.3">
      <c r="A681" s="2" t="s">
        <v>4325</v>
      </c>
      <c r="B681" s="3">
        <v>44645</v>
      </c>
      <c r="C681" s="2" t="s">
        <v>4326</v>
      </c>
      <c r="D681" t="s">
        <v>6142</v>
      </c>
      <c r="E681" s="2">
        <v>1</v>
      </c>
      <c r="F681" s="2" t="str">
        <f>_xlfn.XLOOKUP(C681,customers!$A$2:$A$1001,customers!$B$2:$B$1001,,0)</f>
        <v>Adrianne Vairow</v>
      </c>
      <c r="G681" s="2" t="str">
        <f>_xlfn.XLOOKUP(C681,customers!$A$2:$A$1001,customers!$G$2:$G$1001,,0)</f>
        <v>United Kingdom</v>
      </c>
      <c r="H681" t="str">
        <f>INDEX(products!$A$1:$G$49,MATCH(orders!$D681,products!$A$1:$A$49,0),MATCH(orders!H$1,products!$A$1:$G$1,0))</f>
        <v>Rob</v>
      </c>
      <c r="I681" t="str">
        <f>INDEX(products!$A$1:$G$49,MATCH(orders!$D681,products!$A$1:$A$49,0),MATCH(orders!I$1,products!$A$1:$G$1,0))</f>
        <v>L</v>
      </c>
      <c r="J681" s="5">
        <f>INDEX(products!$A$1:$G$49,MATCH(orders!$D681,products!$A$1:$A$49,0),MATCH(orders!J$1,products!$A$1:$G$1,0))</f>
        <v>2.5</v>
      </c>
      <c r="K681" s="6">
        <f>INDEX(products!$A$1:$G$49,MATCH(orders!$D681,products!$A$1:$A$49,0),MATCH(orders!K$1,products!$A$1:$G$1,0))</f>
        <v>27.484999999999996</v>
      </c>
      <c r="L681" s="6">
        <f>K681*E681</f>
        <v>27.484999999999996</v>
      </c>
      <c r="M681" t="str" cm="1">
        <f t="array" ref="M681">_xlfn.IFS(H681="Rob","Robusta",H681="Exc","Excelsa",H681="Ara","Arabica",H681="Lib","Liberica")</f>
        <v>Robusta</v>
      </c>
      <c r="N681" t="str" cm="1">
        <f t="array" ref="N681">_xlfn.IFS(I681="M","Medium",I681="L","Light",I681="D","Dark")</f>
        <v>Light</v>
      </c>
      <c r="O681" t="str">
        <f>_xlfn.XLOOKUP(Orders[[#This Row],[Customer ID]],customers!$A$2:$A$1001,customers!$I$2:$I$1001,,0)</f>
        <v>No</v>
      </c>
    </row>
    <row r="682" spans="1:15" x14ac:dyDescent="0.3">
      <c r="A682" s="2" t="s">
        <v>4331</v>
      </c>
      <c r="B682" s="3">
        <v>44399</v>
      </c>
      <c r="C682" s="2" t="s">
        <v>4332</v>
      </c>
      <c r="D682" t="s">
        <v>6155</v>
      </c>
      <c r="E682" s="2">
        <v>5</v>
      </c>
      <c r="F682" s="2" t="str">
        <f>_xlfn.XLOOKUP(C682,customers!$A$2:$A$1001,customers!$B$2:$B$1001,,0)</f>
        <v>Anjanette Goldie</v>
      </c>
      <c r="G682" s="2" t="str">
        <f>_xlfn.XLOOKUP(C682,customers!$A$2:$A$1001,customers!$G$2:$G$1001,,0)</f>
        <v>United States</v>
      </c>
      <c r="H682" t="str">
        <f>INDEX(products!$A$1:$G$49,MATCH(orders!$D682,products!$A$1:$A$49,0),MATCH(orders!H$1,products!$A$1:$G$1,0))</f>
        <v>Ara</v>
      </c>
      <c r="I682" t="str">
        <f>INDEX(products!$A$1:$G$49,MATCH(orders!$D682,products!$A$1:$A$49,0),MATCH(orders!I$1,products!$A$1:$G$1,0))</f>
        <v>M</v>
      </c>
      <c r="J682" s="5">
        <f>INDEX(products!$A$1:$G$49,MATCH(orders!$D682,products!$A$1:$A$49,0),MATCH(orders!J$1,products!$A$1:$G$1,0))</f>
        <v>1</v>
      </c>
      <c r="K682" s="6">
        <f>INDEX(products!$A$1:$G$49,MATCH(orders!$D682,products!$A$1:$A$49,0),MATCH(orders!K$1,products!$A$1:$G$1,0))</f>
        <v>11.25</v>
      </c>
      <c r="L682" s="6">
        <f>K682*E682</f>
        <v>56.25</v>
      </c>
      <c r="M682" t="str" cm="1">
        <f t="array" ref="M682">_xlfn.IFS(H682="Rob","Robusta",H682="Exc","Excelsa",H682="Ara","Arabica",H682="Lib","Liberica")</f>
        <v>Arabica</v>
      </c>
      <c r="N682" t="str" cm="1">
        <f t="array" ref="N682">_xlfn.IFS(I682="M","Medium",I682="L","Light",I682="D","Dark")</f>
        <v>Medium</v>
      </c>
      <c r="O682" t="str">
        <f>_xlfn.XLOOKUP(Orders[[#This Row],[Customer ID]],customers!$A$2:$A$1001,customers!$I$2:$I$1001,,0)</f>
        <v>No</v>
      </c>
    </row>
    <row r="683" spans="1:15" x14ac:dyDescent="0.3">
      <c r="A683" s="2" t="s">
        <v>4336</v>
      </c>
      <c r="B683" s="3">
        <v>44080</v>
      </c>
      <c r="C683" s="2" t="s">
        <v>4337</v>
      </c>
      <c r="D683" t="s">
        <v>6145</v>
      </c>
      <c r="E683" s="2">
        <v>2</v>
      </c>
      <c r="F683" s="2" t="str">
        <f>_xlfn.XLOOKUP(C683,customers!$A$2:$A$1001,customers!$B$2:$B$1001,,0)</f>
        <v>Nicky Ayris</v>
      </c>
      <c r="G683" s="2" t="str">
        <f>_xlfn.XLOOKUP(C683,customers!$A$2:$A$1001,customers!$G$2:$G$1001,,0)</f>
        <v>United Kingdom</v>
      </c>
      <c r="H683" t="str">
        <f>INDEX(products!$A$1:$G$49,MATCH(orders!$D683,products!$A$1:$A$49,0),MATCH(orders!H$1,products!$A$1:$G$1,0))</f>
        <v>Lib</v>
      </c>
      <c r="I683" t="str">
        <f>INDEX(products!$A$1:$G$49,MATCH(orders!$D683,products!$A$1:$A$49,0),MATCH(orders!I$1,products!$A$1:$G$1,0))</f>
        <v>L</v>
      </c>
      <c r="J683" s="5">
        <f>INDEX(products!$A$1:$G$49,MATCH(orders!$D683,products!$A$1:$A$49,0),MATCH(orders!J$1,products!$A$1:$G$1,0))</f>
        <v>0.2</v>
      </c>
      <c r="K683" s="6">
        <f>INDEX(products!$A$1:$G$49,MATCH(orders!$D683,products!$A$1:$A$49,0),MATCH(orders!K$1,products!$A$1:$G$1,0))</f>
        <v>4.7549999999999999</v>
      </c>
      <c r="L683" s="6">
        <f>K683*E683</f>
        <v>9.51</v>
      </c>
      <c r="M683" t="str" cm="1">
        <f t="array" ref="M683">_xlfn.IFS(H683="Rob","Robusta",H683="Exc","Excelsa",H683="Ara","Arabica",H683="Lib","Liberica")</f>
        <v>Liberica</v>
      </c>
      <c r="N683" t="str" cm="1">
        <f t="array" ref="N683">_xlfn.IFS(I683="M","Medium",I683="L","Light",I683="D","Dark")</f>
        <v>Light</v>
      </c>
      <c r="O683" t="str">
        <f>_xlfn.XLOOKUP(Orders[[#This Row],[Customer ID]],customers!$A$2:$A$1001,customers!$I$2:$I$1001,,0)</f>
        <v>Yes</v>
      </c>
    </row>
    <row r="684" spans="1:15" x14ac:dyDescent="0.3">
      <c r="A684" s="2" t="s">
        <v>4342</v>
      </c>
      <c r="B684" s="3">
        <v>43827</v>
      </c>
      <c r="C684" s="2" t="s">
        <v>4343</v>
      </c>
      <c r="D684" t="s">
        <v>6156</v>
      </c>
      <c r="E684" s="2">
        <v>2</v>
      </c>
      <c r="F684" s="2" t="str">
        <f>_xlfn.XLOOKUP(C684,customers!$A$2:$A$1001,customers!$B$2:$B$1001,,0)</f>
        <v>Laryssa Benediktovich</v>
      </c>
      <c r="G684" s="2" t="str">
        <f>_xlfn.XLOOKUP(C684,customers!$A$2:$A$1001,customers!$G$2:$G$1001,,0)</f>
        <v>United States</v>
      </c>
      <c r="H684" t="str">
        <f>INDEX(products!$A$1:$G$49,MATCH(orders!$D684,products!$A$1:$A$49,0),MATCH(orders!H$1,products!$A$1:$G$1,0))</f>
        <v>Exc</v>
      </c>
      <c r="I684" t="str">
        <f>INDEX(products!$A$1:$G$49,MATCH(orders!$D684,products!$A$1:$A$49,0),MATCH(orders!I$1,products!$A$1:$G$1,0))</f>
        <v>M</v>
      </c>
      <c r="J684" s="5">
        <f>INDEX(products!$A$1:$G$49,MATCH(orders!$D684,products!$A$1:$A$49,0),MATCH(orders!J$1,products!$A$1:$G$1,0))</f>
        <v>0.2</v>
      </c>
      <c r="K684" s="6">
        <f>INDEX(products!$A$1:$G$49,MATCH(orders!$D684,products!$A$1:$A$49,0),MATCH(orders!K$1,products!$A$1:$G$1,0))</f>
        <v>4.125</v>
      </c>
      <c r="L684" s="6">
        <f>K684*E684</f>
        <v>8.25</v>
      </c>
      <c r="M684" t="str" cm="1">
        <f t="array" ref="M684">_xlfn.IFS(H684="Rob","Robusta",H684="Exc","Excelsa",H684="Ara","Arabica",H684="Lib","Liberica")</f>
        <v>Excelsa</v>
      </c>
      <c r="N684" t="str" cm="1">
        <f t="array" ref="N684">_xlfn.IFS(I684="M","Medium",I684="L","Light",I684="D","Dark")</f>
        <v>Medium</v>
      </c>
      <c r="O684" t="str">
        <f>_xlfn.XLOOKUP(Orders[[#This Row],[Customer ID]],customers!$A$2:$A$1001,customers!$I$2:$I$1001,,0)</f>
        <v>Yes</v>
      </c>
    </row>
    <row r="685" spans="1:15" x14ac:dyDescent="0.3">
      <c r="A685" s="2" t="s">
        <v>4348</v>
      </c>
      <c r="B685" s="3">
        <v>43941</v>
      </c>
      <c r="C685" s="2" t="s">
        <v>4349</v>
      </c>
      <c r="D685" t="s">
        <v>6169</v>
      </c>
      <c r="E685" s="2">
        <v>6</v>
      </c>
      <c r="F685" s="2" t="str">
        <f>_xlfn.XLOOKUP(C685,customers!$A$2:$A$1001,customers!$B$2:$B$1001,,0)</f>
        <v>Theo Jacobovitz</v>
      </c>
      <c r="G685" s="2" t="str">
        <f>_xlfn.XLOOKUP(C685,customers!$A$2:$A$1001,customers!$G$2:$G$1001,,0)</f>
        <v>United States</v>
      </c>
      <c r="H685" t="str">
        <f>INDEX(products!$A$1:$G$49,MATCH(orders!$D685,products!$A$1:$A$49,0),MATCH(orders!H$1,products!$A$1:$G$1,0))</f>
        <v>Lib</v>
      </c>
      <c r="I685" t="str">
        <f>INDEX(products!$A$1:$G$49,MATCH(orders!$D685,products!$A$1:$A$49,0),MATCH(orders!I$1,products!$A$1:$G$1,0))</f>
        <v>D</v>
      </c>
      <c r="J685" s="5">
        <f>INDEX(products!$A$1:$G$49,MATCH(orders!$D685,products!$A$1:$A$49,0),MATCH(orders!J$1,products!$A$1:$G$1,0))</f>
        <v>0.5</v>
      </c>
      <c r="K685" s="6">
        <f>INDEX(products!$A$1:$G$49,MATCH(orders!$D685,products!$A$1:$A$49,0),MATCH(orders!K$1,products!$A$1:$G$1,0))</f>
        <v>7.77</v>
      </c>
      <c r="L685" s="6">
        <f>K685*E685</f>
        <v>46.62</v>
      </c>
      <c r="M685" t="str" cm="1">
        <f t="array" ref="M685">_xlfn.IFS(H685="Rob","Robusta",H685="Exc","Excelsa",H685="Ara","Arabica",H685="Lib","Liberica")</f>
        <v>Liberica</v>
      </c>
      <c r="N685" t="str" cm="1">
        <f t="array" ref="N685">_xlfn.IFS(I685="M","Medium",I685="L","Light",I685="D","Dark")</f>
        <v>Dark</v>
      </c>
      <c r="O685" t="str">
        <f>_xlfn.XLOOKUP(Orders[[#This Row],[Customer ID]],customers!$A$2:$A$1001,customers!$I$2:$I$1001,,0)</f>
        <v>No</v>
      </c>
    </row>
    <row r="686" spans="1:15" x14ac:dyDescent="0.3">
      <c r="A686" s="2" t="s">
        <v>4354</v>
      </c>
      <c r="B686" s="3">
        <v>43517</v>
      </c>
      <c r="C686" s="2" t="s">
        <v>4355</v>
      </c>
      <c r="D686" t="s">
        <v>6179</v>
      </c>
      <c r="E686" s="2">
        <v>6</v>
      </c>
      <c r="F686" s="2" t="str">
        <f>_xlfn.XLOOKUP(C686,customers!$A$2:$A$1001,customers!$B$2:$B$1001,,0)</f>
        <v>Becca Ableson</v>
      </c>
      <c r="G686" s="2" t="str">
        <f>_xlfn.XLOOKUP(C686,customers!$A$2:$A$1001,customers!$G$2:$G$1001,,0)</f>
        <v>United States</v>
      </c>
      <c r="H686" t="str">
        <f>INDEX(products!$A$1:$G$49,MATCH(orders!$D686,products!$A$1:$A$49,0),MATCH(orders!H$1,products!$A$1:$G$1,0))</f>
        <v>Rob</v>
      </c>
      <c r="I686" t="str">
        <f>INDEX(products!$A$1:$G$49,MATCH(orders!$D686,products!$A$1:$A$49,0),MATCH(orders!I$1,products!$A$1:$G$1,0))</f>
        <v>L</v>
      </c>
      <c r="J686" s="5">
        <f>INDEX(products!$A$1:$G$49,MATCH(orders!$D686,products!$A$1:$A$49,0),MATCH(orders!J$1,products!$A$1:$G$1,0))</f>
        <v>1</v>
      </c>
      <c r="K686" s="6">
        <f>INDEX(products!$A$1:$G$49,MATCH(orders!$D686,products!$A$1:$A$49,0),MATCH(orders!K$1,products!$A$1:$G$1,0))</f>
        <v>11.95</v>
      </c>
      <c r="L686" s="6">
        <f>K686*E686</f>
        <v>71.699999999999989</v>
      </c>
      <c r="M686" t="str" cm="1">
        <f t="array" ref="M686">_xlfn.IFS(H686="Rob","Robusta",H686="Exc","Excelsa",H686="Ara","Arabica",H686="Lib","Liberica")</f>
        <v>Robusta</v>
      </c>
      <c r="N686" t="str" cm="1">
        <f t="array" ref="N686">_xlfn.IFS(I686="M","Medium",I686="L","Light",I686="D","Dark")</f>
        <v>Light</v>
      </c>
      <c r="O686" t="str">
        <f>_xlfn.XLOOKUP(Orders[[#This Row],[Customer ID]],customers!$A$2:$A$1001,customers!$I$2:$I$1001,,0)</f>
        <v>No</v>
      </c>
    </row>
    <row r="687" spans="1:15" x14ac:dyDescent="0.3">
      <c r="A687" s="2" t="s">
        <v>4359</v>
      </c>
      <c r="B687" s="3">
        <v>44637</v>
      </c>
      <c r="C687" s="2" t="s">
        <v>4360</v>
      </c>
      <c r="D687" t="s">
        <v>6164</v>
      </c>
      <c r="E687" s="2">
        <v>2</v>
      </c>
      <c r="F687" s="2" t="str">
        <f>_xlfn.XLOOKUP(C687,customers!$A$2:$A$1001,customers!$B$2:$B$1001,,0)</f>
        <v>Jeno Druitt</v>
      </c>
      <c r="G687" s="2" t="str">
        <f>_xlfn.XLOOKUP(C687,customers!$A$2:$A$1001,customers!$G$2:$G$1001,,0)</f>
        <v>United States</v>
      </c>
      <c r="H687" t="str">
        <f>INDEX(products!$A$1:$G$49,MATCH(orders!$D687,products!$A$1:$A$49,0),MATCH(orders!H$1,products!$A$1:$G$1,0))</f>
        <v>Lib</v>
      </c>
      <c r="I687" t="str">
        <f>INDEX(products!$A$1:$G$49,MATCH(orders!$D687,products!$A$1:$A$49,0),MATCH(orders!I$1,products!$A$1:$G$1,0))</f>
        <v>L</v>
      </c>
      <c r="J687" s="5">
        <f>INDEX(products!$A$1:$G$49,MATCH(orders!$D687,products!$A$1:$A$49,0),MATCH(orders!J$1,products!$A$1:$G$1,0))</f>
        <v>2.5</v>
      </c>
      <c r="K687" s="6">
        <f>INDEX(products!$A$1:$G$49,MATCH(orders!$D687,products!$A$1:$A$49,0),MATCH(orders!K$1,products!$A$1:$G$1,0))</f>
        <v>36.454999999999998</v>
      </c>
      <c r="L687" s="6">
        <f>K687*E687</f>
        <v>72.91</v>
      </c>
      <c r="M687" t="str" cm="1">
        <f t="array" ref="M687">_xlfn.IFS(H687="Rob","Robusta",H687="Exc","Excelsa",H687="Ara","Arabica",H687="Lib","Liberica")</f>
        <v>Liberica</v>
      </c>
      <c r="N687" t="str" cm="1">
        <f t="array" ref="N687">_xlfn.IFS(I687="M","Medium",I687="L","Light",I687="D","Dark")</f>
        <v>Light</v>
      </c>
      <c r="O687" t="str">
        <f>_xlfn.XLOOKUP(Orders[[#This Row],[Customer ID]],customers!$A$2:$A$1001,customers!$I$2:$I$1001,,0)</f>
        <v>Yes</v>
      </c>
    </row>
    <row r="688" spans="1:15" x14ac:dyDescent="0.3">
      <c r="A688" s="2" t="s">
        <v>4365</v>
      </c>
      <c r="B688" s="3">
        <v>44330</v>
      </c>
      <c r="C688" s="2" t="s">
        <v>4366</v>
      </c>
      <c r="D688" t="s">
        <v>6163</v>
      </c>
      <c r="E688" s="2">
        <v>3</v>
      </c>
      <c r="F688" s="2" t="str">
        <f>_xlfn.XLOOKUP(C688,customers!$A$2:$A$1001,customers!$B$2:$B$1001,,0)</f>
        <v>Deonne Shortall</v>
      </c>
      <c r="G688" s="2" t="str">
        <f>_xlfn.XLOOKUP(C688,customers!$A$2:$A$1001,customers!$G$2:$G$1001,,0)</f>
        <v>United States</v>
      </c>
      <c r="H688" t="str">
        <f>INDEX(products!$A$1:$G$49,MATCH(orders!$D688,products!$A$1:$A$49,0),MATCH(orders!H$1,products!$A$1:$G$1,0))</f>
        <v>Rob</v>
      </c>
      <c r="I688" t="str">
        <f>INDEX(products!$A$1:$G$49,MATCH(orders!$D688,products!$A$1:$A$49,0),MATCH(orders!I$1,products!$A$1:$G$1,0))</f>
        <v>D</v>
      </c>
      <c r="J688" s="5">
        <f>INDEX(products!$A$1:$G$49,MATCH(orders!$D688,products!$A$1:$A$49,0),MATCH(orders!J$1,products!$A$1:$G$1,0))</f>
        <v>0.2</v>
      </c>
      <c r="K688" s="6">
        <f>INDEX(products!$A$1:$G$49,MATCH(orders!$D688,products!$A$1:$A$49,0),MATCH(orders!K$1,products!$A$1:$G$1,0))</f>
        <v>2.6849999999999996</v>
      </c>
      <c r="L688" s="6">
        <f>K688*E688</f>
        <v>8.0549999999999997</v>
      </c>
      <c r="M688" t="str" cm="1">
        <f t="array" ref="M688">_xlfn.IFS(H688="Rob","Robusta",H688="Exc","Excelsa",H688="Ara","Arabica",H688="Lib","Liberica")</f>
        <v>Robusta</v>
      </c>
      <c r="N688" t="str" cm="1">
        <f t="array" ref="N688">_xlfn.IFS(I688="M","Medium",I688="L","Light",I688="D","Dark")</f>
        <v>Dark</v>
      </c>
      <c r="O688" t="str">
        <f>_xlfn.XLOOKUP(Orders[[#This Row],[Customer ID]],customers!$A$2:$A$1001,customers!$I$2:$I$1001,,0)</f>
        <v>Yes</v>
      </c>
    </row>
    <row r="689" spans="1:15" x14ac:dyDescent="0.3">
      <c r="A689" s="2" t="s">
        <v>4371</v>
      </c>
      <c r="B689" s="3">
        <v>43471</v>
      </c>
      <c r="C689" s="2" t="s">
        <v>4372</v>
      </c>
      <c r="D689" t="s">
        <v>6139</v>
      </c>
      <c r="E689" s="2">
        <v>2</v>
      </c>
      <c r="F689" s="2" t="str">
        <f>_xlfn.XLOOKUP(C689,customers!$A$2:$A$1001,customers!$B$2:$B$1001,,0)</f>
        <v>Wilton Cottier</v>
      </c>
      <c r="G689" s="2" t="str">
        <f>_xlfn.XLOOKUP(C689,customers!$A$2:$A$1001,customers!$G$2:$G$1001,,0)</f>
        <v>United States</v>
      </c>
      <c r="H689" t="str">
        <f>INDEX(products!$A$1:$G$49,MATCH(orders!$D689,products!$A$1:$A$49,0),MATCH(orders!H$1,products!$A$1:$G$1,0))</f>
        <v>Exc</v>
      </c>
      <c r="I689" t="str">
        <f>INDEX(products!$A$1:$G$49,MATCH(orders!$D689,products!$A$1:$A$49,0),MATCH(orders!I$1,products!$A$1:$G$1,0))</f>
        <v>M</v>
      </c>
      <c r="J689" s="5">
        <f>INDEX(products!$A$1:$G$49,MATCH(orders!$D689,products!$A$1:$A$49,0),MATCH(orders!J$1,products!$A$1:$G$1,0))</f>
        <v>0.5</v>
      </c>
      <c r="K689" s="6">
        <f>INDEX(products!$A$1:$G$49,MATCH(orders!$D689,products!$A$1:$A$49,0),MATCH(orders!K$1,products!$A$1:$G$1,0))</f>
        <v>8.25</v>
      </c>
      <c r="L689" s="6">
        <f>K689*E689</f>
        <v>16.5</v>
      </c>
      <c r="M689" t="str" cm="1">
        <f t="array" ref="M689">_xlfn.IFS(H689="Rob","Robusta",H689="Exc","Excelsa",H689="Ara","Arabica",H689="Lib","Liberica")</f>
        <v>Excelsa</v>
      </c>
      <c r="N689" t="str" cm="1">
        <f t="array" ref="N689">_xlfn.IFS(I689="M","Medium",I689="L","Light",I689="D","Dark")</f>
        <v>Medium</v>
      </c>
      <c r="O689" t="str">
        <f>_xlfn.XLOOKUP(Orders[[#This Row],[Customer ID]],customers!$A$2:$A$1001,customers!$I$2:$I$1001,,0)</f>
        <v>No</v>
      </c>
    </row>
    <row r="690" spans="1:15" x14ac:dyDescent="0.3">
      <c r="A690" s="2" t="s">
        <v>4377</v>
      </c>
      <c r="B690" s="3">
        <v>43579</v>
      </c>
      <c r="C690" s="2" t="s">
        <v>4378</v>
      </c>
      <c r="D690" t="s">
        <v>6140</v>
      </c>
      <c r="E690" s="2">
        <v>5</v>
      </c>
      <c r="F690" s="2" t="str">
        <f>_xlfn.XLOOKUP(C690,customers!$A$2:$A$1001,customers!$B$2:$B$1001,,0)</f>
        <v>Kevan Grinsted</v>
      </c>
      <c r="G690" s="2" t="str">
        <f>_xlfn.XLOOKUP(C690,customers!$A$2:$A$1001,customers!$G$2:$G$1001,,0)</f>
        <v>Ireland</v>
      </c>
      <c r="H690" t="str">
        <f>INDEX(products!$A$1:$G$49,MATCH(orders!$D690,products!$A$1:$A$49,0),MATCH(orders!H$1,products!$A$1:$G$1,0))</f>
        <v>Ara</v>
      </c>
      <c r="I690" t="str">
        <f>INDEX(products!$A$1:$G$49,MATCH(orders!$D690,products!$A$1:$A$49,0),MATCH(orders!I$1,products!$A$1:$G$1,0))</f>
        <v>L</v>
      </c>
      <c r="J690" s="5">
        <f>INDEX(products!$A$1:$G$49,MATCH(orders!$D690,products!$A$1:$A$49,0),MATCH(orders!J$1,products!$A$1:$G$1,0))</f>
        <v>1</v>
      </c>
      <c r="K690" s="6">
        <f>INDEX(products!$A$1:$G$49,MATCH(orders!$D690,products!$A$1:$A$49,0),MATCH(orders!K$1,products!$A$1:$G$1,0))</f>
        <v>12.95</v>
      </c>
      <c r="L690" s="6">
        <f>K690*E690</f>
        <v>64.75</v>
      </c>
      <c r="M690" t="str" cm="1">
        <f t="array" ref="M690">_xlfn.IFS(H690="Rob","Robusta",H690="Exc","Excelsa",H690="Ara","Arabica",H690="Lib","Liberica")</f>
        <v>Arabica</v>
      </c>
      <c r="N690" t="str" cm="1">
        <f t="array" ref="N690">_xlfn.IFS(I690="M","Medium",I690="L","Light",I690="D","Dark")</f>
        <v>Light</v>
      </c>
      <c r="O690" t="str">
        <f>_xlfn.XLOOKUP(Orders[[#This Row],[Customer ID]],customers!$A$2:$A$1001,customers!$I$2:$I$1001,,0)</f>
        <v>No</v>
      </c>
    </row>
    <row r="691" spans="1:15" x14ac:dyDescent="0.3">
      <c r="A691" s="2" t="s">
        <v>4383</v>
      </c>
      <c r="B691" s="3">
        <v>44346</v>
      </c>
      <c r="C691" s="2" t="s">
        <v>4384</v>
      </c>
      <c r="D691" t="s">
        <v>6157</v>
      </c>
      <c r="E691" s="2">
        <v>5</v>
      </c>
      <c r="F691" s="2" t="str">
        <f>_xlfn.XLOOKUP(C691,customers!$A$2:$A$1001,customers!$B$2:$B$1001,,0)</f>
        <v>Dionne Skyner</v>
      </c>
      <c r="G691" s="2" t="str">
        <f>_xlfn.XLOOKUP(C691,customers!$A$2:$A$1001,customers!$G$2:$G$1001,,0)</f>
        <v>United States</v>
      </c>
      <c r="H691" t="str">
        <f>INDEX(products!$A$1:$G$49,MATCH(orders!$D691,products!$A$1:$A$49,0),MATCH(orders!H$1,products!$A$1:$G$1,0))</f>
        <v>Ara</v>
      </c>
      <c r="I691" t="str">
        <f>INDEX(products!$A$1:$G$49,MATCH(orders!$D691,products!$A$1:$A$49,0),MATCH(orders!I$1,products!$A$1:$G$1,0))</f>
        <v>M</v>
      </c>
      <c r="J691" s="5">
        <f>INDEX(products!$A$1:$G$49,MATCH(orders!$D691,products!$A$1:$A$49,0),MATCH(orders!J$1,products!$A$1:$G$1,0))</f>
        <v>0.5</v>
      </c>
      <c r="K691" s="6">
        <f>INDEX(products!$A$1:$G$49,MATCH(orders!$D691,products!$A$1:$A$49,0),MATCH(orders!K$1,products!$A$1:$G$1,0))</f>
        <v>6.75</v>
      </c>
      <c r="L691" s="6">
        <f>K691*E691</f>
        <v>33.75</v>
      </c>
      <c r="M691" t="str" cm="1">
        <f t="array" ref="M691">_xlfn.IFS(H691="Rob","Robusta",H691="Exc","Excelsa",H691="Ara","Arabica",H691="Lib","Liberica")</f>
        <v>Arabica</v>
      </c>
      <c r="N691" t="str" cm="1">
        <f t="array" ref="N691">_xlfn.IFS(I691="M","Medium",I691="L","Light",I691="D","Dark")</f>
        <v>Medium</v>
      </c>
      <c r="O691" t="str">
        <f>_xlfn.XLOOKUP(Orders[[#This Row],[Customer ID]],customers!$A$2:$A$1001,customers!$I$2:$I$1001,,0)</f>
        <v>No</v>
      </c>
    </row>
    <row r="692" spans="1:15" x14ac:dyDescent="0.3">
      <c r="A692" s="2" t="s">
        <v>4389</v>
      </c>
      <c r="B692" s="3">
        <v>44754</v>
      </c>
      <c r="C692" s="2" t="s">
        <v>4390</v>
      </c>
      <c r="D692" t="s">
        <v>6165</v>
      </c>
      <c r="E692" s="2">
        <v>6</v>
      </c>
      <c r="F692" s="2" t="str">
        <f>_xlfn.XLOOKUP(C692,customers!$A$2:$A$1001,customers!$B$2:$B$1001,,0)</f>
        <v>Francesco Dressel</v>
      </c>
      <c r="G692" s="2" t="str">
        <f>_xlfn.XLOOKUP(C692,customers!$A$2:$A$1001,customers!$G$2:$G$1001,,0)</f>
        <v>United States</v>
      </c>
      <c r="H692" t="str">
        <f>INDEX(products!$A$1:$G$49,MATCH(orders!$D692,products!$A$1:$A$49,0),MATCH(orders!H$1,products!$A$1:$G$1,0))</f>
        <v>Lib</v>
      </c>
      <c r="I692" t="str">
        <f>INDEX(products!$A$1:$G$49,MATCH(orders!$D692,products!$A$1:$A$49,0),MATCH(orders!I$1,products!$A$1:$G$1,0))</f>
        <v>D</v>
      </c>
      <c r="J692" s="5">
        <f>INDEX(products!$A$1:$G$49,MATCH(orders!$D692,products!$A$1:$A$49,0),MATCH(orders!J$1,products!$A$1:$G$1,0))</f>
        <v>2.5</v>
      </c>
      <c r="K692" s="6">
        <f>INDEX(products!$A$1:$G$49,MATCH(orders!$D692,products!$A$1:$A$49,0),MATCH(orders!K$1,products!$A$1:$G$1,0))</f>
        <v>29.784999999999997</v>
      </c>
      <c r="L692" s="6">
        <f>K692*E692</f>
        <v>178.70999999999998</v>
      </c>
      <c r="M692" t="str" cm="1">
        <f t="array" ref="M692">_xlfn.IFS(H692="Rob","Robusta",H692="Exc","Excelsa",H692="Ara","Arabica",H692="Lib","Liberica")</f>
        <v>Liberica</v>
      </c>
      <c r="N692" t="str" cm="1">
        <f t="array" ref="N692">_xlfn.IFS(I692="M","Medium",I692="L","Light",I692="D","Dark")</f>
        <v>Dark</v>
      </c>
      <c r="O692" t="str">
        <f>_xlfn.XLOOKUP(Orders[[#This Row],[Customer ID]],customers!$A$2:$A$1001,customers!$I$2:$I$1001,,0)</f>
        <v>No</v>
      </c>
    </row>
    <row r="693" spans="1:15" x14ac:dyDescent="0.3">
      <c r="A693" s="2" t="s">
        <v>4393</v>
      </c>
      <c r="B693" s="3">
        <v>44227</v>
      </c>
      <c r="C693" s="2" t="s">
        <v>4434</v>
      </c>
      <c r="D693" t="s">
        <v>6155</v>
      </c>
      <c r="E693" s="2">
        <v>2</v>
      </c>
      <c r="F693" s="2" t="str">
        <f>_xlfn.XLOOKUP(C693,customers!$A$2:$A$1001,customers!$B$2:$B$1001,,0)</f>
        <v>Jimmy Dymoke</v>
      </c>
      <c r="G693" s="2" t="str">
        <f>_xlfn.XLOOKUP(C693,customers!$A$2:$A$1001,customers!$G$2:$G$1001,,0)</f>
        <v>Ireland</v>
      </c>
      <c r="H693" t="str">
        <f>INDEX(products!$A$1:$G$49,MATCH(orders!$D693,products!$A$1:$A$49,0),MATCH(orders!H$1,products!$A$1:$G$1,0))</f>
        <v>Ara</v>
      </c>
      <c r="I693" t="str">
        <f>INDEX(products!$A$1:$G$49,MATCH(orders!$D693,products!$A$1:$A$49,0),MATCH(orders!I$1,products!$A$1:$G$1,0))</f>
        <v>M</v>
      </c>
      <c r="J693" s="5">
        <f>INDEX(products!$A$1:$G$49,MATCH(orders!$D693,products!$A$1:$A$49,0),MATCH(orders!J$1,products!$A$1:$G$1,0))</f>
        <v>1</v>
      </c>
      <c r="K693" s="6">
        <f>INDEX(products!$A$1:$G$49,MATCH(orders!$D693,products!$A$1:$A$49,0),MATCH(orders!K$1,products!$A$1:$G$1,0))</f>
        <v>11.25</v>
      </c>
      <c r="L693" s="6">
        <f>K693*E693</f>
        <v>22.5</v>
      </c>
      <c r="M693" t="str" cm="1">
        <f t="array" ref="M693">_xlfn.IFS(H693="Rob","Robusta",H693="Exc","Excelsa",H693="Ara","Arabica",H693="Lib","Liberica")</f>
        <v>Arabica</v>
      </c>
      <c r="N693" t="str" cm="1">
        <f t="array" ref="N693">_xlfn.IFS(I693="M","Medium",I693="L","Light",I693="D","Dark")</f>
        <v>Medium</v>
      </c>
      <c r="O693" t="str">
        <f>_xlfn.XLOOKUP(Orders[[#This Row],[Customer ID]],customers!$A$2:$A$1001,customers!$I$2:$I$1001,,0)</f>
        <v>No</v>
      </c>
    </row>
    <row r="694" spans="1:15" x14ac:dyDescent="0.3">
      <c r="A694" s="2" t="s">
        <v>4399</v>
      </c>
      <c r="B694" s="3">
        <v>43720</v>
      </c>
      <c r="C694" s="2" t="s">
        <v>4400</v>
      </c>
      <c r="D694" t="s">
        <v>6143</v>
      </c>
      <c r="E694" s="2">
        <v>1</v>
      </c>
      <c r="F694" s="2" t="str">
        <f>_xlfn.XLOOKUP(C694,customers!$A$2:$A$1001,customers!$B$2:$B$1001,,0)</f>
        <v>Ambrosio Weinmann</v>
      </c>
      <c r="G694" s="2" t="str">
        <f>_xlfn.XLOOKUP(C694,customers!$A$2:$A$1001,customers!$G$2:$G$1001,,0)</f>
        <v>United States</v>
      </c>
      <c r="H694" t="str">
        <f>INDEX(products!$A$1:$G$49,MATCH(orders!$D694,products!$A$1:$A$49,0),MATCH(orders!H$1,products!$A$1:$G$1,0))</f>
        <v>Lib</v>
      </c>
      <c r="I694" t="str">
        <f>INDEX(products!$A$1:$G$49,MATCH(orders!$D694,products!$A$1:$A$49,0),MATCH(orders!I$1,products!$A$1:$G$1,0))</f>
        <v>D</v>
      </c>
      <c r="J694" s="5">
        <f>INDEX(products!$A$1:$G$49,MATCH(orders!$D694,products!$A$1:$A$49,0),MATCH(orders!J$1,products!$A$1:$G$1,0))</f>
        <v>1</v>
      </c>
      <c r="K694" s="6">
        <f>INDEX(products!$A$1:$G$49,MATCH(orders!$D694,products!$A$1:$A$49,0),MATCH(orders!K$1,products!$A$1:$G$1,0))</f>
        <v>12.95</v>
      </c>
      <c r="L694" s="6">
        <f>K694*E694</f>
        <v>12.95</v>
      </c>
      <c r="M694" t="str" cm="1">
        <f t="array" ref="M694">_xlfn.IFS(H694="Rob","Robusta",H694="Exc","Excelsa",H694="Ara","Arabica",H694="Lib","Liberica")</f>
        <v>Liberica</v>
      </c>
      <c r="N694" t="str" cm="1">
        <f t="array" ref="N694">_xlfn.IFS(I694="M","Medium",I694="L","Light",I694="D","Dark")</f>
        <v>Dark</v>
      </c>
      <c r="O694" t="str">
        <f>_xlfn.XLOOKUP(Orders[[#This Row],[Customer ID]],customers!$A$2:$A$1001,customers!$I$2:$I$1001,,0)</f>
        <v>No</v>
      </c>
    </row>
    <row r="695" spans="1:15" x14ac:dyDescent="0.3">
      <c r="A695" s="2" t="s">
        <v>4405</v>
      </c>
      <c r="B695" s="3">
        <v>44012</v>
      </c>
      <c r="C695" s="2" t="s">
        <v>4406</v>
      </c>
      <c r="D695" t="s">
        <v>6175</v>
      </c>
      <c r="E695" s="2">
        <v>2</v>
      </c>
      <c r="F695" s="2" t="str">
        <f>_xlfn.XLOOKUP(C695,customers!$A$2:$A$1001,customers!$B$2:$B$1001,,0)</f>
        <v>Elden Andriessen</v>
      </c>
      <c r="G695" s="2" t="str">
        <f>_xlfn.XLOOKUP(C695,customers!$A$2:$A$1001,customers!$G$2:$G$1001,,0)</f>
        <v>United States</v>
      </c>
      <c r="H695" t="str">
        <f>INDEX(products!$A$1:$G$49,MATCH(orders!$D695,products!$A$1:$A$49,0),MATCH(orders!H$1,products!$A$1:$G$1,0))</f>
        <v>Ara</v>
      </c>
      <c r="I695" t="str">
        <f>INDEX(products!$A$1:$G$49,MATCH(orders!$D695,products!$A$1:$A$49,0),MATCH(orders!I$1,products!$A$1:$G$1,0))</f>
        <v>M</v>
      </c>
      <c r="J695" s="5">
        <f>INDEX(products!$A$1:$G$49,MATCH(orders!$D695,products!$A$1:$A$49,0),MATCH(orders!J$1,products!$A$1:$G$1,0))</f>
        <v>2.5</v>
      </c>
      <c r="K695" s="6">
        <f>INDEX(products!$A$1:$G$49,MATCH(orders!$D695,products!$A$1:$A$49,0),MATCH(orders!K$1,products!$A$1:$G$1,0))</f>
        <v>25.874999999999996</v>
      </c>
      <c r="L695" s="6">
        <f>K695*E695</f>
        <v>51.749999999999993</v>
      </c>
      <c r="M695" t="str" cm="1">
        <f t="array" ref="M695">_xlfn.IFS(H695="Rob","Robusta",H695="Exc","Excelsa",H695="Ara","Arabica",H695="Lib","Liberica")</f>
        <v>Arabica</v>
      </c>
      <c r="N695" t="str" cm="1">
        <f t="array" ref="N695">_xlfn.IFS(I695="M","Medium",I695="L","Light",I695="D","Dark")</f>
        <v>Medium</v>
      </c>
      <c r="O695" t="str">
        <f>_xlfn.XLOOKUP(Orders[[#This Row],[Customer ID]],customers!$A$2:$A$1001,customers!$I$2:$I$1001,,0)</f>
        <v>Yes</v>
      </c>
    </row>
    <row r="696" spans="1:15" x14ac:dyDescent="0.3">
      <c r="A696" s="2" t="s">
        <v>4411</v>
      </c>
      <c r="B696" s="3">
        <v>43915</v>
      </c>
      <c r="C696" s="2" t="s">
        <v>4412</v>
      </c>
      <c r="D696" t="s">
        <v>6144</v>
      </c>
      <c r="E696" s="2">
        <v>5</v>
      </c>
      <c r="F696" s="2" t="str">
        <f>_xlfn.XLOOKUP(C696,customers!$A$2:$A$1001,customers!$B$2:$B$1001,,0)</f>
        <v>Roxie Deaconson</v>
      </c>
      <c r="G696" s="2" t="str">
        <f>_xlfn.XLOOKUP(C696,customers!$A$2:$A$1001,customers!$G$2:$G$1001,,0)</f>
        <v>United States</v>
      </c>
      <c r="H696" t="str">
        <f>INDEX(products!$A$1:$G$49,MATCH(orders!$D696,products!$A$1:$A$49,0),MATCH(orders!H$1,products!$A$1:$G$1,0))</f>
        <v>Exc</v>
      </c>
      <c r="I696" t="str">
        <f>INDEX(products!$A$1:$G$49,MATCH(orders!$D696,products!$A$1:$A$49,0),MATCH(orders!I$1,products!$A$1:$G$1,0))</f>
        <v>D</v>
      </c>
      <c r="J696" s="5">
        <f>INDEX(products!$A$1:$G$49,MATCH(orders!$D696,products!$A$1:$A$49,0),MATCH(orders!J$1,products!$A$1:$G$1,0))</f>
        <v>0.5</v>
      </c>
      <c r="K696" s="6">
        <f>INDEX(products!$A$1:$G$49,MATCH(orders!$D696,products!$A$1:$A$49,0),MATCH(orders!K$1,products!$A$1:$G$1,0))</f>
        <v>7.29</v>
      </c>
      <c r="L696" s="6">
        <f>K696*E696</f>
        <v>36.450000000000003</v>
      </c>
      <c r="M696" t="str" cm="1">
        <f t="array" ref="M696">_xlfn.IFS(H696="Rob","Robusta",H696="Exc","Excelsa",H696="Ara","Arabica",H696="Lib","Liberica")</f>
        <v>Excelsa</v>
      </c>
      <c r="N696" t="str" cm="1">
        <f t="array" ref="N696">_xlfn.IFS(I696="M","Medium",I696="L","Light",I696="D","Dark")</f>
        <v>Dark</v>
      </c>
      <c r="O696" t="str">
        <f>_xlfn.XLOOKUP(Orders[[#This Row],[Customer ID]],customers!$A$2:$A$1001,customers!$I$2:$I$1001,,0)</f>
        <v>No</v>
      </c>
    </row>
    <row r="697" spans="1:15" x14ac:dyDescent="0.3">
      <c r="A697" s="2" t="s">
        <v>4417</v>
      </c>
      <c r="B697" s="3">
        <v>44300</v>
      </c>
      <c r="C697" s="2" t="s">
        <v>4418</v>
      </c>
      <c r="D697" t="s">
        <v>6164</v>
      </c>
      <c r="E697" s="2">
        <v>5</v>
      </c>
      <c r="F697" s="2" t="str">
        <f>_xlfn.XLOOKUP(C697,customers!$A$2:$A$1001,customers!$B$2:$B$1001,,0)</f>
        <v>Davida Caro</v>
      </c>
      <c r="G697" s="2" t="str">
        <f>_xlfn.XLOOKUP(C697,customers!$A$2:$A$1001,customers!$G$2:$G$1001,,0)</f>
        <v>United States</v>
      </c>
      <c r="H697" t="str">
        <f>INDEX(products!$A$1:$G$49,MATCH(orders!$D697,products!$A$1:$A$49,0),MATCH(orders!H$1,products!$A$1:$G$1,0))</f>
        <v>Lib</v>
      </c>
      <c r="I697" t="str">
        <f>INDEX(products!$A$1:$G$49,MATCH(orders!$D697,products!$A$1:$A$49,0),MATCH(orders!I$1,products!$A$1:$G$1,0))</f>
        <v>L</v>
      </c>
      <c r="J697" s="5">
        <f>INDEX(products!$A$1:$G$49,MATCH(orders!$D697,products!$A$1:$A$49,0),MATCH(orders!J$1,products!$A$1:$G$1,0))</f>
        <v>2.5</v>
      </c>
      <c r="K697" s="6">
        <f>INDEX(products!$A$1:$G$49,MATCH(orders!$D697,products!$A$1:$A$49,0),MATCH(orders!K$1,products!$A$1:$G$1,0))</f>
        <v>36.454999999999998</v>
      </c>
      <c r="L697" s="6">
        <f>K697*E697</f>
        <v>182.27499999999998</v>
      </c>
      <c r="M697" t="str" cm="1">
        <f t="array" ref="M697">_xlfn.IFS(H697="Rob","Robusta",H697="Exc","Excelsa",H697="Ara","Arabica",H697="Lib","Liberica")</f>
        <v>Liberica</v>
      </c>
      <c r="N697" t="str" cm="1">
        <f t="array" ref="N697">_xlfn.IFS(I697="M","Medium",I697="L","Light",I697="D","Dark")</f>
        <v>Light</v>
      </c>
      <c r="O697" t="str">
        <f>_xlfn.XLOOKUP(Orders[[#This Row],[Customer ID]],customers!$A$2:$A$1001,customers!$I$2:$I$1001,,0)</f>
        <v>Yes</v>
      </c>
    </row>
    <row r="698" spans="1:15" x14ac:dyDescent="0.3">
      <c r="A698" s="2" t="s">
        <v>4423</v>
      </c>
      <c r="B698" s="3">
        <v>43693</v>
      </c>
      <c r="C698" s="2" t="s">
        <v>4424</v>
      </c>
      <c r="D698" t="s">
        <v>6169</v>
      </c>
      <c r="E698" s="2">
        <v>4</v>
      </c>
      <c r="F698" s="2" t="str">
        <f>_xlfn.XLOOKUP(C698,customers!$A$2:$A$1001,customers!$B$2:$B$1001,,0)</f>
        <v>Johna Bluck</v>
      </c>
      <c r="G698" s="2" t="str">
        <f>_xlfn.XLOOKUP(C698,customers!$A$2:$A$1001,customers!$G$2:$G$1001,,0)</f>
        <v>United States</v>
      </c>
      <c r="H698" t="str">
        <f>INDEX(products!$A$1:$G$49,MATCH(orders!$D698,products!$A$1:$A$49,0),MATCH(orders!H$1,products!$A$1:$G$1,0))</f>
        <v>Lib</v>
      </c>
      <c r="I698" t="str">
        <f>INDEX(products!$A$1:$G$49,MATCH(orders!$D698,products!$A$1:$A$49,0),MATCH(orders!I$1,products!$A$1:$G$1,0))</f>
        <v>D</v>
      </c>
      <c r="J698" s="5">
        <f>INDEX(products!$A$1:$G$49,MATCH(orders!$D698,products!$A$1:$A$49,0),MATCH(orders!J$1,products!$A$1:$G$1,0))</f>
        <v>0.5</v>
      </c>
      <c r="K698" s="6">
        <f>INDEX(products!$A$1:$G$49,MATCH(orders!$D698,products!$A$1:$A$49,0),MATCH(orders!K$1,products!$A$1:$G$1,0))</f>
        <v>7.77</v>
      </c>
      <c r="L698" s="6">
        <f>K698*E698</f>
        <v>31.08</v>
      </c>
      <c r="M698" t="str" cm="1">
        <f t="array" ref="M698">_xlfn.IFS(H698="Rob","Robusta",H698="Exc","Excelsa",H698="Ara","Arabica",H698="Lib","Liberica")</f>
        <v>Liberica</v>
      </c>
      <c r="N698" t="str" cm="1">
        <f t="array" ref="N698">_xlfn.IFS(I698="M","Medium",I698="L","Light",I698="D","Dark")</f>
        <v>Dark</v>
      </c>
      <c r="O698" t="str">
        <f>_xlfn.XLOOKUP(Orders[[#This Row],[Customer ID]],customers!$A$2:$A$1001,customers!$I$2:$I$1001,,0)</f>
        <v>No</v>
      </c>
    </row>
    <row r="699" spans="1:15" x14ac:dyDescent="0.3">
      <c r="A699" s="2" t="s">
        <v>4429</v>
      </c>
      <c r="B699" s="3">
        <v>44547</v>
      </c>
      <c r="C699" s="2" t="s">
        <v>4430</v>
      </c>
      <c r="D699" t="s">
        <v>6157</v>
      </c>
      <c r="E699" s="2">
        <v>3</v>
      </c>
      <c r="F699" s="2" t="str">
        <f>_xlfn.XLOOKUP(C699,customers!$A$2:$A$1001,customers!$B$2:$B$1001,,0)</f>
        <v>Myrle Dearden</v>
      </c>
      <c r="G699" s="2" t="str">
        <f>_xlfn.XLOOKUP(C699,customers!$A$2:$A$1001,customers!$G$2:$G$1001,,0)</f>
        <v>Ireland</v>
      </c>
      <c r="H699" t="str">
        <f>INDEX(products!$A$1:$G$49,MATCH(orders!$D699,products!$A$1:$A$49,0),MATCH(orders!H$1,products!$A$1:$G$1,0))</f>
        <v>Ara</v>
      </c>
      <c r="I699" t="str">
        <f>INDEX(products!$A$1:$G$49,MATCH(orders!$D699,products!$A$1:$A$49,0),MATCH(orders!I$1,products!$A$1:$G$1,0))</f>
        <v>M</v>
      </c>
      <c r="J699" s="5">
        <f>INDEX(products!$A$1:$G$49,MATCH(orders!$D699,products!$A$1:$A$49,0),MATCH(orders!J$1,products!$A$1:$G$1,0))</f>
        <v>0.5</v>
      </c>
      <c r="K699" s="6">
        <f>INDEX(products!$A$1:$G$49,MATCH(orders!$D699,products!$A$1:$A$49,0),MATCH(orders!K$1,products!$A$1:$G$1,0))</f>
        <v>6.75</v>
      </c>
      <c r="L699" s="6">
        <f>K699*E699</f>
        <v>20.25</v>
      </c>
      <c r="M699" t="str" cm="1">
        <f t="array" ref="M699">_xlfn.IFS(H699="Rob","Robusta",H699="Exc","Excelsa",H699="Ara","Arabica",H699="Lib","Liberica")</f>
        <v>Arabica</v>
      </c>
      <c r="N699" t="str" cm="1">
        <f t="array" ref="N699">_xlfn.IFS(I699="M","Medium",I699="L","Light",I699="D","Dark")</f>
        <v>Medium</v>
      </c>
      <c r="O699" t="str">
        <f>_xlfn.XLOOKUP(Orders[[#This Row],[Customer ID]],customers!$A$2:$A$1001,customers!$I$2:$I$1001,,0)</f>
        <v>No</v>
      </c>
    </row>
    <row r="700" spans="1:15" x14ac:dyDescent="0.3">
      <c r="A700" s="2" t="s">
        <v>4433</v>
      </c>
      <c r="B700" s="3">
        <v>43830</v>
      </c>
      <c r="C700" s="2" t="s">
        <v>4434</v>
      </c>
      <c r="D700" t="s">
        <v>6143</v>
      </c>
      <c r="E700" s="2">
        <v>2</v>
      </c>
      <c r="F700" s="2" t="str">
        <f>_xlfn.XLOOKUP(C700,customers!$A$2:$A$1001,customers!$B$2:$B$1001,,0)</f>
        <v>Jimmy Dymoke</v>
      </c>
      <c r="G700" s="2" t="str">
        <f>_xlfn.XLOOKUP(C700,customers!$A$2:$A$1001,customers!$G$2:$G$1001,,0)</f>
        <v>Ireland</v>
      </c>
      <c r="H700" t="str">
        <f>INDEX(products!$A$1:$G$49,MATCH(orders!$D700,products!$A$1:$A$49,0),MATCH(orders!H$1,products!$A$1:$G$1,0))</f>
        <v>Lib</v>
      </c>
      <c r="I700" t="str">
        <f>INDEX(products!$A$1:$G$49,MATCH(orders!$D700,products!$A$1:$A$49,0),MATCH(orders!I$1,products!$A$1:$G$1,0))</f>
        <v>D</v>
      </c>
      <c r="J700" s="5">
        <f>INDEX(products!$A$1:$G$49,MATCH(orders!$D700,products!$A$1:$A$49,0),MATCH(orders!J$1,products!$A$1:$G$1,0))</f>
        <v>1</v>
      </c>
      <c r="K700" s="6">
        <f>INDEX(products!$A$1:$G$49,MATCH(orders!$D700,products!$A$1:$A$49,0),MATCH(orders!K$1,products!$A$1:$G$1,0))</f>
        <v>12.95</v>
      </c>
      <c r="L700" s="6">
        <f>K700*E700</f>
        <v>25.9</v>
      </c>
      <c r="M700" t="str" cm="1">
        <f t="array" ref="M700">_xlfn.IFS(H700="Rob","Robusta",H700="Exc","Excelsa",H700="Ara","Arabica",H700="Lib","Liberica")</f>
        <v>Liberica</v>
      </c>
      <c r="N700" t="str" cm="1">
        <f t="array" ref="N700">_xlfn.IFS(I700="M","Medium",I700="L","Light",I700="D","Dark")</f>
        <v>Dark</v>
      </c>
      <c r="O700" t="str">
        <f>_xlfn.XLOOKUP(Orders[[#This Row],[Customer ID]],customers!$A$2:$A$1001,customers!$I$2:$I$1001,,0)</f>
        <v>No</v>
      </c>
    </row>
    <row r="701" spans="1:15" x14ac:dyDescent="0.3">
      <c r="A701" s="2" t="s">
        <v>4439</v>
      </c>
      <c r="B701" s="3">
        <v>44298</v>
      </c>
      <c r="C701" s="2" t="s">
        <v>4440</v>
      </c>
      <c r="D701" t="s">
        <v>6158</v>
      </c>
      <c r="E701" s="2">
        <v>4</v>
      </c>
      <c r="F701" s="2" t="str">
        <f>_xlfn.XLOOKUP(C701,customers!$A$2:$A$1001,customers!$B$2:$B$1001,,0)</f>
        <v>Orland Tadman</v>
      </c>
      <c r="G701" s="2" t="str">
        <f>_xlfn.XLOOKUP(C701,customers!$A$2:$A$1001,customers!$G$2:$G$1001,,0)</f>
        <v>United States</v>
      </c>
      <c r="H701" t="str">
        <f>INDEX(products!$A$1:$G$49,MATCH(orders!$D701,products!$A$1:$A$49,0),MATCH(orders!H$1,products!$A$1:$G$1,0))</f>
        <v>Ara</v>
      </c>
      <c r="I701" t="str">
        <f>INDEX(products!$A$1:$G$49,MATCH(orders!$D701,products!$A$1:$A$49,0),MATCH(orders!I$1,products!$A$1:$G$1,0))</f>
        <v>D</v>
      </c>
      <c r="J701" s="5">
        <f>INDEX(products!$A$1:$G$49,MATCH(orders!$D701,products!$A$1:$A$49,0),MATCH(orders!J$1,products!$A$1:$G$1,0))</f>
        <v>0.5</v>
      </c>
      <c r="K701" s="6">
        <f>INDEX(products!$A$1:$G$49,MATCH(orders!$D701,products!$A$1:$A$49,0),MATCH(orders!K$1,products!$A$1:$G$1,0))</f>
        <v>5.97</v>
      </c>
      <c r="L701" s="6">
        <f>K701*E701</f>
        <v>23.88</v>
      </c>
      <c r="M701" t="str" cm="1">
        <f t="array" ref="M701">_xlfn.IFS(H701="Rob","Robusta",H701="Exc","Excelsa",H701="Ara","Arabica",H701="Lib","Liberica")</f>
        <v>Arabica</v>
      </c>
      <c r="N701" t="str" cm="1">
        <f t="array" ref="N701">_xlfn.IFS(I701="M","Medium",I701="L","Light",I701="D","Dark")</f>
        <v>Dark</v>
      </c>
      <c r="O701" t="str">
        <f>_xlfn.XLOOKUP(Orders[[#This Row],[Customer ID]],customers!$A$2:$A$1001,customers!$I$2:$I$1001,,0)</f>
        <v>Yes</v>
      </c>
    </row>
    <row r="702" spans="1:15" x14ac:dyDescent="0.3">
      <c r="A702" s="2" t="s">
        <v>4445</v>
      </c>
      <c r="B702" s="3">
        <v>43736</v>
      </c>
      <c r="C702" s="2" t="s">
        <v>4446</v>
      </c>
      <c r="D702" t="s">
        <v>6161</v>
      </c>
      <c r="E702" s="2">
        <v>2</v>
      </c>
      <c r="F702" s="2" t="str">
        <f>_xlfn.XLOOKUP(C702,customers!$A$2:$A$1001,customers!$B$2:$B$1001,,0)</f>
        <v>Barrett Gudde</v>
      </c>
      <c r="G702" s="2" t="str">
        <f>_xlfn.XLOOKUP(C702,customers!$A$2:$A$1001,customers!$G$2:$G$1001,,0)</f>
        <v>United States</v>
      </c>
      <c r="H702" t="str">
        <f>INDEX(products!$A$1:$G$49,MATCH(orders!$D702,products!$A$1:$A$49,0),MATCH(orders!H$1,products!$A$1:$G$1,0))</f>
        <v>Lib</v>
      </c>
      <c r="I702" t="str">
        <f>INDEX(products!$A$1:$G$49,MATCH(orders!$D702,products!$A$1:$A$49,0),MATCH(orders!I$1,products!$A$1:$G$1,0))</f>
        <v>L</v>
      </c>
      <c r="J702" s="5">
        <f>INDEX(products!$A$1:$G$49,MATCH(orders!$D702,products!$A$1:$A$49,0),MATCH(orders!J$1,products!$A$1:$G$1,0))</f>
        <v>0.5</v>
      </c>
      <c r="K702" s="6">
        <f>INDEX(products!$A$1:$G$49,MATCH(orders!$D702,products!$A$1:$A$49,0),MATCH(orders!K$1,products!$A$1:$G$1,0))</f>
        <v>9.51</v>
      </c>
      <c r="L702" s="6">
        <f>K702*E702</f>
        <v>19.02</v>
      </c>
      <c r="M702" t="str" cm="1">
        <f t="array" ref="M702">_xlfn.IFS(H702="Rob","Robusta",H702="Exc","Excelsa",H702="Ara","Arabica",H702="Lib","Liberica")</f>
        <v>Liberica</v>
      </c>
      <c r="N702" t="str" cm="1">
        <f t="array" ref="N702">_xlfn.IFS(I702="M","Medium",I702="L","Light",I702="D","Dark")</f>
        <v>Light</v>
      </c>
      <c r="O702" t="str">
        <f>_xlfn.XLOOKUP(Orders[[#This Row],[Customer ID]],customers!$A$2:$A$1001,customers!$I$2:$I$1001,,0)</f>
        <v>No</v>
      </c>
    </row>
    <row r="703" spans="1:15" x14ac:dyDescent="0.3">
      <c r="A703" s="2" t="s">
        <v>4450</v>
      </c>
      <c r="B703" s="3">
        <v>44727</v>
      </c>
      <c r="C703" s="2" t="s">
        <v>4451</v>
      </c>
      <c r="D703" t="s">
        <v>6158</v>
      </c>
      <c r="E703" s="2">
        <v>5</v>
      </c>
      <c r="F703" s="2" t="str">
        <f>_xlfn.XLOOKUP(C703,customers!$A$2:$A$1001,customers!$B$2:$B$1001,,0)</f>
        <v>Nathan Sictornes</v>
      </c>
      <c r="G703" s="2" t="str">
        <f>_xlfn.XLOOKUP(C703,customers!$A$2:$A$1001,customers!$G$2:$G$1001,,0)</f>
        <v>Ireland</v>
      </c>
      <c r="H703" t="str">
        <f>INDEX(products!$A$1:$G$49,MATCH(orders!$D703,products!$A$1:$A$49,0),MATCH(orders!H$1,products!$A$1:$G$1,0))</f>
        <v>Ara</v>
      </c>
      <c r="I703" t="str">
        <f>INDEX(products!$A$1:$G$49,MATCH(orders!$D703,products!$A$1:$A$49,0),MATCH(orders!I$1,products!$A$1:$G$1,0))</f>
        <v>D</v>
      </c>
      <c r="J703" s="5">
        <f>INDEX(products!$A$1:$G$49,MATCH(orders!$D703,products!$A$1:$A$49,0),MATCH(orders!J$1,products!$A$1:$G$1,0))</f>
        <v>0.5</v>
      </c>
      <c r="K703" s="6">
        <f>INDEX(products!$A$1:$G$49,MATCH(orders!$D703,products!$A$1:$A$49,0),MATCH(orders!K$1,products!$A$1:$G$1,0))</f>
        <v>5.97</v>
      </c>
      <c r="L703" s="6">
        <f>K703*E703</f>
        <v>29.849999999999998</v>
      </c>
      <c r="M703" t="str" cm="1">
        <f t="array" ref="M703">_xlfn.IFS(H703="Rob","Robusta",H703="Exc","Excelsa",H703="Ara","Arabica",H703="Lib","Liberica")</f>
        <v>Arabica</v>
      </c>
      <c r="N703" t="str" cm="1">
        <f t="array" ref="N703">_xlfn.IFS(I703="M","Medium",I703="L","Light",I703="D","Dark")</f>
        <v>Dark</v>
      </c>
      <c r="O703" t="str">
        <f>_xlfn.XLOOKUP(Orders[[#This Row],[Customer ID]],customers!$A$2:$A$1001,customers!$I$2:$I$1001,,0)</f>
        <v>Yes</v>
      </c>
    </row>
    <row r="704" spans="1:15" x14ac:dyDescent="0.3">
      <c r="A704" s="2" t="s">
        <v>4456</v>
      </c>
      <c r="B704" s="3">
        <v>43661</v>
      </c>
      <c r="C704" s="2" t="s">
        <v>4457</v>
      </c>
      <c r="D704" t="s">
        <v>6180</v>
      </c>
      <c r="E704" s="2">
        <v>1</v>
      </c>
      <c r="F704" s="2" t="str">
        <f>_xlfn.XLOOKUP(C704,customers!$A$2:$A$1001,customers!$B$2:$B$1001,,0)</f>
        <v>Vivyan Dunning</v>
      </c>
      <c r="G704" s="2" t="str">
        <f>_xlfn.XLOOKUP(C704,customers!$A$2:$A$1001,customers!$G$2:$G$1001,,0)</f>
        <v>United States</v>
      </c>
      <c r="H704" t="str">
        <f>INDEX(products!$A$1:$G$49,MATCH(orders!$D704,products!$A$1:$A$49,0),MATCH(orders!H$1,products!$A$1:$G$1,0))</f>
        <v>Ara</v>
      </c>
      <c r="I704" t="str">
        <f>INDEX(products!$A$1:$G$49,MATCH(orders!$D704,products!$A$1:$A$49,0),MATCH(orders!I$1,products!$A$1:$G$1,0))</f>
        <v>L</v>
      </c>
      <c r="J704" s="5">
        <f>INDEX(products!$A$1:$G$49,MATCH(orders!$D704,products!$A$1:$A$49,0),MATCH(orders!J$1,products!$A$1:$G$1,0))</f>
        <v>0.5</v>
      </c>
      <c r="K704" s="6">
        <f>INDEX(products!$A$1:$G$49,MATCH(orders!$D704,products!$A$1:$A$49,0),MATCH(orders!K$1,products!$A$1:$G$1,0))</f>
        <v>7.77</v>
      </c>
      <c r="L704" s="6">
        <f>K704*E704</f>
        <v>7.77</v>
      </c>
      <c r="M704" t="str" cm="1">
        <f t="array" ref="M704">_xlfn.IFS(H704="Rob","Robusta",H704="Exc","Excelsa",H704="Ara","Arabica",H704="Lib","Liberica")</f>
        <v>Arabica</v>
      </c>
      <c r="N704" t="str" cm="1">
        <f t="array" ref="N704">_xlfn.IFS(I704="M","Medium",I704="L","Light",I704="D","Dark")</f>
        <v>Light</v>
      </c>
      <c r="O704" t="str">
        <f>_xlfn.XLOOKUP(Orders[[#This Row],[Customer ID]],customers!$A$2:$A$1001,customers!$I$2:$I$1001,,0)</f>
        <v>Yes</v>
      </c>
    </row>
    <row r="705" spans="1:15" x14ac:dyDescent="0.3">
      <c r="A705" s="2" t="s">
        <v>4461</v>
      </c>
      <c r="B705" s="3">
        <v>43506</v>
      </c>
      <c r="C705" s="2" t="s">
        <v>4462</v>
      </c>
      <c r="D705" t="s">
        <v>6165</v>
      </c>
      <c r="E705" s="2">
        <v>4</v>
      </c>
      <c r="F705" s="2" t="str">
        <f>_xlfn.XLOOKUP(C705,customers!$A$2:$A$1001,customers!$B$2:$B$1001,,0)</f>
        <v>Doralin Baison</v>
      </c>
      <c r="G705" s="2" t="str">
        <f>_xlfn.XLOOKUP(C705,customers!$A$2:$A$1001,customers!$G$2:$G$1001,,0)</f>
        <v>Ireland</v>
      </c>
      <c r="H705" t="str">
        <f>INDEX(products!$A$1:$G$49,MATCH(orders!$D705,products!$A$1:$A$49,0),MATCH(orders!H$1,products!$A$1:$G$1,0))</f>
        <v>Lib</v>
      </c>
      <c r="I705" t="str">
        <f>INDEX(products!$A$1:$G$49,MATCH(orders!$D705,products!$A$1:$A$49,0),MATCH(orders!I$1,products!$A$1:$G$1,0))</f>
        <v>D</v>
      </c>
      <c r="J705" s="5">
        <f>INDEX(products!$A$1:$G$49,MATCH(orders!$D705,products!$A$1:$A$49,0),MATCH(orders!J$1,products!$A$1:$G$1,0))</f>
        <v>2.5</v>
      </c>
      <c r="K705" s="6">
        <f>INDEX(products!$A$1:$G$49,MATCH(orders!$D705,products!$A$1:$A$49,0),MATCH(orders!K$1,products!$A$1:$G$1,0))</f>
        <v>29.784999999999997</v>
      </c>
      <c r="L705" s="6">
        <f>K705*E705</f>
        <v>119.13999999999999</v>
      </c>
      <c r="M705" t="str" cm="1">
        <f t="array" ref="M705">_xlfn.IFS(H705="Rob","Robusta",H705="Exc","Excelsa",H705="Ara","Arabica",H705="Lib","Liberica")</f>
        <v>Liberica</v>
      </c>
      <c r="N705" t="str" cm="1">
        <f t="array" ref="N705">_xlfn.IFS(I705="M","Medium",I705="L","Light",I705="D","Dark")</f>
        <v>Dark</v>
      </c>
      <c r="O705" t="str">
        <f>_xlfn.XLOOKUP(Orders[[#This Row],[Customer ID]],customers!$A$2:$A$1001,customers!$I$2:$I$1001,,0)</f>
        <v>Yes</v>
      </c>
    </row>
    <row r="706" spans="1:15" x14ac:dyDescent="0.3">
      <c r="A706" s="2" t="s">
        <v>4466</v>
      </c>
      <c r="B706" s="3">
        <v>44716</v>
      </c>
      <c r="C706" s="2" t="s">
        <v>4467</v>
      </c>
      <c r="D706" t="s">
        <v>6153</v>
      </c>
      <c r="E706" s="2">
        <v>6</v>
      </c>
      <c r="F706" s="2" t="str">
        <f>_xlfn.XLOOKUP(C706,customers!$A$2:$A$1001,customers!$B$2:$B$1001,,0)</f>
        <v>Josefina Ferens</v>
      </c>
      <c r="G706" s="2" t="str">
        <f>_xlfn.XLOOKUP(C706,customers!$A$2:$A$1001,customers!$G$2:$G$1001,,0)</f>
        <v>United States</v>
      </c>
      <c r="H706" t="str">
        <f>INDEX(products!$A$1:$G$49,MATCH(orders!$D706,products!$A$1:$A$49,0),MATCH(orders!H$1,products!$A$1:$G$1,0))</f>
        <v>Exc</v>
      </c>
      <c r="I706" t="str">
        <f>INDEX(products!$A$1:$G$49,MATCH(orders!$D706,products!$A$1:$A$49,0),MATCH(orders!I$1,products!$A$1:$G$1,0))</f>
        <v>D</v>
      </c>
      <c r="J706" s="5">
        <f>INDEX(products!$A$1:$G$49,MATCH(orders!$D706,products!$A$1:$A$49,0),MATCH(orders!J$1,products!$A$1:$G$1,0))</f>
        <v>0.2</v>
      </c>
      <c r="K706" s="6">
        <f>INDEX(products!$A$1:$G$49,MATCH(orders!$D706,products!$A$1:$A$49,0),MATCH(orders!K$1,products!$A$1:$G$1,0))</f>
        <v>3.645</v>
      </c>
      <c r="L706" s="6">
        <f>K706*E706</f>
        <v>21.87</v>
      </c>
      <c r="M706" t="str" cm="1">
        <f t="array" ref="M706">_xlfn.IFS(H706="Rob","Robusta",H706="Exc","Excelsa",H706="Ara","Arabica",H706="Lib","Liberica")</f>
        <v>Excelsa</v>
      </c>
      <c r="N706" t="str" cm="1">
        <f t="array" ref="N706">_xlfn.IFS(I706="M","Medium",I706="L","Light",I706="D","Dark")</f>
        <v>Dark</v>
      </c>
      <c r="O706" t="str">
        <f>_xlfn.XLOOKUP(Orders[[#This Row],[Customer ID]],customers!$A$2:$A$1001,customers!$I$2:$I$1001,,0)</f>
        <v>Yes</v>
      </c>
    </row>
    <row r="707" spans="1:15" x14ac:dyDescent="0.3">
      <c r="A707" s="2" t="s">
        <v>4471</v>
      </c>
      <c r="B707" s="3">
        <v>44114</v>
      </c>
      <c r="C707" s="2" t="s">
        <v>4472</v>
      </c>
      <c r="D707" t="s">
        <v>6176</v>
      </c>
      <c r="E707" s="2">
        <v>2</v>
      </c>
      <c r="F707" s="2" t="str">
        <f>_xlfn.XLOOKUP(C707,customers!$A$2:$A$1001,customers!$B$2:$B$1001,,0)</f>
        <v>Shelley Gehring</v>
      </c>
      <c r="G707" s="2" t="str">
        <f>_xlfn.XLOOKUP(C707,customers!$A$2:$A$1001,customers!$G$2:$G$1001,,0)</f>
        <v>United States</v>
      </c>
      <c r="H707" t="str">
        <f>INDEX(products!$A$1:$G$49,MATCH(orders!$D707,products!$A$1:$A$49,0),MATCH(orders!H$1,products!$A$1:$G$1,0))</f>
        <v>Exc</v>
      </c>
      <c r="I707" t="str">
        <f>INDEX(products!$A$1:$G$49,MATCH(orders!$D707,products!$A$1:$A$49,0),MATCH(orders!I$1,products!$A$1:$G$1,0))</f>
        <v>L</v>
      </c>
      <c r="J707" s="5">
        <f>INDEX(products!$A$1:$G$49,MATCH(orders!$D707,products!$A$1:$A$49,0),MATCH(orders!J$1,products!$A$1:$G$1,0))</f>
        <v>0.5</v>
      </c>
      <c r="K707" s="6">
        <f>INDEX(products!$A$1:$G$49,MATCH(orders!$D707,products!$A$1:$A$49,0),MATCH(orders!K$1,products!$A$1:$G$1,0))</f>
        <v>8.91</v>
      </c>
      <c r="L707" s="6">
        <f>K707*E707</f>
        <v>17.82</v>
      </c>
      <c r="M707" t="str" cm="1">
        <f t="array" ref="M707">_xlfn.IFS(H707="Rob","Robusta",H707="Exc","Excelsa",H707="Ara","Arabica",H707="Lib","Liberica")</f>
        <v>Excelsa</v>
      </c>
      <c r="N707" t="str" cm="1">
        <f t="array" ref="N707">_xlfn.IFS(I707="M","Medium",I707="L","Light",I707="D","Dark")</f>
        <v>Light</v>
      </c>
      <c r="O707" t="str">
        <f>_xlfn.XLOOKUP(Orders[[#This Row],[Customer ID]],customers!$A$2:$A$1001,customers!$I$2:$I$1001,,0)</f>
        <v>No</v>
      </c>
    </row>
    <row r="708" spans="1:15" x14ac:dyDescent="0.3">
      <c r="A708" s="2" t="s">
        <v>4477</v>
      </c>
      <c r="B708" s="3">
        <v>44353</v>
      </c>
      <c r="C708" s="2" t="s">
        <v>4478</v>
      </c>
      <c r="D708" t="s">
        <v>6156</v>
      </c>
      <c r="E708" s="2">
        <v>3</v>
      </c>
      <c r="F708" s="2" t="str">
        <f>_xlfn.XLOOKUP(C708,customers!$A$2:$A$1001,customers!$B$2:$B$1001,,0)</f>
        <v>Barrie Fallowes</v>
      </c>
      <c r="G708" s="2" t="str">
        <f>_xlfn.XLOOKUP(C708,customers!$A$2:$A$1001,customers!$G$2:$G$1001,,0)</f>
        <v>United States</v>
      </c>
      <c r="H708" t="str">
        <f>INDEX(products!$A$1:$G$49,MATCH(orders!$D708,products!$A$1:$A$49,0),MATCH(orders!H$1,products!$A$1:$G$1,0))</f>
        <v>Exc</v>
      </c>
      <c r="I708" t="str">
        <f>INDEX(products!$A$1:$G$49,MATCH(orders!$D708,products!$A$1:$A$49,0),MATCH(orders!I$1,products!$A$1:$G$1,0))</f>
        <v>M</v>
      </c>
      <c r="J708" s="5">
        <f>INDEX(products!$A$1:$G$49,MATCH(orders!$D708,products!$A$1:$A$49,0),MATCH(orders!J$1,products!$A$1:$G$1,0))</f>
        <v>0.2</v>
      </c>
      <c r="K708" s="6">
        <f>INDEX(products!$A$1:$G$49,MATCH(orders!$D708,products!$A$1:$A$49,0),MATCH(orders!K$1,products!$A$1:$G$1,0))</f>
        <v>4.125</v>
      </c>
      <c r="L708" s="6">
        <f>K708*E708</f>
        <v>12.375</v>
      </c>
      <c r="M708" t="str" cm="1">
        <f t="array" ref="M708">_xlfn.IFS(H708="Rob","Robusta",H708="Exc","Excelsa",H708="Ara","Arabica",H708="Lib","Liberica")</f>
        <v>Excelsa</v>
      </c>
      <c r="N708" t="str" cm="1">
        <f t="array" ref="N708">_xlfn.IFS(I708="M","Medium",I708="L","Light",I708="D","Dark")</f>
        <v>Medium</v>
      </c>
      <c r="O708" t="str">
        <f>_xlfn.XLOOKUP(Orders[[#This Row],[Customer ID]],customers!$A$2:$A$1001,customers!$I$2:$I$1001,,0)</f>
        <v>No</v>
      </c>
    </row>
    <row r="709" spans="1:15" x14ac:dyDescent="0.3">
      <c r="A709" s="2" t="s">
        <v>4483</v>
      </c>
      <c r="B709" s="3">
        <v>43540</v>
      </c>
      <c r="C709" s="2" t="s">
        <v>4484</v>
      </c>
      <c r="D709" t="s">
        <v>6143</v>
      </c>
      <c r="E709" s="2">
        <v>2</v>
      </c>
      <c r="F709" s="2" t="str">
        <f>_xlfn.XLOOKUP(C709,customers!$A$2:$A$1001,customers!$B$2:$B$1001,,0)</f>
        <v>Nicolas Aiton</v>
      </c>
      <c r="G709" s="2" t="str">
        <f>_xlfn.XLOOKUP(C709,customers!$A$2:$A$1001,customers!$G$2:$G$1001,,0)</f>
        <v>Ireland</v>
      </c>
      <c r="H709" t="str">
        <f>INDEX(products!$A$1:$G$49,MATCH(orders!$D709,products!$A$1:$A$49,0),MATCH(orders!H$1,products!$A$1:$G$1,0))</f>
        <v>Lib</v>
      </c>
      <c r="I709" t="str">
        <f>INDEX(products!$A$1:$G$49,MATCH(orders!$D709,products!$A$1:$A$49,0),MATCH(orders!I$1,products!$A$1:$G$1,0))</f>
        <v>D</v>
      </c>
      <c r="J709" s="5">
        <f>INDEX(products!$A$1:$G$49,MATCH(orders!$D709,products!$A$1:$A$49,0),MATCH(orders!J$1,products!$A$1:$G$1,0))</f>
        <v>1</v>
      </c>
      <c r="K709" s="6">
        <f>INDEX(products!$A$1:$G$49,MATCH(orders!$D709,products!$A$1:$A$49,0),MATCH(orders!K$1,products!$A$1:$G$1,0))</f>
        <v>12.95</v>
      </c>
      <c r="L709" s="6">
        <f>K709*E709</f>
        <v>25.9</v>
      </c>
      <c r="M709" t="str" cm="1">
        <f t="array" ref="M709">_xlfn.IFS(H709="Rob","Robusta",H709="Exc","Excelsa",H709="Ara","Arabica",H709="Lib","Liberica")</f>
        <v>Liberica</v>
      </c>
      <c r="N709" t="str" cm="1">
        <f t="array" ref="N709">_xlfn.IFS(I709="M","Medium",I709="L","Light",I709="D","Dark")</f>
        <v>Dark</v>
      </c>
      <c r="O709" t="str">
        <f>_xlfn.XLOOKUP(Orders[[#This Row],[Customer ID]],customers!$A$2:$A$1001,customers!$I$2:$I$1001,,0)</f>
        <v>No</v>
      </c>
    </row>
    <row r="710" spans="1:15" x14ac:dyDescent="0.3">
      <c r="A710" s="2" t="s">
        <v>4488</v>
      </c>
      <c r="B710" s="3">
        <v>43804</v>
      </c>
      <c r="C710" s="2" t="s">
        <v>4489</v>
      </c>
      <c r="D710" t="s">
        <v>6157</v>
      </c>
      <c r="E710" s="2">
        <v>2</v>
      </c>
      <c r="F710" s="2" t="str">
        <f>_xlfn.XLOOKUP(C710,customers!$A$2:$A$1001,customers!$B$2:$B$1001,,0)</f>
        <v>Shelli De Banke</v>
      </c>
      <c r="G710" s="2" t="str">
        <f>_xlfn.XLOOKUP(C710,customers!$A$2:$A$1001,customers!$G$2:$G$1001,,0)</f>
        <v>United States</v>
      </c>
      <c r="H710" t="str">
        <f>INDEX(products!$A$1:$G$49,MATCH(orders!$D710,products!$A$1:$A$49,0),MATCH(orders!H$1,products!$A$1:$G$1,0))</f>
        <v>Ara</v>
      </c>
      <c r="I710" t="str">
        <f>INDEX(products!$A$1:$G$49,MATCH(orders!$D710,products!$A$1:$A$49,0),MATCH(orders!I$1,products!$A$1:$G$1,0))</f>
        <v>M</v>
      </c>
      <c r="J710" s="5">
        <f>INDEX(products!$A$1:$G$49,MATCH(orders!$D710,products!$A$1:$A$49,0),MATCH(orders!J$1,products!$A$1:$G$1,0))</f>
        <v>0.5</v>
      </c>
      <c r="K710" s="6">
        <f>INDEX(products!$A$1:$G$49,MATCH(orders!$D710,products!$A$1:$A$49,0),MATCH(orders!K$1,products!$A$1:$G$1,0))</f>
        <v>6.75</v>
      </c>
      <c r="L710" s="6">
        <f>K710*E710</f>
        <v>13.5</v>
      </c>
      <c r="M710" t="str" cm="1">
        <f t="array" ref="M710">_xlfn.IFS(H710="Rob","Robusta",H710="Exc","Excelsa",H710="Ara","Arabica",H710="Lib","Liberica")</f>
        <v>Arabica</v>
      </c>
      <c r="N710" t="str" cm="1">
        <f t="array" ref="N710">_xlfn.IFS(I710="M","Medium",I710="L","Light",I710="D","Dark")</f>
        <v>Medium</v>
      </c>
      <c r="O710" t="str">
        <f>_xlfn.XLOOKUP(Orders[[#This Row],[Customer ID]],customers!$A$2:$A$1001,customers!$I$2:$I$1001,,0)</f>
        <v>Yes</v>
      </c>
    </row>
    <row r="711" spans="1:15" x14ac:dyDescent="0.3">
      <c r="A711" s="2" t="s">
        <v>4494</v>
      </c>
      <c r="B711" s="3">
        <v>43485</v>
      </c>
      <c r="C711" s="2" t="s">
        <v>4495</v>
      </c>
      <c r="D711" t="s">
        <v>6176</v>
      </c>
      <c r="E711" s="2">
        <v>2</v>
      </c>
      <c r="F711" s="2" t="str">
        <f>_xlfn.XLOOKUP(C711,customers!$A$2:$A$1001,customers!$B$2:$B$1001,,0)</f>
        <v>Lyell Murch</v>
      </c>
      <c r="G711" s="2" t="str">
        <f>_xlfn.XLOOKUP(C711,customers!$A$2:$A$1001,customers!$G$2:$G$1001,,0)</f>
        <v>United States</v>
      </c>
      <c r="H711" t="str">
        <f>INDEX(products!$A$1:$G$49,MATCH(orders!$D711,products!$A$1:$A$49,0),MATCH(orders!H$1,products!$A$1:$G$1,0))</f>
        <v>Exc</v>
      </c>
      <c r="I711" t="str">
        <f>INDEX(products!$A$1:$G$49,MATCH(orders!$D711,products!$A$1:$A$49,0),MATCH(orders!I$1,products!$A$1:$G$1,0))</f>
        <v>L</v>
      </c>
      <c r="J711" s="5">
        <f>INDEX(products!$A$1:$G$49,MATCH(orders!$D711,products!$A$1:$A$49,0),MATCH(orders!J$1,products!$A$1:$G$1,0))</f>
        <v>0.5</v>
      </c>
      <c r="K711" s="6">
        <f>INDEX(products!$A$1:$G$49,MATCH(orders!$D711,products!$A$1:$A$49,0),MATCH(orders!K$1,products!$A$1:$G$1,0))</f>
        <v>8.91</v>
      </c>
      <c r="L711" s="6">
        <f>K711*E711</f>
        <v>17.82</v>
      </c>
      <c r="M711" t="str" cm="1">
        <f t="array" ref="M711">_xlfn.IFS(H711="Rob","Robusta",H711="Exc","Excelsa",H711="Ara","Arabica",H711="Lib","Liberica")</f>
        <v>Excelsa</v>
      </c>
      <c r="N711" t="str" cm="1">
        <f t="array" ref="N711">_xlfn.IFS(I711="M","Medium",I711="L","Light",I711="D","Dark")</f>
        <v>Light</v>
      </c>
      <c r="O711" t="str">
        <f>_xlfn.XLOOKUP(Orders[[#This Row],[Customer ID]],customers!$A$2:$A$1001,customers!$I$2:$I$1001,,0)</f>
        <v>Yes</v>
      </c>
    </row>
    <row r="712" spans="1:15" x14ac:dyDescent="0.3">
      <c r="A712" s="2" t="s">
        <v>4499</v>
      </c>
      <c r="B712" s="3">
        <v>44655</v>
      </c>
      <c r="C712" s="2" t="s">
        <v>4500</v>
      </c>
      <c r="D712" t="s">
        <v>6139</v>
      </c>
      <c r="E712" s="2">
        <v>3</v>
      </c>
      <c r="F712" s="2" t="str">
        <f>_xlfn.XLOOKUP(C712,customers!$A$2:$A$1001,customers!$B$2:$B$1001,,0)</f>
        <v>Stearne Count</v>
      </c>
      <c r="G712" s="2" t="str">
        <f>_xlfn.XLOOKUP(C712,customers!$A$2:$A$1001,customers!$G$2:$G$1001,,0)</f>
        <v>United States</v>
      </c>
      <c r="H712" t="str">
        <f>INDEX(products!$A$1:$G$49,MATCH(orders!$D712,products!$A$1:$A$49,0),MATCH(orders!H$1,products!$A$1:$G$1,0))</f>
        <v>Exc</v>
      </c>
      <c r="I712" t="str">
        <f>INDEX(products!$A$1:$G$49,MATCH(orders!$D712,products!$A$1:$A$49,0),MATCH(orders!I$1,products!$A$1:$G$1,0))</f>
        <v>M</v>
      </c>
      <c r="J712" s="5">
        <f>INDEX(products!$A$1:$G$49,MATCH(orders!$D712,products!$A$1:$A$49,0),MATCH(orders!J$1,products!$A$1:$G$1,0))</f>
        <v>0.5</v>
      </c>
      <c r="K712" s="6">
        <f>INDEX(products!$A$1:$G$49,MATCH(orders!$D712,products!$A$1:$A$49,0),MATCH(orders!K$1,products!$A$1:$G$1,0))</f>
        <v>8.25</v>
      </c>
      <c r="L712" s="6">
        <f>K712*E712</f>
        <v>24.75</v>
      </c>
      <c r="M712" t="str" cm="1">
        <f t="array" ref="M712">_xlfn.IFS(H712="Rob","Robusta",H712="Exc","Excelsa",H712="Ara","Arabica",H712="Lib","Liberica")</f>
        <v>Excelsa</v>
      </c>
      <c r="N712" t="str" cm="1">
        <f t="array" ref="N712">_xlfn.IFS(I712="M","Medium",I712="L","Light",I712="D","Dark")</f>
        <v>Medium</v>
      </c>
      <c r="O712" t="str">
        <f>_xlfn.XLOOKUP(Orders[[#This Row],[Customer ID]],customers!$A$2:$A$1001,customers!$I$2:$I$1001,,0)</f>
        <v>No</v>
      </c>
    </row>
    <row r="713" spans="1:15" x14ac:dyDescent="0.3">
      <c r="A713" s="2" t="s">
        <v>4505</v>
      </c>
      <c r="B713" s="3">
        <v>44600</v>
      </c>
      <c r="C713" s="2" t="s">
        <v>4506</v>
      </c>
      <c r="D713" t="s">
        <v>6174</v>
      </c>
      <c r="E713" s="2">
        <v>6</v>
      </c>
      <c r="F713" s="2" t="str">
        <f>_xlfn.XLOOKUP(C713,customers!$A$2:$A$1001,customers!$B$2:$B$1001,,0)</f>
        <v>Selia Ragles</v>
      </c>
      <c r="G713" s="2" t="str">
        <f>_xlfn.XLOOKUP(C713,customers!$A$2:$A$1001,customers!$G$2:$G$1001,,0)</f>
        <v>United States</v>
      </c>
      <c r="H713" t="str">
        <f>INDEX(products!$A$1:$G$49,MATCH(orders!$D713,products!$A$1:$A$49,0),MATCH(orders!H$1,products!$A$1:$G$1,0))</f>
        <v>Rob</v>
      </c>
      <c r="I713" t="str">
        <f>INDEX(products!$A$1:$G$49,MATCH(orders!$D713,products!$A$1:$A$49,0),MATCH(orders!I$1,products!$A$1:$G$1,0))</f>
        <v>M</v>
      </c>
      <c r="J713" s="5">
        <f>INDEX(products!$A$1:$G$49,MATCH(orders!$D713,products!$A$1:$A$49,0),MATCH(orders!J$1,products!$A$1:$G$1,0))</f>
        <v>0.2</v>
      </c>
      <c r="K713" s="6">
        <f>INDEX(products!$A$1:$G$49,MATCH(orders!$D713,products!$A$1:$A$49,0),MATCH(orders!K$1,products!$A$1:$G$1,0))</f>
        <v>2.9849999999999999</v>
      </c>
      <c r="L713" s="6">
        <f>K713*E713</f>
        <v>17.91</v>
      </c>
      <c r="M713" t="str" cm="1">
        <f t="array" ref="M713">_xlfn.IFS(H713="Rob","Robusta",H713="Exc","Excelsa",H713="Ara","Arabica",H713="Lib","Liberica")</f>
        <v>Robusta</v>
      </c>
      <c r="N713" t="str" cm="1">
        <f t="array" ref="N713">_xlfn.IFS(I713="M","Medium",I713="L","Light",I713="D","Dark")</f>
        <v>Medium</v>
      </c>
      <c r="O713" t="str">
        <f>_xlfn.XLOOKUP(Orders[[#This Row],[Customer ID]],customers!$A$2:$A$1001,customers!$I$2:$I$1001,,0)</f>
        <v>No</v>
      </c>
    </row>
    <row r="714" spans="1:15" x14ac:dyDescent="0.3">
      <c r="A714" s="2" t="s">
        <v>4512</v>
      </c>
      <c r="B714" s="3">
        <v>43646</v>
      </c>
      <c r="C714" s="2" t="s">
        <v>4513</v>
      </c>
      <c r="D714" t="s">
        <v>6139</v>
      </c>
      <c r="E714" s="2">
        <v>2</v>
      </c>
      <c r="F714" s="2" t="str">
        <f>_xlfn.XLOOKUP(C714,customers!$A$2:$A$1001,customers!$B$2:$B$1001,,0)</f>
        <v>Silas Deehan</v>
      </c>
      <c r="G714" s="2" t="str">
        <f>_xlfn.XLOOKUP(C714,customers!$A$2:$A$1001,customers!$G$2:$G$1001,,0)</f>
        <v>United Kingdom</v>
      </c>
      <c r="H714" t="str">
        <f>INDEX(products!$A$1:$G$49,MATCH(orders!$D714,products!$A$1:$A$49,0),MATCH(orders!H$1,products!$A$1:$G$1,0))</f>
        <v>Exc</v>
      </c>
      <c r="I714" t="str">
        <f>INDEX(products!$A$1:$G$49,MATCH(orders!$D714,products!$A$1:$A$49,0),MATCH(orders!I$1,products!$A$1:$G$1,0))</f>
        <v>M</v>
      </c>
      <c r="J714" s="5">
        <f>INDEX(products!$A$1:$G$49,MATCH(orders!$D714,products!$A$1:$A$49,0),MATCH(orders!J$1,products!$A$1:$G$1,0))</f>
        <v>0.5</v>
      </c>
      <c r="K714" s="6">
        <f>INDEX(products!$A$1:$G$49,MATCH(orders!$D714,products!$A$1:$A$49,0),MATCH(orders!K$1,products!$A$1:$G$1,0))</f>
        <v>8.25</v>
      </c>
      <c r="L714" s="6">
        <f>K714*E714</f>
        <v>16.5</v>
      </c>
      <c r="M714" t="str" cm="1">
        <f t="array" ref="M714">_xlfn.IFS(H714="Rob","Robusta",H714="Exc","Excelsa",H714="Ara","Arabica",H714="Lib","Liberica")</f>
        <v>Excelsa</v>
      </c>
      <c r="N714" t="str" cm="1">
        <f t="array" ref="N714">_xlfn.IFS(I714="M","Medium",I714="L","Light",I714="D","Dark")</f>
        <v>Medium</v>
      </c>
      <c r="O714" t="str">
        <f>_xlfn.XLOOKUP(Orders[[#This Row],[Customer ID]],customers!$A$2:$A$1001,customers!$I$2:$I$1001,,0)</f>
        <v>No</v>
      </c>
    </row>
    <row r="715" spans="1:15" x14ac:dyDescent="0.3">
      <c r="A715" s="2" t="s">
        <v>4516</v>
      </c>
      <c r="B715" s="3">
        <v>43960</v>
      </c>
      <c r="C715" s="2" t="s">
        <v>4517</v>
      </c>
      <c r="D715" t="s">
        <v>6174</v>
      </c>
      <c r="E715" s="2">
        <v>1</v>
      </c>
      <c r="F715" s="2" t="str">
        <f>_xlfn.XLOOKUP(C715,customers!$A$2:$A$1001,customers!$B$2:$B$1001,,0)</f>
        <v>Sacha Bruun</v>
      </c>
      <c r="G715" s="2" t="str">
        <f>_xlfn.XLOOKUP(C715,customers!$A$2:$A$1001,customers!$G$2:$G$1001,,0)</f>
        <v>United States</v>
      </c>
      <c r="H715" t="str">
        <f>INDEX(products!$A$1:$G$49,MATCH(orders!$D715,products!$A$1:$A$49,0),MATCH(orders!H$1,products!$A$1:$G$1,0))</f>
        <v>Rob</v>
      </c>
      <c r="I715" t="str">
        <f>INDEX(products!$A$1:$G$49,MATCH(orders!$D715,products!$A$1:$A$49,0),MATCH(orders!I$1,products!$A$1:$G$1,0))</f>
        <v>M</v>
      </c>
      <c r="J715" s="5">
        <f>INDEX(products!$A$1:$G$49,MATCH(orders!$D715,products!$A$1:$A$49,0),MATCH(orders!J$1,products!$A$1:$G$1,0))</f>
        <v>0.2</v>
      </c>
      <c r="K715" s="6">
        <f>INDEX(products!$A$1:$G$49,MATCH(orders!$D715,products!$A$1:$A$49,0),MATCH(orders!K$1,products!$A$1:$G$1,0))</f>
        <v>2.9849999999999999</v>
      </c>
      <c r="L715" s="6">
        <f>K715*E715</f>
        <v>2.9849999999999999</v>
      </c>
      <c r="M715" t="str" cm="1">
        <f t="array" ref="M715">_xlfn.IFS(H715="Rob","Robusta",H715="Exc","Excelsa",H715="Ara","Arabica",H715="Lib","Liberica")</f>
        <v>Robusta</v>
      </c>
      <c r="N715" t="str" cm="1">
        <f t="array" ref="N715">_xlfn.IFS(I715="M","Medium",I715="L","Light",I715="D","Dark")</f>
        <v>Medium</v>
      </c>
      <c r="O715" t="str">
        <f>_xlfn.XLOOKUP(Orders[[#This Row],[Customer ID]],customers!$A$2:$A$1001,customers!$I$2:$I$1001,,0)</f>
        <v>No</v>
      </c>
    </row>
    <row r="716" spans="1:15" x14ac:dyDescent="0.3">
      <c r="A716" s="2" t="s">
        <v>4522</v>
      </c>
      <c r="B716" s="3">
        <v>44358</v>
      </c>
      <c r="C716" s="2" t="s">
        <v>4523</v>
      </c>
      <c r="D716" t="s">
        <v>6153</v>
      </c>
      <c r="E716" s="2">
        <v>4</v>
      </c>
      <c r="F716" s="2" t="str">
        <f>_xlfn.XLOOKUP(C716,customers!$A$2:$A$1001,customers!$B$2:$B$1001,,0)</f>
        <v>Alon Pllu</v>
      </c>
      <c r="G716" s="2" t="str">
        <f>_xlfn.XLOOKUP(C716,customers!$A$2:$A$1001,customers!$G$2:$G$1001,,0)</f>
        <v>Ireland</v>
      </c>
      <c r="H716" t="str">
        <f>INDEX(products!$A$1:$G$49,MATCH(orders!$D716,products!$A$1:$A$49,0),MATCH(orders!H$1,products!$A$1:$G$1,0))</f>
        <v>Exc</v>
      </c>
      <c r="I716" t="str">
        <f>INDEX(products!$A$1:$G$49,MATCH(orders!$D716,products!$A$1:$A$49,0),MATCH(orders!I$1,products!$A$1:$G$1,0))</f>
        <v>D</v>
      </c>
      <c r="J716" s="5">
        <f>INDEX(products!$A$1:$G$49,MATCH(orders!$D716,products!$A$1:$A$49,0),MATCH(orders!J$1,products!$A$1:$G$1,0))</f>
        <v>0.2</v>
      </c>
      <c r="K716" s="6">
        <f>INDEX(products!$A$1:$G$49,MATCH(orders!$D716,products!$A$1:$A$49,0),MATCH(orders!K$1,products!$A$1:$G$1,0))</f>
        <v>3.645</v>
      </c>
      <c r="L716" s="6">
        <f>K716*E716</f>
        <v>14.58</v>
      </c>
      <c r="M716" t="str" cm="1">
        <f t="array" ref="M716">_xlfn.IFS(H716="Rob","Robusta",H716="Exc","Excelsa",H716="Ara","Arabica",H716="Lib","Liberica")</f>
        <v>Excelsa</v>
      </c>
      <c r="N716" t="str" cm="1">
        <f t="array" ref="N716">_xlfn.IFS(I716="M","Medium",I716="L","Light",I716="D","Dark")</f>
        <v>Dark</v>
      </c>
      <c r="O716" t="str">
        <f>_xlfn.XLOOKUP(Orders[[#This Row],[Customer ID]],customers!$A$2:$A$1001,customers!$I$2:$I$1001,,0)</f>
        <v>Yes</v>
      </c>
    </row>
    <row r="717" spans="1:15" x14ac:dyDescent="0.3">
      <c r="A717" s="2" t="s">
        <v>4528</v>
      </c>
      <c r="B717" s="3">
        <v>44504</v>
      </c>
      <c r="C717" s="2" t="s">
        <v>4529</v>
      </c>
      <c r="D717" t="s">
        <v>6171</v>
      </c>
      <c r="E717" s="2">
        <v>6</v>
      </c>
      <c r="F717" s="2" t="str">
        <f>_xlfn.XLOOKUP(C717,customers!$A$2:$A$1001,customers!$B$2:$B$1001,,0)</f>
        <v>Gilberto Cornier</v>
      </c>
      <c r="G717" s="2" t="str">
        <f>_xlfn.XLOOKUP(C717,customers!$A$2:$A$1001,customers!$G$2:$G$1001,,0)</f>
        <v>United States</v>
      </c>
      <c r="H717" t="str">
        <f>INDEX(products!$A$1:$G$49,MATCH(orders!$D717,products!$A$1:$A$49,0),MATCH(orders!H$1,products!$A$1:$G$1,0))</f>
        <v>Exc</v>
      </c>
      <c r="I717" t="str">
        <f>INDEX(products!$A$1:$G$49,MATCH(orders!$D717,products!$A$1:$A$49,0),MATCH(orders!I$1,products!$A$1:$G$1,0))</f>
        <v>L</v>
      </c>
      <c r="J717" s="5">
        <f>INDEX(products!$A$1:$G$49,MATCH(orders!$D717,products!$A$1:$A$49,0),MATCH(orders!J$1,products!$A$1:$G$1,0))</f>
        <v>1</v>
      </c>
      <c r="K717" s="6">
        <f>INDEX(products!$A$1:$G$49,MATCH(orders!$D717,products!$A$1:$A$49,0),MATCH(orders!K$1,products!$A$1:$G$1,0))</f>
        <v>14.85</v>
      </c>
      <c r="L717" s="6">
        <f>K717*E717</f>
        <v>89.1</v>
      </c>
      <c r="M717" t="str" cm="1">
        <f t="array" ref="M717">_xlfn.IFS(H717="Rob","Robusta",H717="Exc","Excelsa",H717="Ara","Arabica",H717="Lib","Liberica")</f>
        <v>Excelsa</v>
      </c>
      <c r="N717" t="str" cm="1">
        <f t="array" ref="N717">_xlfn.IFS(I717="M","Medium",I717="L","Light",I717="D","Dark")</f>
        <v>Light</v>
      </c>
      <c r="O717" t="str">
        <f>_xlfn.XLOOKUP(Orders[[#This Row],[Customer ID]],customers!$A$2:$A$1001,customers!$I$2:$I$1001,,0)</f>
        <v>No</v>
      </c>
    </row>
    <row r="718" spans="1:15" x14ac:dyDescent="0.3">
      <c r="A718" s="2" t="s">
        <v>4533</v>
      </c>
      <c r="B718" s="3">
        <v>44612</v>
      </c>
      <c r="C718" s="2" t="s">
        <v>4434</v>
      </c>
      <c r="D718" t="s">
        <v>6179</v>
      </c>
      <c r="E718" s="2">
        <v>3</v>
      </c>
      <c r="F718" s="2" t="str">
        <f>_xlfn.XLOOKUP(C718,customers!$A$2:$A$1001,customers!$B$2:$B$1001,,0)</f>
        <v>Jimmy Dymoke</v>
      </c>
      <c r="G718" s="2" t="str">
        <f>_xlfn.XLOOKUP(C718,customers!$A$2:$A$1001,customers!$G$2:$G$1001,,0)</f>
        <v>Ireland</v>
      </c>
      <c r="H718" t="str">
        <f>INDEX(products!$A$1:$G$49,MATCH(orders!$D718,products!$A$1:$A$49,0),MATCH(orders!H$1,products!$A$1:$G$1,0))</f>
        <v>Rob</v>
      </c>
      <c r="I718" t="str">
        <f>INDEX(products!$A$1:$G$49,MATCH(orders!$D718,products!$A$1:$A$49,0),MATCH(orders!I$1,products!$A$1:$G$1,0))</f>
        <v>L</v>
      </c>
      <c r="J718" s="5">
        <f>INDEX(products!$A$1:$G$49,MATCH(orders!$D718,products!$A$1:$A$49,0),MATCH(orders!J$1,products!$A$1:$G$1,0))</f>
        <v>1</v>
      </c>
      <c r="K718" s="6">
        <f>INDEX(products!$A$1:$G$49,MATCH(orders!$D718,products!$A$1:$A$49,0),MATCH(orders!K$1,products!$A$1:$G$1,0))</f>
        <v>11.95</v>
      </c>
      <c r="L718" s="6">
        <f>K718*E718</f>
        <v>35.849999999999994</v>
      </c>
      <c r="M718" t="str" cm="1">
        <f t="array" ref="M718">_xlfn.IFS(H718="Rob","Robusta",H718="Exc","Excelsa",H718="Ara","Arabica",H718="Lib","Liberica")</f>
        <v>Robusta</v>
      </c>
      <c r="N718" t="str" cm="1">
        <f t="array" ref="N718">_xlfn.IFS(I718="M","Medium",I718="L","Light",I718="D","Dark")</f>
        <v>Light</v>
      </c>
      <c r="O718" t="str">
        <f>_xlfn.XLOOKUP(Orders[[#This Row],[Customer ID]],customers!$A$2:$A$1001,customers!$I$2:$I$1001,,0)</f>
        <v>No</v>
      </c>
    </row>
    <row r="719" spans="1:15" x14ac:dyDescent="0.3">
      <c r="A719" s="2" t="s">
        <v>4539</v>
      </c>
      <c r="B719" s="3">
        <v>43649</v>
      </c>
      <c r="C719" s="2" t="s">
        <v>4540</v>
      </c>
      <c r="D719" t="s">
        <v>6168</v>
      </c>
      <c r="E719" s="2">
        <v>3</v>
      </c>
      <c r="F719" s="2" t="str">
        <f>_xlfn.XLOOKUP(C719,customers!$A$2:$A$1001,customers!$B$2:$B$1001,,0)</f>
        <v>Willabella Harvison</v>
      </c>
      <c r="G719" s="2" t="str">
        <f>_xlfn.XLOOKUP(C719,customers!$A$2:$A$1001,customers!$G$2:$G$1001,,0)</f>
        <v>United States</v>
      </c>
      <c r="H719" t="str">
        <f>INDEX(products!$A$1:$G$49,MATCH(orders!$D719,products!$A$1:$A$49,0),MATCH(orders!H$1,products!$A$1:$G$1,0))</f>
        <v>Ara</v>
      </c>
      <c r="I719" t="str">
        <f>INDEX(products!$A$1:$G$49,MATCH(orders!$D719,products!$A$1:$A$49,0),MATCH(orders!I$1,products!$A$1:$G$1,0))</f>
        <v>D</v>
      </c>
      <c r="J719" s="5">
        <f>INDEX(products!$A$1:$G$49,MATCH(orders!$D719,products!$A$1:$A$49,0),MATCH(orders!J$1,products!$A$1:$G$1,0))</f>
        <v>2.5</v>
      </c>
      <c r="K719" s="6">
        <f>INDEX(products!$A$1:$G$49,MATCH(orders!$D719,products!$A$1:$A$49,0),MATCH(orders!K$1,products!$A$1:$G$1,0))</f>
        <v>22.884999999999998</v>
      </c>
      <c r="L719" s="6">
        <f>K719*E719</f>
        <v>68.655000000000001</v>
      </c>
      <c r="M719" t="str" cm="1">
        <f t="array" ref="M719">_xlfn.IFS(H719="Rob","Robusta",H719="Exc","Excelsa",H719="Ara","Arabica",H719="Lib","Liberica")</f>
        <v>Arabica</v>
      </c>
      <c r="N719" t="str" cm="1">
        <f t="array" ref="N719">_xlfn.IFS(I719="M","Medium",I719="L","Light",I719="D","Dark")</f>
        <v>Dark</v>
      </c>
      <c r="O719" t="str">
        <f>_xlfn.XLOOKUP(Orders[[#This Row],[Customer ID]],customers!$A$2:$A$1001,customers!$I$2:$I$1001,,0)</f>
        <v>No</v>
      </c>
    </row>
    <row r="720" spans="1:15" x14ac:dyDescent="0.3">
      <c r="A720" s="2" t="s">
        <v>4545</v>
      </c>
      <c r="B720" s="3">
        <v>44348</v>
      </c>
      <c r="C720" s="2" t="s">
        <v>4546</v>
      </c>
      <c r="D720" t="s">
        <v>6143</v>
      </c>
      <c r="E720" s="2">
        <v>3</v>
      </c>
      <c r="F720" s="2" t="str">
        <f>_xlfn.XLOOKUP(C720,customers!$A$2:$A$1001,customers!$B$2:$B$1001,,0)</f>
        <v>Darice Heaford</v>
      </c>
      <c r="G720" s="2" t="str">
        <f>_xlfn.XLOOKUP(C720,customers!$A$2:$A$1001,customers!$G$2:$G$1001,,0)</f>
        <v>United States</v>
      </c>
      <c r="H720" t="str">
        <f>INDEX(products!$A$1:$G$49,MATCH(orders!$D720,products!$A$1:$A$49,0),MATCH(orders!H$1,products!$A$1:$G$1,0))</f>
        <v>Lib</v>
      </c>
      <c r="I720" t="str">
        <f>INDEX(products!$A$1:$G$49,MATCH(orders!$D720,products!$A$1:$A$49,0),MATCH(orders!I$1,products!$A$1:$G$1,0))</f>
        <v>D</v>
      </c>
      <c r="J720" s="5">
        <f>INDEX(products!$A$1:$G$49,MATCH(orders!$D720,products!$A$1:$A$49,0),MATCH(orders!J$1,products!$A$1:$G$1,0))</f>
        <v>1</v>
      </c>
      <c r="K720" s="6">
        <f>INDEX(products!$A$1:$G$49,MATCH(orders!$D720,products!$A$1:$A$49,0),MATCH(orders!K$1,products!$A$1:$G$1,0))</f>
        <v>12.95</v>
      </c>
      <c r="L720" s="6">
        <f>K720*E720</f>
        <v>38.849999999999994</v>
      </c>
      <c r="M720" t="str" cm="1">
        <f t="array" ref="M720">_xlfn.IFS(H720="Rob","Robusta",H720="Exc","Excelsa",H720="Ara","Arabica",H720="Lib","Liberica")</f>
        <v>Liberica</v>
      </c>
      <c r="N720" t="str" cm="1">
        <f t="array" ref="N720">_xlfn.IFS(I720="M","Medium",I720="L","Light",I720="D","Dark")</f>
        <v>Dark</v>
      </c>
      <c r="O720" t="str">
        <f>_xlfn.XLOOKUP(Orders[[#This Row],[Customer ID]],customers!$A$2:$A$1001,customers!$I$2:$I$1001,,0)</f>
        <v>No</v>
      </c>
    </row>
    <row r="721" spans="1:15" x14ac:dyDescent="0.3">
      <c r="A721" s="2" t="s">
        <v>4551</v>
      </c>
      <c r="B721" s="3">
        <v>44150</v>
      </c>
      <c r="C721" s="2" t="s">
        <v>4552</v>
      </c>
      <c r="D721" t="s">
        <v>6170</v>
      </c>
      <c r="E721" s="2">
        <v>5</v>
      </c>
      <c r="F721" s="2" t="str">
        <f>_xlfn.XLOOKUP(C721,customers!$A$2:$A$1001,customers!$B$2:$B$1001,,0)</f>
        <v>Granger Fantham</v>
      </c>
      <c r="G721" s="2" t="str">
        <f>_xlfn.XLOOKUP(C721,customers!$A$2:$A$1001,customers!$G$2:$G$1001,,0)</f>
        <v>United States</v>
      </c>
      <c r="H721" t="str">
        <f>INDEX(products!$A$1:$G$49,MATCH(orders!$D721,products!$A$1:$A$49,0),MATCH(orders!H$1,products!$A$1:$G$1,0))</f>
        <v>Lib</v>
      </c>
      <c r="I721" t="str">
        <f>INDEX(products!$A$1:$G$49,MATCH(orders!$D721,products!$A$1:$A$49,0),MATCH(orders!I$1,products!$A$1:$G$1,0))</f>
        <v>L</v>
      </c>
      <c r="J721" s="5">
        <f>INDEX(products!$A$1:$G$49,MATCH(orders!$D721,products!$A$1:$A$49,0),MATCH(orders!J$1,products!$A$1:$G$1,0))</f>
        <v>1</v>
      </c>
      <c r="K721" s="6">
        <f>INDEX(products!$A$1:$G$49,MATCH(orders!$D721,products!$A$1:$A$49,0),MATCH(orders!K$1,products!$A$1:$G$1,0))</f>
        <v>15.85</v>
      </c>
      <c r="L721" s="6">
        <f>K721*E721</f>
        <v>79.25</v>
      </c>
      <c r="M721" t="str" cm="1">
        <f t="array" ref="M721">_xlfn.IFS(H721="Rob","Robusta",H721="Exc","Excelsa",H721="Ara","Arabica",H721="Lib","Liberica")</f>
        <v>Liberica</v>
      </c>
      <c r="N721" t="str" cm="1">
        <f t="array" ref="N721">_xlfn.IFS(I721="M","Medium",I721="L","Light",I721="D","Dark")</f>
        <v>Light</v>
      </c>
      <c r="O721" t="str">
        <f>_xlfn.XLOOKUP(Orders[[#This Row],[Customer ID]],customers!$A$2:$A$1001,customers!$I$2:$I$1001,,0)</f>
        <v>Yes</v>
      </c>
    </row>
    <row r="722" spans="1:15" x14ac:dyDescent="0.3">
      <c r="A722" s="2" t="s">
        <v>4557</v>
      </c>
      <c r="B722" s="3">
        <v>44215</v>
      </c>
      <c r="C722" s="2" t="s">
        <v>4558</v>
      </c>
      <c r="D722" t="s">
        <v>6144</v>
      </c>
      <c r="E722" s="2">
        <v>5</v>
      </c>
      <c r="F722" s="2" t="str">
        <f>_xlfn.XLOOKUP(C722,customers!$A$2:$A$1001,customers!$B$2:$B$1001,,0)</f>
        <v>Reynolds Crookshanks</v>
      </c>
      <c r="G722" s="2" t="str">
        <f>_xlfn.XLOOKUP(C722,customers!$A$2:$A$1001,customers!$G$2:$G$1001,,0)</f>
        <v>United States</v>
      </c>
      <c r="H722" t="str">
        <f>INDEX(products!$A$1:$G$49,MATCH(orders!$D722,products!$A$1:$A$49,0),MATCH(orders!H$1,products!$A$1:$G$1,0))</f>
        <v>Exc</v>
      </c>
      <c r="I722" t="str">
        <f>INDEX(products!$A$1:$G$49,MATCH(orders!$D722,products!$A$1:$A$49,0),MATCH(orders!I$1,products!$A$1:$G$1,0))</f>
        <v>D</v>
      </c>
      <c r="J722" s="5">
        <f>INDEX(products!$A$1:$G$49,MATCH(orders!$D722,products!$A$1:$A$49,0),MATCH(orders!J$1,products!$A$1:$G$1,0))</f>
        <v>0.5</v>
      </c>
      <c r="K722" s="6">
        <f>INDEX(products!$A$1:$G$49,MATCH(orders!$D722,products!$A$1:$A$49,0),MATCH(orders!K$1,products!$A$1:$G$1,0))</f>
        <v>7.29</v>
      </c>
      <c r="L722" s="6">
        <f>K722*E722</f>
        <v>36.450000000000003</v>
      </c>
      <c r="M722" t="str" cm="1">
        <f t="array" ref="M722">_xlfn.IFS(H722="Rob","Robusta",H722="Exc","Excelsa",H722="Ara","Arabica",H722="Lib","Liberica")</f>
        <v>Excelsa</v>
      </c>
      <c r="N722" t="str" cm="1">
        <f t="array" ref="N722">_xlfn.IFS(I722="M","Medium",I722="L","Light",I722="D","Dark")</f>
        <v>Dark</v>
      </c>
      <c r="O722" t="str">
        <f>_xlfn.XLOOKUP(Orders[[#This Row],[Customer ID]],customers!$A$2:$A$1001,customers!$I$2:$I$1001,,0)</f>
        <v>Yes</v>
      </c>
    </row>
    <row r="723" spans="1:15" x14ac:dyDescent="0.3">
      <c r="A723" s="2" t="s">
        <v>4563</v>
      </c>
      <c r="B723" s="3">
        <v>44479</v>
      </c>
      <c r="C723" s="2" t="s">
        <v>4564</v>
      </c>
      <c r="D723" t="s">
        <v>6174</v>
      </c>
      <c r="E723" s="2">
        <v>3</v>
      </c>
      <c r="F723" s="2" t="str">
        <f>_xlfn.XLOOKUP(C723,customers!$A$2:$A$1001,customers!$B$2:$B$1001,,0)</f>
        <v>Niels Leake</v>
      </c>
      <c r="G723" s="2" t="str">
        <f>_xlfn.XLOOKUP(C723,customers!$A$2:$A$1001,customers!$G$2:$G$1001,,0)</f>
        <v>United States</v>
      </c>
      <c r="H723" t="str">
        <f>INDEX(products!$A$1:$G$49,MATCH(orders!$D723,products!$A$1:$A$49,0),MATCH(orders!H$1,products!$A$1:$G$1,0))</f>
        <v>Rob</v>
      </c>
      <c r="I723" t="str">
        <f>INDEX(products!$A$1:$G$49,MATCH(orders!$D723,products!$A$1:$A$49,0),MATCH(orders!I$1,products!$A$1:$G$1,0))</f>
        <v>M</v>
      </c>
      <c r="J723" s="5">
        <f>INDEX(products!$A$1:$G$49,MATCH(orders!$D723,products!$A$1:$A$49,0),MATCH(orders!J$1,products!$A$1:$G$1,0))</f>
        <v>0.2</v>
      </c>
      <c r="K723" s="6">
        <f>INDEX(products!$A$1:$G$49,MATCH(orders!$D723,products!$A$1:$A$49,0),MATCH(orders!K$1,products!$A$1:$G$1,0))</f>
        <v>2.9849999999999999</v>
      </c>
      <c r="L723" s="6">
        <f>K723*E723</f>
        <v>8.9550000000000001</v>
      </c>
      <c r="M723" t="str" cm="1">
        <f t="array" ref="M723">_xlfn.IFS(H723="Rob","Robusta",H723="Exc","Excelsa",H723="Ara","Arabica",H723="Lib","Liberica")</f>
        <v>Robusta</v>
      </c>
      <c r="N723" t="str" cm="1">
        <f t="array" ref="N723">_xlfn.IFS(I723="M","Medium",I723="L","Light",I723="D","Dark")</f>
        <v>Medium</v>
      </c>
      <c r="O723" t="str">
        <f>_xlfn.XLOOKUP(Orders[[#This Row],[Customer ID]],customers!$A$2:$A$1001,customers!$I$2:$I$1001,,0)</f>
        <v>Yes</v>
      </c>
    </row>
    <row r="724" spans="1:15" x14ac:dyDescent="0.3">
      <c r="A724" s="2" t="s">
        <v>4569</v>
      </c>
      <c r="B724" s="3">
        <v>44620</v>
      </c>
      <c r="C724" s="2" t="s">
        <v>4570</v>
      </c>
      <c r="D724" t="s">
        <v>6183</v>
      </c>
      <c r="E724" s="2">
        <v>2</v>
      </c>
      <c r="F724" s="2" t="str">
        <f>_xlfn.XLOOKUP(C724,customers!$A$2:$A$1001,customers!$B$2:$B$1001,,0)</f>
        <v>Hetti Measures</v>
      </c>
      <c r="G724" s="2" t="str">
        <f>_xlfn.XLOOKUP(C724,customers!$A$2:$A$1001,customers!$G$2:$G$1001,,0)</f>
        <v>United States</v>
      </c>
      <c r="H724" t="str">
        <f>INDEX(products!$A$1:$G$49,MATCH(orders!$D724,products!$A$1:$A$49,0),MATCH(orders!H$1,products!$A$1:$G$1,0))</f>
        <v>Exc</v>
      </c>
      <c r="I724" t="str">
        <f>INDEX(products!$A$1:$G$49,MATCH(orders!$D724,products!$A$1:$A$49,0),MATCH(orders!I$1,products!$A$1:$G$1,0))</f>
        <v>D</v>
      </c>
      <c r="J724" s="5">
        <f>INDEX(products!$A$1:$G$49,MATCH(orders!$D724,products!$A$1:$A$49,0),MATCH(orders!J$1,products!$A$1:$G$1,0))</f>
        <v>1</v>
      </c>
      <c r="K724" s="6">
        <f>INDEX(products!$A$1:$G$49,MATCH(orders!$D724,products!$A$1:$A$49,0),MATCH(orders!K$1,products!$A$1:$G$1,0))</f>
        <v>12.15</v>
      </c>
      <c r="L724" s="6">
        <f>K724*E724</f>
        <v>24.3</v>
      </c>
      <c r="M724" t="str" cm="1">
        <f t="array" ref="M724">_xlfn.IFS(H724="Rob","Robusta",H724="Exc","Excelsa",H724="Ara","Arabica",H724="Lib","Liberica")</f>
        <v>Excelsa</v>
      </c>
      <c r="N724" t="str" cm="1">
        <f t="array" ref="N724">_xlfn.IFS(I724="M","Medium",I724="L","Light",I724="D","Dark")</f>
        <v>Dark</v>
      </c>
      <c r="O724" t="str">
        <f>_xlfn.XLOOKUP(Orders[[#This Row],[Customer ID]],customers!$A$2:$A$1001,customers!$I$2:$I$1001,,0)</f>
        <v>No</v>
      </c>
    </row>
    <row r="725" spans="1:15" x14ac:dyDescent="0.3">
      <c r="A725" s="2" t="s">
        <v>4574</v>
      </c>
      <c r="B725" s="3">
        <v>44470</v>
      </c>
      <c r="C725" s="2" t="s">
        <v>4575</v>
      </c>
      <c r="D725" t="s">
        <v>6166</v>
      </c>
      <c r="E725" s="2">
        <v>2</v>
      </c>
      <c r="F725" s="2" t="str">
        <f>_xlfn.XLOOKUP(C725,customers!$A$2:$A$1001,customers!$B$2:$B$1001,,0)</f>
        <v>Gay Eilhersen</v>
      </c>
      <c r="G725" s="2" t="str">
        <f>_xlfn.XLOOKUP(C725,customers!$A$2:$A$1001,customers!$G$2:$G$1001,,0)</f>
        <v>United States</v>
      </c>
      <c r="H725" t="str">
        <f>INDEX(products!$A$1:$G$49,MATCH(orders!$D725,products!$A$1:$A$49,0),MATCH(orders!H$1,products!$A$1:$G$1,0))</f>
        <v>Exc</v>
      </c>
      <c r="I725" t="str">
        <f>INDEX(products!$A$1:$G$49,MATCH(orders!$D725,products!$A$1:$A$49,0),MATCH(orders!I$1,products!$A$1:$G$1,0))</f>
        <v>M</v>
      </c>
      <c r="J725" s="5">
        <f>INDEX(products!$A$1:$G$49,MATCH(orders!$D725,products!$A$1:$A$49,0),MATCH(orders!J$1,products!$A$1:$G$1,0))</f>
        <v>2.5</v>
      </c>
      <c r="K725" s="6">
        <f>INDEX(products!$A$1:$G$49,MATCH(orders!$D725,products!$A$1:$A$49,0),MATCH(orders!K$1,products!$A$1:$G$1,0))</f>
        <v>31.624999999999996</v>
      </c>
      <c r="L725" s="6">
        <f>K725*E725</f>
        <v>63.249999999999993</v>
      </c>
      <c r="M725" t="str" cm="1">
        <f t="array" ref="M725">_xlfn.IFS(H725="Rob","Robusta",H725="Exc","Excelsa",H725="Ara","Arabica",H725="Lib","Liberica")</f>
        <v>Excelsa</v>
      </c>
      <c r="N725" t="str" cm="1">
        <f t="array" ref="N725">_xlfn.IFS(I725="M","Medium",I725="L","Light",I725="D","Dark")</f>
        <v>Medium</v>
      </c>
      <c r="O725" t="str">
        <f>_xlfn.XLOOKUP(Orders[[#This Row],[Customer ID]],customers!$A$2:$A$1001,customers!$I$2:$I$1001,,0)</f>
        <v>No</v>
      </c>
    </row>
    <row r="726" spans="1:15" x14ac:dyDescent="0.3">
      <c r="A726" s="2" t="s">
        <v>4580</v>
      </c>
      <c r="B726" s="3">
        <v>44076</v>
      </c>
      <c r="C726" s="2" t="s">
        <v>4581</v>
      </c>
      <c r="D726" t="s">
        <v>6152</v>
      </c>
      <c r="E726" s="2">
        <v>2</v>
      </c>
      <c r="F726" s="2" t="str">
        <f>_xlfn.XLOOKUP(C726,customers!$A$2:$A$1001,customers!$B$2:$B$1001,,0)</f>
        <v>Nico Hubert</v>
      </c>
      <c r="G726" s="2" t="str">
        <f>_xlfn.XLOOKUP(C726,customers!$A$2:$A$1001,customers!$G$2:$G$1001,,0)</f>
        <v>United States</v>
      </c>
      <c r="H726" t="str">
        <f>INDEX(products!$A$1:$G$49,MATCH(orders!$D726,products!$A$1:$A$49,0),MATCH(orders!H$1,products!$A$1:$G$1,0))</f>
        <v>Ara</v>
      </c>
      <c r="I726" t="str">
        <f>INDEX(products!$A$1:$G$49,MATCH(orders!$D726,products!$A$1:$A$49,0),MATCH(orders!I$1,products!$A$1:$G$1,0))</f>
        <v>M</v>
      </c>
      <c r="J726" s="5">
        <f>INDEX(products!$A$1:$G$49,MATCH(orders!$D726,products!$A$1:$A$49,0),MATCH(orders!J$1,products!$A$1:$G$1,0))</f>
        <v>0.2</v>
      </c>
      <c r="K726" s="6">
        <f>INDEX(products!$A$1:$G$49,MATCH(orders!$D726,products!$A$1:$A$49,0),MATCH(orders!K$1,products!$A$1:$G$1,0))</f>
        <v>3.375</v>
      </c>
      <c r="L726" s="6">
        <f>K726*E726</f>
        <v>6.75</v>
      </c>
      <c r="M726" t="str" cm="1">
        <f t="array" ref="M726">_xlfn.IFS(H726="Rob","Robusta",H726="Exc","Excelsa",H726="Ara","Arabica",H726="Lib","Liberica")</f>
        <v>Arabica</v>
      </c>
      <c r="N726" t="str" cm="1">
        <f t="array" ref="N726">_xlfn.IFS(I726="M","Medium",I726="L","Light",I726="D","Dark")</f>
        <v>Medium</v>
      </c>
      <c r="O726" t="str">
        <f>_xlfn.XLOOKUP(Orders[[#This Row],[Customer ID]],customers!$A$2:$A$1001,customers!$I$2:$I$1001,,0)</f>
        <v>Yes</v>
      </c>
    </row>
    <row r="727" spans="1:15" x14ac:dyDescent="0.3">
      <c r="A727" s="2" t="s">
        <v>4585</v>
      </c>
      <c r="B727" s="3">
        <v>44043</v>
      </c>
      <c r="C727" s="2" t="s">
        <v>4586</v>
      </c>
      <c r="D727" t="s">
        <v>6167</v>
      </c>
      <c r="E727" s="2">
        <v>6</v>
      </c>
      <c r="F727" s="2" t="str">
        <f>_xlfn.XLOOKUP(C727,customers!$A$2:$A$1001,customers!$B$2:$B$1001,,0)</f>
        <v>Cristina Aleixo</v>
      </c>
      <c r="G727" s="2" t="str">
        <f>_xlfn.XLOOKUP(C727,customers!$A$2:$A$1001,customers!$G$2:$G$1001,,0)</f>
        <v>United States</v>
      </c>
      <c r="H727" t="str">
        <f>INDEX(products!$A$1:$G$49,MATCH(orders!$D727,products!$A$1:$A$49,0),MATCH(orders!H$1,products!$A$1:$G$1,0))</f>
        <v>Ara</v>
      </c>
      <c r="I727" t="str">
        <f>INDEX(products!$A$1:$G$49,MATCH(orders!$D727,products!$A$1:$A$49,0),MATCH(orders!I$1,products!$A$1:$G$1,0))</f>
        <v>L</v>
      </c>
      <c r="J727" s="5">
        <f>INDEX(products!$A$1:$G$49,MATCH(orders!$D727,products!$A$1:$A$49,0),MATCH(orders!J$1,products!$A$1:$G$1,0))</f>
        <v>0.2</v>
      </c>
      <c r="K727" s="6">
        <f>INDEX(products!$A$1:$G$49,MATCH(orders!$D727,products!$A$1:$A$49,0),MATCH(orders!K$1,products!$A$1:$G$1,0))</f>
        <v>3.8849999999999998</v>
      </c>
      <c r="L727" s="6">
        <f>K727*E727</f>
        <v>23.31</v>
      </c>
      <c r="M727" t="str" cm="1">
        <f t="array" ref="M727">_xlfn.IFS(H727="Rob","Robusta",H727="Exc","Excelsa",H727="Ara","Arabica",H727="Lib","Liberica")</f>
        <v>Arabica</v>
      </c>
      <c r="N727" t="str" cm="1">
        <f t="array" ref="N727">_xlfn.IFS(I727="M","Medium",I727="L","Light",I727="D","Dark")</f>
        <v>Light</v>
      </c>
      <c r="O727" t="str">
        <f>_xlfn.XLOOKUP(Orders[[#This Row],[Customer ID]],customers!$A$2:$A$1001,customers!$I$2:$I$1001,,0)</f>
        <v>No</v>
      </c>
    </row>
    <row r="728" spans="1:15" x14ac:dyDescent="0.3">
      <c r="A728" s="2" t="s">
        <v>4591</v>
      </c>
      <c r="B728" s="3">
        <v>44571</v>
      </c>
      <c r="C728" s="2" t="s">
        <v>4592</v>
      </c>
      <c r="D728" t="s">
        <v>6164</v>
      </c>
      <c r="E728" s="2">
        <v>4</v>
      </c>
      <c r="F728" s="2" t="str">
        <f>_xlfn.XLOOKUP(C728,customers!$A$2:$A$1001,customers!$B$2:$B$1001,,0)</f>
        <v>Derrek Allpress</v>
      </c>
      <c r="G728" s="2" t="str">
        <f>_xlfn.XLOOKUP(C728,customers!$A$2:$A$1001,customers!$G$2:$G$1001,,0)</f>
        <v>United States</v>
      </c>
      <c r="H728" t="str">
        <f>INDEX(products!$A$1:$G$49,MATCH(orders!$D728,products!$A$1:$A$49,0),MATCH(orders!H$1,products!$A$1:$G$1,0))</f>
        <v>Lib</v>
      </c>
      <c r="I728" t="str">
        <f>INDEX(products!$A$1:$G$49,MATCH(orders!$D728,products!$A$1:$A$49,0),MATCH(orders!I$1,products!$A$1:$G$1,0))</f>
        <v>L</v>
      </c>
      <c r="J728" s="5">
        <f>INDEX(products!$A$1:$G$49,MATCH(orders!$D728,products!$A$1:$A$49,0),MATCH(orders!J$1,products!$A$1:$G$1,0))</f>
        <v>2.5</v>
      </c>
      <c r="K728" s="6">
        <f>INDEX(products!$A$1:$G$49,MATCH(orders!$D728,products!$A$1:$A$49,0),MATCH(orders!K$1,products!$A$1:$G$1,0))</f>
        <v>36.454999999999998</v>
      </c>
      <c r="L728" s="6">
        <f>K728*E728</f>
        <v>145.82</v>
      </c>
      <c r="M728" t="str" cm="1">
        <f t="array" ref="M728">_xlfn.IFS(H728="Rob","Robusta",H728="Exc","Excelsa",H728="Ara","Arabica",H728="Lib","Liberica")</f>
        <v>Liberica</v>
      </c>
      <c r="N728" t="str" cm="1">
        <f t="array" ref="N728">_xlfn.IFS(I728="M","Medium",I728="L","Light",I728="D","Dark")</f>
        <v>Light</v>
      </c>
      <c r="O728" t="str">
        <f>_xlfn.XLOOKUP(Orders[[#This Row],[Customer ID]],customers!$A$2:$A$1001,customers!$I$2:$I$1001,,0)</f>
        <v>No</v>
      </c>
    </row>
    <row r="729" spans="1:15" x14ac:dyDescent="0.3">
      <c r="A729" s="2" t="s">
        <v>4596</v>
      </c>
      <c r="B729" s="3">
        <v>44264</v>
      </c>
      <c r="C729" s="2" t="s">
        <v>4597</v>
      </c>
      <c r="D729" t="s">
        <v>6146</v>
      </c>
      <c r="E729" s="2">
        <v>5</v>
      </c>
      <c r="F729" s="2" t="str">
        <f>_xlfn.XLOOKUP(C729,customers!$A$2:$A$1001,customers!$B$2:$B$1001,,0)</f>
        <v>Rikki Tomkowicz</v>
      </c>
      <c r="G729" s="2" t="str">
        <f>_xlfn.XLOOKUP(C729,customers!$A$2:$A$1001,customers!$G$2:$G$1001,,0)</f>
        <v>Ireland</v>
      </c>
      <c r="H729" t="str">
        <f>INDEX(products!$A$1:$G$49,MATCH(orders!$D729,products!$A$1:$A$49,0),MATCH(orders!H$1,products!$A$1:$G$1,0))</f>
        <v>Rob</v>
      </c>
      <c r="I729" t="str">
        <f>INDEX(products!$A$1:$G$49,MATCH(orders!$D729,products!$A$1:$A$49,0),MATCH(orders!I$1,products!$A$1:$G$1,0))</f>
        <v>M</v>
      </c>
      <c r="J729" s="5">
        <f>INDEX(products!$A$1:$G$49,MATCH(orders!$D729,products!$A$1:$A$49,0),MATCH(orders!J$1,products!$A$1:$G$1,0))</f>
        <v>0.5</v>
      </c>
      <c r="K729" s="6">
        <f>INDEX(products!$A$1:$G$49,MATCH(orders!$D729,products!$A$1:$A$49,0),MATCH(orders!K$1,products!$A$1:$G$1,0))</f>
        <v>5.97</v>
      </c>
      <c r="L729" s="6">
        <f>K729*E729</f>
        <v>29.849999999999998</v>
      </c>
      <c r="M729" t="str" cm="1">
        <f t="array" ref="M729">_xlfn.IFS(H729="Rob","Robusta",H729="Exc","Excelsa",H729="Ara","Arabica",H729="Lib","Liberica")</f>
        <v>Robusta</v>
      </c>
      <c r="N729" t="str" cm="1">
        <f t="array" ref="N729">_xlfn.IFS(I729="M","Medium",I729="L","Light",I729="D","Dark")</f>
        <v>Medium</v>
      </c>
      <c r="O729" t="str">
        <f>_xlfn.XLOOKUP(Orders[[#This Row],[Customer ID]],customers!$A$2:$A$1001,customers!$I$2:$I$1001,,0)</f>
        <v>Yes</v>
      </c>
    </row>
    <row r="730" spans="1:15" x14ac:dyDescent="0.3">
      <c r="A730" s="2" t="s">
        <v>4602</v>
      </c>
      <c r="B730" s="3">
        <v>44155</v>
      </c>
      <c r="C730" s="2" t="s">
        <v>4603</v>
      </c>
      <c r="D730" t="s">
        <v>6144</v>
      </c>
      <c r="E730" s="2">
        <v>3</v>
      </c>
      <c r="F730" s="2" t="str">
        <f>_xlfn.XLOOKUP(C730,customers!$A$2:$A$1001,customers!$B$2:$B$1001,,0)</f>
        <v>Rochette Huscroft</v>
      </c>
      <c r="G730" s="2" t="str">
        <f>_xlfn.XLOOKUP(C730,customers!$A$2:$A$1001,customers!$G$2:$G$1001,,0)</f>
        <v>United States</v>
      </c>
      <c r="H730" t="str">
        <f>INDEX(products!$A$1:$G$49,MATCH(orders!$D730,products!$A$1:$A$49,0),MATCH(orders!H$1,products!$A$1:$G$1,0))</f>
        <v>Exc</v>
      </c>
      <c r="I730" t="str">
        <f>INDEX(products!$A$1:$G$49,MATCH(orders!$D730,products!$A$1:$A$49,0),MATCH(orders!I$1,products!$A$1:$G$1,0))</f>
        <v>D</v>
      </c>
      <c r="J730" s="5">
        <f>INDEX(products!$A$1:$G$49,MATCH(orders!$D730,products!$A$1:$A$49,0),MATCH(orders!J$1,products!$A$1:$G$1,0))</f>
        <v>0.5</v>
      </c>
      <c r="K730" s="6">
        <f>INDEX(products!$A$1:$G$49,MATCH(orders!$D730,products!$A$1:$A$49,0),MATCH(orders!K$1,products!$A$1:$G$1,0))</f>
        <v>7.29</v>
      </c>
      <c r="L730" s="6">
        <f>K730*E730</f>
        <v>21.87</v>
      </c>
      <c r="M730" t="str" cm="1">
        <f t="array" ref="M730">_xlfn.IFS(H730="Rob","Robusta",H730="Exc","Excelsa",H730="Ara","Arabica",H730="Lib","Liberica")</f>
        <v>Excelsa</v>
      </c>
      <c r="N730" t="str" cm="1">
        <f t="array" ref="N730">_xlfn.IFS(I730="M","Medium",I730="L","Light",I730="D","Dark")</f>
        <v>Dark</v>
      </c>
      <c r="O730" t="str">
        <f>_xlfn.XLOOKUP(Orders[[#This Row],[Customer ID]],customers!$A$2:$A$1001,customers!$I$2:$I$1001,,0)</f>
        <v>Yes</v>
      </c>
    </row>
    <row r="731" spans="1:15" x14ac:dyDescent="0.3">
      <c r="A731" s="2" t="s">
        <v>4608</v>
      </c>
      <c r="B731" s="3">
        <v>44634</v>
      </c>
      <c r="C731" s="2" t="s">
        <v>4609</v>
      </c>
      <c r="D731" t="s">
        <v>6159</v>
      </c>
      <c r="E731" s="2">
        <v>1</v>
      </c>
      <c r="F731" s="2" t="str">
        <f>_xlfn.XLOOKUP(C731,customers!$A$2:$A$1001,customers!$B$2:$B$1001,,0)</f>
        <v>Selle Scurrer</v>
      </c>
      <c r="G731" s="2" t="str">
        <f>_xlfn.XLOOKUP(C731,customers!$A$2:$A$1001,customers!$G$2:$G$1001,,0)</f>
        <v>United Kingdom</v>
      </c>
      <c r="H731" t="str">
        <f>INDEX(products!$A$1:$G$49,MATCH(orders!$D731,products!$A$1:$A$49,0),MATCH(orders!H$1,products!$A$1:$G$1,0))</f>
        <v>Lib</v>
      </c>
      <c r="I731" t="str">
        <f>INDEX(products!$A$1:$G$49,MATCH(orders!$D731,products!$A$1:$A$49,0),MATCH(orders!I$1,products!$A$1:$G$1,0))</f>
        <v>M</v>
      </c>
      <c r="J731" s="5">
        <f>INDEX(products!$A$1:$G$49,MATCH(orders!$D731,products!$A$1:$A$49,0),MATCH(orders!J$1,products!$A$1:$G$1,0))</f>
        <v>0.2</v>
      </c>
      <c r="K731" s="6">
        <f>INDEX(products!$A$1:$G$49,MATCH(orders!$D731,products!$A$1:$A$49,0),MATCH(orders!K$1,products!$A$1:$G$1,0))</f>
        <v>4.3650000000000002</v>
      </c>
      <c r="L731" s="6">
        <f>K731*E731</f>
        <v>4.3650000000000002</v>
      </c>
      <c r="M731" t="str" cm="1">
        <f t="array" ref="M731">_xlfn.IFS(H731="Rob","Robusta",H731="Exc","Excelsa",H731="Ara","Arabica",H731="Lib","Liberica")</f>
        <v>Liberica</v>
      </c>
      <c r="N731" t="str" cm="1">
        <f t="array" ref="N731">_xlfn.IFS(I731="M","Medium",I731="L","Light",I731="D","Dark")</f>
        <v>Medium</v>
      </c>
      <c r="O731" t="str">
        <f>_xlfn.XLOOKUP(Orders[[#This Row],[Customer ID]],customers!$A$2:$A$1001,customers!$I$2:$I$1001,,0)</f>
        <v>No</v>
      </c>
    </row>
    <row r="732" spans="1:15" x14ac:dyDescent="0.3">
      <c r="A732" s="2" t="s">
        <v>4614</v>
      </c>
      <c r="B732" s="3">
        <v>43475</v>
      </c>
      <c r="C732" s="2" t="s">
        <v>4615</v>
      </c>
      <c r="D732" t="s">
        <v>6164</v>
      </c>
      <c r="E732" s="2">
        <v>1</v>
      </c>
      <c r="F732" s="2" t="str">
        <f>_xlfn.XLOOKUP(C732,customers!$A$2:$A$1001,customers!$B$2:$B$1001,,0)</f>
        <v>Andie Rudram</v>
      </c>
      <c r="G732" s="2" t="str">
        <f>_xlfn.XLOOKUP(C732,customers!$A$2:$A$1001,customers!$G$2:$G$1001,,0)</f>
        <v>United States</v>
      </c>
      <c r="H732" t="str">
        <f>INDEX(products!$A$1:$G$49,MATCH(orders!$D732,products!$A$1:$A$49,0),MATCH(orders!H$1,products!$A$1:$G$1,0))</f>
        <v>Lib</v>
      </c>
      <c r="I732" t="str">
        <f>INDEX(products!$A$1:$G$49,MATCH(orders!$D732,products!$A$1:$A$49,0),MATCH(orders!I$1,products!$A$1:$G$1,0))</f>
        <v>L</v>
      </c>
      <c r="J732" s="5">
        <f>INDEX(products!$A$1:$G$49,MATCH(orders!$D732,products!$A$1:$A$49,0),MATCH(orders!J$1,products!$A$1:$G$1,0))</f>
        <v>2.5</v>
      </c>
      <c r="K732" s="6">
        <f>INDEX(products!$A$1:$G$49,MATCH(orders!$D732,products!$A$1:$A$49,0),MATCH(orders!K$1,products!$A$1:$G$1,0))</f>
        <v>36.454999999999998</v>
      </c>
      <c r="L732" s="6">
        <f>K732*E732</f>
        <v>36.454999999999998</v>
      </c>
      <c r="M732" t="str" cm="1">
        <f t="array" ref="M732">_xlfn.IFS(H732="Rob","Robusta",H732="Exc","Excelsa",H732="Ara","Arabica",H732="Lib","Liberica")</f>
        <v>Liberica</v>
      </c>
      <c r="N732" t="str" cm="1">
        <f t="array" ref="N732">_xlfn.IFS(I732="M","Medium",I732="L","Light",I732="D","Dark")</f>
        <v>Light</v>
      </c>
      <c r="O732" t="str">
        <f>_xlfn.XLOOKUP(Orders[[#This Row],[Customer ID]],customers!$A$2:$A$1001,customers!$I$2:$I$1001,,0)</f>
        <v>No</v>
      </c>
    </row>
    <row r="733" spans="1:15" x14ac:dyDescent="0.3">
      <c r="A733" s="2" t="s">
        <v>4620</v>
      </c>
      <c r="B733" s="3">
        <v>44222</v>
      </c>
      <c r="C733" s="2" t="s">
        <v>4621</v>
      </c>
      <c r="D733" t="s">
        <v>6150</v>
      </c>
      <c r="E733" s="2">
        <v>4</v>
      </c>
      <c r="F733" s="2" t="str">
        <f>_xlfn.XLOOKUP(C733,customers!$A$2:$A$1001,customers!$B$2:$B$1001,,0)</f>
        <v>Leta Clarricoates</v>
      </c>
      <c r="G733" s="2" t="str">
        <f>_xlfn.XLOOKUP(C733,customers!$A$2:$A$1001,customers!$G$2:$G$1001,,0)</f>
        <v>United States</v>
      </c>
      <c r="H733" t="str">
        <f>INDEX(products!$A$1:$G$49,MATCH(orders!$D733,products!$A$1:$A$49,0),MATCH(orders!H$1,products!$A$1:$G$1,0))</f>
        <v>Lib</v>
      </c>
      <c r="I733" t="str">
        <f>INDEX(products!$A$1:$G$49,MATCH(orders!$D733,products!$A$1:$A$49,0),MATCH(orders!I$1,products!$A$1:$G$1,0))</f>
        <v>D</v>
      </c>
      <c r="J733" s="5">
        <f>INDEX(products!$A$1:$G$49,MATCH(orders!$D733,products!$A$1:$A$49,0),MATCH(orders!J$1,products!$A$1:$G$1,0))</f>
        <v>0.2</v>
      </c>
      <c r="K733" s="6">
        <f>INDEX(products!$A$1:$G$49,MATCH(orders!$D733,products!$A$1:$A$49,0),MATCH(orders!K$1,products!$A$1:$G$1,0))</f>
        <v>3.8849999999999998</v>
      </c>
      <c r="L733" s="6">
        <f>K733*E733</f>
        <v>15.54</v>
      </c>
      <c r="M733" t="str" cm="1">
        <f t="array" ref="M733">_xlfn.IFS(H733="Rob","Robusta",H733="Exc","Excelsa",H733="Ara","Arabica",H733="Lib","Liberica")</f>
        <v>Liberica</v>
      </c>
      <c r="N733" t="str" cm="1">
        <f t="array" ref="N733">_xlfn.IFS(I733="M","Medium",I733="L","Light",I733="D","Dark")</f>
        <v>Dark</v>
      </c>
      <c r="O733" t="str">
        <f>_xlfn.XLOOKUP(Orders[[#This Row],[Customer ID]],customers!$A$2:$A$1001,customers!$I$2:$I$1001,,0)</f>
        <v>Yes</v>
      </c>
    </row>
    <row r="734" spans="1:15" x14ac:dyDescent="0.3">
      <c r="A734" s="2" t="s">
        <v>4625</v>
      </c>
      <c r="B734" s="3">
        <v>44312</v>
      </c>
      <c r="C734" s="2" t="s">
        <v>4626</v>
      </c>
      <c r="D734" t="s">
        <v>6184</v>
      </c>
      <c r="E734" s="2">
        <v>2</v>
      </c>
      <c r="F734" s="2" t="str">
        <f>_xlfn.XLOOKUP(C734,customers!$A$2:$A$1001,customers!$B$2:$B$1001,,0)</f>
        <v>Jacquelyn Maha</v>
      </c>
      <c r="G734" s="2" t="str">
        <f>_xlfn.XLOOKUP(C734,customers!$A$2:$A$1001,customers!$G$2:$G$1001,,0)</f>
        <v>United States</v>
      </c>
      <c r="H734" t="str">
        <f>INDEX(products!$A$1:$G$49,MATCH(orders!$D734,products!$A$1:$A$49,0),MATCH(orders!H$1,products!$A$1:$G$1,0))</f>
        <v>Exc</v>
      </c>
      <c r="I734" t="str">
        <f>INDEX(products!$A$1:$G$49,MATCH(orders!$D734,products!$A$1:$A$49,0),MATCH(orders!I$1,products!$A$1:$G$1,0))</f>
        <v>L</v>
      </c>
      <c r="J734" s="5">
        <f>INDEX(products!$A$1:$G$49,MATCH(orders!$D734,products!$A$1:$A$49,0),MATCH(orders!J$1,products!$A$1:$G$1,0))</f>
        <v>0.2</v>
      </c>
      <c r="K734" s="6">
        <f>INDEX(products!$A$1:$G$49,MATCH(orders!$D734,products!$A$1:$A$49,0),MATCH(orders!K$1,products!$A$1:$G$1,0))</f>
        <v>4.4550000000000001</v>
      </c>
      <c r="L734" s="6">
        <f>K734*E734</f>
        <v>8.91</v>
      </c>
      <c r="M734" t="str" cm="1">
        <f t="array" ref="M734">_xlfn.IFS(H734="Rob","Robusta",H734="Exc","Excelsa",H734="Ara","Arabica",H734="Lib","Liberica")</f>
        <v>Excelsa</v>
      </c>
      <c r="N734" t="str" cm="1">
        <f t="array" ref="N734">_xlfn.IFS(I734="M","Medium",I734="L","Light",I734="D","Dark")</f>
        <v>Light</v>
      </c>
      <c r="O734" t="str">
        <f>_xlfn.XLOOKUP(Orders[[#This Row],[Customer ID]],customers!$A$2:$A$1001,customers!$I$2:$I$1001,,0)</f>
        <v>No</v>
      </c>
    </row>
    <row r="735" spans="1:15" x14ac:dyDescent="0.3">
      <c r="A735" s="2" t="s">
        <v>4631</v>
      </c>
      <c r="B735" s="3">
        <v>44565</v>
      </c>
      <c r="C735" s="2" t="s">
        <v>4632</v>
      </c>
      <c r="D735" t="s">
        <v>6181</v>
      </c>
      <c r="E735" s="2">
        <v>3</v>
      </c>
      <c r="F735" s="2" t="str">
        <f>_xlfn.XLOOKUP(C735,customers!$A$2:$A$1001,customers!$B$2:$B$1001,,0)</f>
        <v>Glory Clemon</v>
      </c>
      <c r="G735" s="2" t="str">
        <f>_xlfn.XLOOKUP(C735,customers!$A$2:$A$1001,customers!$G$2:$G$1001,,0)</f>
        <v>United States</v>
      </c>
      <c r="H735" t="str">
        <f>INDEX(products!$A$1:$G$49,MATCH(orders!$D735,products!$A$1:$A$49,0),MATCH(orders!H$1,products!$A$1:$G$1,0))</f>
        <v>Lib</v>
      </c>
      <c r="I735" t="str">
        <f>INDEX(products!$A$1:$G$49,MATCH(orders!$D735,products!$A$1:$A$49,0),MATCH(orders!I$1,products!$A$1:$G$1,0))</f>
        <v>M</v>
      </c>
      <c r="J735" s="5">
        <f>INDEX(products!$A$1:$G$49,MATCH(orders!$D735,products!$A$1:$A$49,0),MATCH(orders!J$1,products!$A$1:$G$1,0))</f>
        <v>2.5</v>
      </c>
      <c r="K735" s="6">
        <f>INDEX(products!$A$1:$G$49,MATCH(orders!$D735,products!$A$1:$A$49,0),MATCH(orders!K$1,products!$A$1:$G$1,0))</f>
        <v>33.464999999999996</v>
      </c>
      <c r="L735" s="6">
        <f>K735*E735</f>
        <v>100.39499999999998</v>
      </c>
      <c r="M735" t="str" cm="1">
        <f t="array" ref="M735">_xlfn.IFS(H735="Rob","Robusta",H735="Exc","Excelsa",H735="Ara","Arabica",H735="Lib","Liberica")</f>
        <v>Liberica</v>
      </c>
      <c r="N735" t="str" cm="1">
        <f t="array" ref="N735">_xlfn.IFS(I735="M","Medium",I735="L","Light",I735="D","Dark")</f>
        <v>Medium</v>
      </c>
      <c r="O735" t="str">
        <f>_xlfn.XLOOKUP(Orders[[#This Row],[Customer ID]],customers!$A$2:$A$1001,customers!$I$2:$I$1001,,0)</f>
        <v>Yes</v>
      </c>
    </row>
    <row r="736" spans="1:15" x14ac:dyDescent="0.3">
      <c r="A736" s="2" t="s">
        <v>4637</v>
      </c>
      <c r="B736" s="3">
        <v>43697</v>
      </c>
      <c r="C736" s="2" t="s">
        <v>4638</v>
      </c>
      <c r="D736" t="s">
        <v>6163</v>
      </c>
      <c r="E736" s="2">
        <v>5</v>
      </c>
      <c r="F736" s="2" t="str">
        <f>_xlfn.XLOOKUP(C736,customers!$A$2:$A$1001,customers!$B$2:$B$1001,,0)</f>
        <v>Alica Kift</v>
      </c>
      <c r="G736" s="2" t="str">
        <f>_xlfn.XLOOKUP(C736,customers!$A$2:$A$1001,customers!$G$2:$G$1001,,0)</f>
        <v>United States</v>
      </c>
      <c r="H736" t="str">
        <f>INDEX(products!$A$1:$G$49,MATCH(orders!$D736,products!$A$1:$A$49,0),MATCH(orders!H$1,products!$A$1:$G$1,0))</f>
        <v>Rob</v>
      </c>
      <c r="I736" t="str">
        <f>INDEX(products!$A$1:$G$49,MATCH(orders!$D736,products!$A$1:$A$49,0),MATCH(orders!I$1,products!$A$1:$G$1,0))</f>
        <v>D</v>
      </c>
      <c r="J736" s="5">
        <f>INDEX(products!$A$1:$G$49,MATCH(orders!$D736,products!$A$1:$A$49,0),MATCH(orders!J$1,products!$A$1:$G$1,0))</f>
        <v>0.2</v>
      </c>
      <c r="K736" s="6">
        <f>INDEX(products!$A$1:$G$49,MATCH(orders!$D736,products!$A$1:$A$49,0),MATCH(orders!K$1,products!$A$1:$G$1,0))</f>
        <v>2.6849999999999996</v>
      </c>
      <c r="L736" s="6">
        <f>K736*E736</f>
        <v>13.424999999999997</v>
      </c>
      <c r="M736" t="str" cm="1">
        <f t="array" ref="M736">_xlfn.IFS(H736="Rob","Robusta",H736="Exc","Excelsa",H736="Ara","Arabica",H736="Lib","Liberica")</f>
        <v>Robusta</v>
      </c>
      <c r="N736" t="str" cm="1">
        <f t="array" ref="N736">_xlfn.IFS(I736="M","Medium",I736="L","Light",I736="D","Dark")</f>
        <v>Dark</v>
      </c>
      <c r="O736" t="str">
        <f>_xlfn.XLOOKUP(Orders[[#This Row],[Customer ID]],customers!$A$2:$A$1001,customers!$I$2:$I$1001,,0)</f>
        <v>No</v>
      </c>
    </row>
    <row r="737" spans="1:15" x14ac:dyDescent="0.3">
      <c r="A737" s="2" t="s">
        <v>4642</v>
      </c>
      <c r="B737" s="3">
        <v>44757</v>
      </c>
      <c r="C737" s="2" t="s">
        <v>4643</v>
      </c>
      <c r="D737" t="s">
        <v>6153</v>
      </c>
      <c r="E737" s="2">
        <v>6</v>
      </c>
      <c r="F737" s="2" t="str">
        <f>_xlfn.XLOOKUP(C737,customers!$A$2:$A$1001,customers!$B$2:$B$1001,,0)</f>
        <v>Babb Pollins</v>
      </c>
      <c r="G737" s="2" t="str">
        <f>_xlfn.XLOOKUP(C737,customers!$A$2:$A$1001,customers!$G$2:$G$1001,,0)</f>
        <v>United States</v>
      </c>
      <c r="H737" t="str">
        <f>INDEX(products!$A$1:$G$49,MATCH(orders!$D737,products!$A$1:$A$49,0),MATCH(orders!H$1,products!$A$1:$G$1,0))</f>
        <v>Exc</v>
      </c>
      <c r="I737" t="str">
        <f>INDEX(products!$A$1:$G$49,MATCH(orders!$D737,products!$A$1:$A$49,0),MATCH(orders!I$1,products!$A$1:$G$1,0))</f>
        <v>D</v>
      </c>
      <c r="J737" s="5">
        <f>INDEX(products!$A$1:$G$49,MATCH(orders!$D737,products!$A$1:$A$49,0),MATCH(orders!J$1,products!$A$1:$G$1,0))</f>
        <v>0.2</v>
      </c>
      <c r="K737" s="6">
        <f>INDEX(products!$A$1:$G$49,MATCH(orders!$D737,products!$A$1:$A$49,0),MATCH(orders!K$1,products!$A$1:$G$1,0))</f>
        <v>3.645</v>
      </c>
      <c r="L737" s="6">
        <f>K737*E737</f>
        <v>21.87</v>
      </c>
      <c r="M737" t="str" cm="1">
        <f t="array" ref="M737">_xlfn.IFS(H737="Rob","Robusta",H737="Exc","Excelsa",H737="Ara","Arabica",H737="Lib","Liberica")</f>
        <v>Excelsa</v>
      </c>
      <c r="N737" t="str" cm="1">
        <f t="array" ref="N737">_xlfn.IFS(I737="M","Medium",I737="L","Light",I737="D","Dark")</f>
        <v>Dark</v>
      </c>
      <c r="O737" t="str">
        <f>_xlfn.XLOOKUP(Orders[[#This Row],[Customer ID]],customers!$A$2:$A$1001,customers!$I$2:$I$1001,,0)</f>
        <v>No</v>
      </c>
    </row>
    <row r="738" spans="1:15" x14ac:dyDescent="0.3">
      <c r="A738" s="2" t="s">
        <v>4647</v>
      </c>
      <c r="B738" s="3">
        <v>43508</v>
      </c>
      <c r="C738" s="2" t="s">
        <v>4648</v>
      </c>
      <c r="D738" t="s">
        <v>6143</v>
      </c>
      <c r="E738" s="2">
        <v>2</v>
      </c>
      <c r="F738" s="2" t="str">
        <f>_xlfn.XLOOKUP(C738,customers!$A$2:$A$1001,customers!$B$2:$B$1001,,0)</f>
        <v>Jarret Toye</v>
      </c>
      <c r="G738" s="2" t="str">
        <f>_xlfn.XLOOKUP(C738,customers!$A$2:$A$1001,customers!$G$2:$G$1001,,0)</f>
        <v>Ireland</v>
      </c>
      <c r="H738" t="str">
        <f>INDEX(products!$A$1:$G$49,MATCH(orders!$D738,products!$A$1:$A$49,0),MATCH(orders!H$1,products!$A$1:$G$1,0))</f>
        <v>Lib</v>
      </c>
      <c r="I738" t="str">
        <f>INDEX(products!$A$1:$G$49,MATCH(orders!$D738,products!$A$1:$A$49,0),MATCH(orders!I$1,products!$A$1:$G$1,0))</f>
        <v>D</v>
      </c>
      <c r="J738" s="5">
        <f>INDEX(products!$A$1:$G$49,MATCH(orders!$D738,products!$A$1:$A$49,0),MATCH(orders!J$1,products!$A$1:$G$1,0))</f>
        <v>1</v>
      </c>
      <c r="K738" s="6">
        <f>INDEX(products!$A$1:$G$49,MATCH(orders!$D738,products!$A$1:$A$49,0),MATCH(orders!K$1,products!$A$1:$G$1,0))</f>
        <v>12.95</v>
      </c>
      <c r="L738" s="6">
        <f>K738*E738</f>
        <v>25.9</v>
      </c>
      <c r="M738" t="str" cm="1">
        <f t="array" ref="M738">_xlfn.IFS(H738="Rob","Robusta",H738="Exc","Excelsa",H738="Ara","Arabica",H738="Lib","Liberica")</f>
        <v>Liberica</v>
      </c>
      <c r="N738" t="str" cm="1">
        <f t="array" ref="N738">_xlfn.IFS(I738="M","Medium",I738="L","Light",I738="D","Dark")</f>
        <v>Dark</v>
      </c>
      <c r="O738" t="str">
        <f>_xlfn.XLOOKUP(Orders[[#This Row],[Customer ID]],customers!$A$2:$A$1001,customers!$I$2:$I$1001,,0)</f>
        <v>Yes</v>
      </c>
    </row>
    <row r="739" spans="1:15" x14ac:dyDescent="0.3">
      <c r="A739" s="2" t="s">
        <v>4653</v>
      </c>
      <c r="B739" s="3">
        <v>44447</v>
      </c>
      <c r="C739" s="2" t="s">
        <v>4654</v>
      </c>
      <c r="D739" t="s">
        <v>6155</v>
      </c>
      <c r="E739" s="2">
        <v>5</v>
      </c>
      <c r="F739" s="2" t="str">
        <f>_xlfn.XLOOKUP(C739,customers!$A$2:$A$1001,customers!$B$2:$B$1001,,0)</f>
        <v>Carlie Linskill</v>
      </c>
      <c r="G739" s="2" t="str">
        <f>_xlfn.XLOOKUP(C739,customers!$A$2:$A$1001,customers!$G$2:$G$1001,,0)</f>
        <v>United States</v>
      </c>
      <c r="H739" t="str">
        <f>INDEX(products!$A$1:$G$49,MATCH(orders!$D739,products!$A$1:$A$49,0),MATCH(orders!H$1,products!$A$1:$G$1,0))</f>
        <v>Ara</v>
      </c>
      <c r="I739" t="str">
        <f>INDEX(products!$A$1:$G$49,MATCH(orders!$D739,products!$A$1:$A$49,0),MATCH(orders!I$1,products!$A$1:$G$1,0))</f>
        <v>M</v>
      </c>
      <c r="J739" s="5">
        <f>INDEX(products!$A$1:$G$49,MATCH(orders!$D739,products!$A$1:$A$49,0),MATCH(orders!J$1,products!$A$1:$G$1,0))</f>
        <v>1</v>
      </c>
      <c r="K739" s="6">
        <f>INDEX(products!$A$1:$G$49,MATCH(orders!$D739,products!$A$1:$A$49,0),MATCH(orders!K$1,products!$A$1:$G$1,0))</f>
        <v>11.25</v>
      </c>
      <c r="L739" s="6">
        <f>K739*E739</f>
        <v>56.25</v>
      </c>
      <c r="M739" t="str" cm="1">
        <f t="array" ref="M739">_xlfn.IFS(H739="Rob","Robusta",H739="Exc","Excelsa",H739="Ara","Arabica",H739="Lib","Liberica")</f>
        <v>Arabica</v>
      </c>
      <c r="N739" t="str" cm="1">
        <f t="array" ref="N739">_xlfn.IFS(I739="M","Medium",I739="L","Light",I739="D","Dark")</f>
        <v>Medium</v>
      </c>
      <c r="O739" t="str">
        <f>_xlfn.XLOOKUP(Orders[[#This Row],[Customer ID]],customers!$A$2:$A$1001,customers!$I$2:$I$1001,,0)</f>
        <v>No</v>
      </c>
    </row>
    <row r="740" spans="1:15" x14ac:dyDescent="0.3">
      <c r="A740" s="2" t="s">
        <v>4659</v>
      </c>
      <c r="B740" s="3">
        <v>43812</v>
      </c>
      <c r="C740" s="2" t="s">
        <v>4660</v>
      </c>
      <c r="D740" t="s">
        <v>6178</v>
      </c>
      <c r="E740" s="2">
        <v>3</v>
      </c>
      <c r="F740" s="2" t="str">
        <f>_xlfn.XLOOKUP(C740,customers!$A$2:$A$1001,customers!$B$2:$B$1001,,0)</f>
        <v>Natal Vigrass</v>
      </c>
      <c r="G740" s="2" t="str">
        <f>_xlfn.XLOOKUP(C740,customers!$A$2:$A$1001,customers!$G$2:$G$1001,,0)</f>
        <v>United Kingdom</v>
      </c>
      <c r="H740" t="str">
        <f>INDEX(products!$A$1:$G$49,MATCH(orders!$D740,products!$A$1:$A$49,0),MATCH(orders!H$1,products!$A$1:$G$1,0))</f>
        <v>Rob</v>
      </c>
      <c r="I740" t="str">
        <f>INDEX(products!$A$1:$G$49,MATCH(orders!$D740,products!$A$1:$A$49,0),MATCH(orders!I$1,products!$A$1:$G$1,0))</f>
        <v>L</v>
      </c>
      <c r="J740" s="5">
        <f>INDEX(products!$A$1:$G$49,MATCH(orders!$D740,products!$A$1:$A$49,0),MATCH(orders!J$1,products!$A$1:$G$1,0))</f>
        <v>0.2</v>
      </c>
      <c r="K740" s="6">
        <f>INDEX(products!$A$1:$G$49,MATCH(orders!$D740,products!$A$1:$A$49,0),MATCH(orders!K$1,products!$A$1:$G$1,0))</f>
        <v>3.5849999999999995</v>
      </c>
      <c r="L740" s="6">
        <f>K740*E740</f>
        <v>10.754999999999999</v>
      </c>
      <c r="M740" t="str" cm="1">
        <f t="array" ref="M740">_xlfn.IFS(H740="Rob","Robusta",H740="Exc","Excelsa",H740="Ara","Arabica",H740="Lib","Liberica")</f>
        <v>Robusta</v>
      </c>
      <c r="N740" t="str" cm="1">
        <f t="array" ref="N740">_xlfn.IFS(I740="M","Medium",I740="L","Light",I740="D","Dark")</f>
        <v>Light</v>
      </c>
      <c r="O740" t="str">
        <f>_xlfn.XLOOKUP(Orders[[#This Row],[Customer ID]],customers!$A$2:$A$1001,customers!$I$2:$I$1001,,0)</f>
        <v>No</v>
      </c>
    </row>
    <row r="741" spans="1:15" x14ac:dyDescent="0.3">
      <c r="A741" s="2" t="s">
        <v>4665</v>
      </c>
      <c r="B741" s="3">
        <v>44433</v>
      </c>
      <c r="C741" s="2" t="s">
        <v>4434</v>
      </c>
      <c r="D741" t="s">
        <v>6153</v>
      </c>
      <c r="E741" s="2">
        <v>5</v>
      </c>
      <c r="F741" s="2" t="str">
        <f>_xlfn.XLOOKUP(C741,customers!$A$2:$A$1001,customers!$B$2:$B$1001,,0)</f>
        <v>Jimmy Dymoke</v>
      </c>
      <c r="G741" s="2" t="str">
        <f>_xlfn.XLOOKUP(C741,customers!$A$2:$A$1001,customers!$G$2:$G$1001,,0)</f>
        <v>Ireland</v>
      </c>
      <c r="H741" t="str">
        <f>INDEX(products!$A$1:$G$49,MATCH(orders!$D741,products!$A$1:$A$49,0),MATCH(orders!H$1,products!$A$1:$G$1,0))</f>
        <v>Exc</v>
      </c>
      <c r="I741" t="str">
        <f>INDEX(products!$A$1:$G$49,MATCH(orders!$D741,products!$A$1:$A$49,0),MATCH(orders!I$1,products!$A$1:$G$1,0))</f>
        <v>D</v>
      </c>
      <c r="J741" s="5">
        <f>INDEX(products!$A$1:$G$49,MATCH(orders!$D741,products!$A$1:$A$49,0),MATCH(orders!J$1,products!$A$1:$G$1,0))</f>
        <v>0.2</v>
      </c>
      <c r="K741" s="6">
        <f>INDEX(products!$A$1:$G$49,MATCH(orders!$D741,products!$A$1:$A$49,0),MATCH(orders!K$1,products!$A$1:$G$1,0))</f>
        <v>3.645</v>
      </c>
      <c r="L741" s="6">
        <f>K741*E741</f>
        <v>18.225000000000001</v>
      </c>
      <c r="M741" t="str" cm="1">
        <f t="array" ref="M741">_xlfn.IFS(H741="Rob","Robusta",H741="Exc","Excelsa",H741="Ara","Arabica",H741="Lib","Liberica")</f>
        <v>Excelsa</v>
      </c>
      <c r="N741" t="str" cm="1">
        <f t="array" ref="N741">_xlfn.IFS(I741="M","Medium",I741="L","Light",I741="D","Dark")</f>
        <v>Dark</v>
      </c>
      <c r="O741" t="str">
        <f>_xlfn.XLOOKUP(Orders[[#This Row],[Customer ID]],customers!$A$2:$A$1001,customers!$I$2:$I$1001,,0)</f>
        <v>No</v>
      </c>
    </row>
    <row r="742" spans="1:15" x14ac:dyDescent="0.3">
      <c r="A742" s="2" t="s">
        <v>4670</v>
      </c>
      <c r="B742" s="3">
        <v>44643</v>
      </c>
      <c r="C742" s="2" t="s">
        <v>4671</v>
      </c>
      <c r="D742" t="s">
        <v>6173</v>
      </c>
      <c r="E742" s="2">
        <v>4</v>
      </c>
      <c r="F742" s="2" t="str">
        <f>_xlfn.XLOOKUP(C742,customers!$A$2:$A$1001,customers!$B$2:$B$1001,,0)</f>
        <v>Kandace Cragell</v>
      </c>
      <c r="G742" s="2" t="str">
        <f>_xlfn.XLOOKUP(C742,customers!$A$2:$A$1001,customers!$G$2:$G$1001,,0)</f>
        <v>Ireland</v>
      </c>
      <c r="H742" t="str">
        <f>INDEX(products!$A$1:$G$49,MATCH(orders!$D742,products!$A$1:$A$49,0),MATCH(orders!H$1,products!$A$1:$G$1,0))</f>
        <v>Rob</v>
      </c>
      <c r="I742" t="str">
        <f>INDEX(products!$A$1:$G$49,MATCH(orders!$D742,products!$A$1:$A$49,0),MATCH(orders!I$1,products!$A$1:$G$1,0))</f>
        <v>L</v>
      </c>
      <c r="J742" s="5">
        <f>INDEX(products!$A$1:$G$49,MATCH(orders!$D742,products!$A$1:$A$49,0),MATCH(orders!J$1,products!$A$1:$G$1,0))</f>
        <v>0.5</v>
      </c>
      <c r="K742" s="6">
        <f>INDEX(products!$A$1:$G$49,MATCH(orders!$D742,products!$A$1:$A$49,0),MATCH(orders!K$1,products!$A$1:$G$1,0))</f>
        <v>7.169999999999999</v>
      </c>
      <c r="L742" s="6">
        <f>K742*E742</f>
        <v>28.679999999999996</v>
      </c>
      <c r="M742" t="str" cm="1">
        <f t="array" ref="M742">_xlfn.IFS(H742="Rob","Robusta",H742="Exc","Excelsa",H742="Ara","Arabica",H742="Lib","Liberica")</f>
        <v>Robusta</v>
      </c>
      <c r="N742" t="str" cm="1">
        <f t="array" ref="N742">_xlfn.IFS(I742="M","Medium",I742="L","Light",I742="D","Dark")</f>
        <v>Light</v>
      </c>
      <c r="O742" t="str">
        <f>_xlfn.XLOOKUP(Orders[[#This Row],[Customer ID]],customers!$A$2:$A$1001,customers!$I$2:$I$1001,,0)</f>
        <v>No</v>
      </c>
    </row>
    <row r="743" spans="1:15" x14ac:dyDescent="0.3">
      <c r="A743" s="2" t="s">
        <v>4676</v>
      </c>
      <c r="B743" s="3">
        <v>43566</v>
      </c>
      <c r="C743" s="2" t="s">
        <v>4677</v>
      </c>
      <c r="D743" t="s">
        <v>6159</v>
      </c>
      <c r="E743" s="2">
        <v>2</v>
      </c>
      <c r="F743" s="2" t="str">
        <f>_xlfn.XLOOKUP(C743,customers!$A$2:$A$1001,customers!$B$2:$B$1001,,0)</f>
        <v>Lyon Ibert</v>
      </c>
      <c r="G743" s="2" t="str">
        <f>_xlfn.XLOOKUP(C743,customers!$A$2:$A$1001,customers!$G$2:$G$1001,,0)</f>
        <v>United States</v>
      </c>
      <c r="H743" t="str">
        <f>INDEX(products!$A$1:$G$49,MATCH(orders!$D743,products!$A$1:$A$49,0),MATCH(orders!H$1,products!$A$1:$G$1,0))</f>
        <v>Lib</v>
      </c>
      <c r="I743" t="str">
        <f>INDEX(products!$A$1:$G$49,MATCH(orders!$D743,products!$A$1:$A$49,0),MATCH(orders!I$1,products!$A$1:$G$1,0))</f>
        <v>M</v>
      </c>
      <c r="J743" s="5">
        <f>INDEX(products!$A$1:$G$49,MATCH(orders!$D743,products!$A$1:$A$49,0),MATCH(orders!J$1,products!$A$1:$G$1,0))</f>
        <v>0.2</v>
      </c>
      <c r="K743" s="6">
        <f>INDEX(products!$A$1:$G$49,MATCH(orders!$D743,products!$A$1:$A$49,0),MATCH(orders!K$1,products!$A$1:$G$1,0))</f>
        <v>4.3650000000000002</v>
      </c>
      <c r="L743" s="6">
        <f>K743*E743</f>
        <v>8.73</v>
      </c>
      <c r="M743" t="str" cm="1">
        <f t="array" ref="M743">_xlfn.IFS(H743="Rob","Robusta",H743="Exc","Excelsa",H743="Ara","Arabica",H743="Lib","Liberica")</f>
        <v>Liberica</v>
      </c>
      <c r="N743" t="str" cm="1">
        <f t="array" ref="N743">_xlfn.IFS(I743="M","Medium",I743="L","Light",I743="D","Dark")</f>
        <v>Medium</v>
      </c>
      <c r="O743" t="str">
        <f>_xlfn.XLOOKUP(Orders[[#This Row],[Customer ID]],customers!$A$2:$A$1001,customers!$I$2:$I$1001,,0)</f>
        <v>No</v>
      </c>
    </row>
    <row r="744" spans="1:15" x14ac:dyDescent="0.3">
      <c r="A744" s="2" t="s">
        <v>4682</v>
      </c>
      <c r="B744" s="3">
        <v>44133</v>
      </c>
      <c r="C744" s="2" t="s">
        <v>4683</v>
      </c>
      <c r="D744" t="s">
        <v>6162</v>
      </c>
      <c r="E744" s="2">
        <v>4</v>
      </c>
      <c r="F744" s="2" t="str">
        <f>_xlfn.XLOOKUP(C744,customers!$A$2:$A$1001,customers!$B$2:$B$1001,,0)</f>
        <v>Reese Lidgey</v>
      </c>
      <c r="G744" s="2" t="str">
        <f>_xlfn.XLOOKUP(C744,customers!$A$2:$A$1001,customers!$G$2:$G$1001,,0)</f>
        <v>United States</v>
      </c>
      <c r="H744" t="str">
        <f>INDEX(products!$A$1:$G$49,MATCH(orders!$D744,products!$A$1:$A$49,0),MATCH(orders!H$1,products!$A$1:$G$1,0))</f>
        <v>Lib</v>
      </c>
      <c r="I744" t="str">
        <f>INDEX(products!$A$1:$G$49,MATCH(orders!$D744,products!$A$1:$A$49,0),MATCH(orders!I$1,products!$A$1:$G$1,0))</f>
        <v>M</v>
      </c>
      <c r="J744" s="5">
        <f>INDEX(products!$A$1:$G$49,MATCH(orders!$D744,products!$A$1:$A$49,0),MATCH(orders!J$1,products!$A$1:$G$1,0))</f>
        <v>1</v>
      </c>
      <c r="K744" s="6">
        <f>INDEX(products!$A$1:$G$49,MATCH(orders!$D744,products!$A$1:$A$49,0),MATCH(orders!K$1,products!$A$1:$G$1,0))</f>
        <v>14.55</v>
      </c>
      <c r="L744" s="6">
        <f>K744*E744</f>
        <v>58.2</v>
      </c>
      <c r="M744" t="str" cm="1">
        <f t="array" ref="M744">_xlfn.IFS(H744="Rob","Robusta",H744="Exc","Excelsa",H744="Ara","Arabica",H744="Lib","Liberica")</f>
        <v>Liberica</v>
      </c>
      <c r="N744" t="str" cm="1">
        <f t="array" ref="N744">_xlfn.IFS(I744="M","Medium",I744="L","Light",I744="D","Dark")</f>
        <v>Medium</v>
      </c>
      <c r="O744" t="str">
        <f>_xlfn.XLOOKUP(Orders[[#This Row],[Customer ID]],customers!$A$2:$A$1001,customers!$I$2:$I$1001,,0)</f>
        <v>No</v>
      </c>
    </row>
    <row r="745" spans="1:15" x14ac:dyDescent="0.3">
      <c r="A745" s="2" t="s">
        <v>4688</v>
      </c>
      <c r="B745" s="3">
        <v>44042</v>
      </c>
      <c r="C745" s="2" t="s">
        <v>4689</v>
      </c>
      <c r="D745" t="s">
        <v>6158</v>
      </c>
      <c r="E745" s="2">
        <v>3</v>
      </c>
      <c r="F745" s="2" t="str">
        <f>_xlfn.XLOOKUP(C745,customers!$A$2:$A$1001,customers!$B$2:$B$1001,,0)</f>
        <v>Tersina Castagne</v>
      </c>
      <c r="G745" s="2" t="str">
        <f>_xlfn.XLOOKUP(C745,customers!$A$2:$A$1001,customers!$G$2:$G$1001,,0)</f>
        <v>United States</v>
      </c>
      <c r="H745" t="str">
        <f>INDEX(products!$A$1:$G$49,MATCH(orders!$D745,products!$A$1:$A$49,0),MATCH(orders!H$1,products!$A$1:$G$1,0))</f>
        <v>Ara</v>
      </c>
      <c r="I745" t="str">
        <f>INDEX(products!$A$1:$G$49,MATCH(orders!$D745,products!$A$1:$A$49,0),MATCH(orders!I$1,products!$A$1:$G$1,0))</f>
        <v>D</v>
      </c>
      <c r="J745" s="5">
        <f>INDEX(products!$A$1:$G$49,MATCH(orders!$D745,products!$A$1:$A$49,0),MATCH(orders!J$1,products!$A$1:$G$1,0))</f>
        <v>0.5</v>
      </c>
      <c r="K745" s="6">
        <f>INDEX(products!$A$1:$G$49,MATCH(orders!$D745,products!$A$1:$A$49,0),MATCH(orders!K$1,products!$A$1:$G$1,0))</f>
        <v>5.97</v>
      </c>
      <c r="L745" s="6">
        <f>K745*E745</f>
        <v>17.91</v>
      </c>
      <c r="M745" t="str" cm="1">
        <f t="array" ref="M745">_xlfn.IFS(H745="Rob","Robusta",H745="Exc","Excelsa",H745="Ara","Arabica",H745="Lib","Liberica")</f>
        <v>Arabica</v>
      </c>
      <c r="N745" t="str" cm="1">
        <f t="array" ref="N745">_xlfn.IFS(I745="M","Medium",I745="L","Light",I745="D","Dark")</f>
        <v>Dark</v>
      </c>
      <c r="O745" t="str">
        <f>_xlfn.XLOOKUP(Orders[[#This Row],[Customer ID]],customers!$A$2:$A$1001,customers!$I$2:$I$1001,,0)</f>
        <v>No</v>
      </c>
    </row>
    <row r="746" spans="1:15" x14ac:dyDescent="0.3">
      <c r="A746" s="2" t="s">
        <v>4694</v>
      </c>
      <c r="B746" s="3">
        <v>43539</v>
      </c>
      <c r="C746" s="2" t="s">
        <v>4695</v>
      </c>
      <c r="D746" t="s">
        <v>6174</v>
      </c>
      <c r="E746" s="2">
        <v>6</v>
      </c>
      <c r="F746" s="2" t="str">
        <f>_xlfn.XLOOKUP(C746,customers!$A$2:$A$1001,customers!$B$2:$B$1001,,0)</f>
        <v>Samuele Klaaassen</v>
      </c>
      <c r="G746" s="2" t="str">
        <f>_xlfn.XLOOKUP(C746,customers!$A$2:$A$1001,customers!$G$2:$G$1001,,0)</f>
        <v>United States</v>
      </c>
      <c r="H746" t="str">
        <f>INDEX(products!$A$1:$G$49,MATCH(orders!$D746,products!$A$1:$A$49,0),MATCH(orders!H$1,products!$A$1:$G$1,0))</f>
        <v>Rob</v>
      </c>
      <c r="I746" t="str">
        <f>INDEX(products!$A$1:$G$49,MATCH(orders!$D746,products!$A$1:$A$49,0),MATCH(orders!I$1,products!$A$1:$G$1,0))</f>
        <v>M</v>
      </c>
      <c r="J746" s="5">
        <f>INDEX(products!$A$1:$G$49,MATCH(orders!$D746,products!$A$1:$A$49,0),MATCH(orders!J$1,products!$A$1:$G$1,0))</f>
        <v>0.2</v>
      </c>
      <c r="K746" s="6">
        <f>INDEX(products!$A$1:$G$49,MATCH(orders!$D746,products!$A$1:$A$49,0),MATCH(orders!K$1,products!$A$1:$G$1,0))</f>
        <v>2.9849999999999999</v>
      </c>
      <c r="L746" s="6">
        <f>K746*E746</f>
        <v>17.91</v>
      </c>
      <c r="M746" t="str" cm="1">
        <f t="array" ref="M746">_xlfn.IFS(H746="Rob","Robusta",H746="Exc","Excelsa",H746="Ara","Arabica",H746="Lib","Liberica")</f>
        <v>Robusta</v>
      </c>
      <c r="N746" t="str" cm="1">
        <f t="array" ref="N746">_xlfn.IFS(I746="M","Medium",I746="L","Light",I746="D","Dark")</f>
        <v>Medium</v>
      </c>
      <c r="O746" t="str">
        <f>_xlfn.XLOOKUP(Orders[[#This Row],[Customer ID]],customers!$A$2:$A$1001,customers!$I$2:$I$1001,,0)</f>
        <v>Yes</v>
      </c>
    </row>
    <row r="747" spans="1:15" x14ac:dyDescent="0.3">
      <c r="A747" s="2" t="s">
        <v>4699</v>
      </c>
      <c r="B747" s="3">
        <v>44557</v>
      </c>
      <c r="C747" s="2" t="s">
        <v>4700</v>
      </c>
      <c r="D747" t="s">
        <v>6144</v>
      </c>
      <c r="E747" s="2">
        <v>2</v>
      </c>
      <c r="F747" s="2" t="str">
        <f>_xlfn.XLOOKUP(C747,customers!$A$2:$A$1001,customers!$B$2:$B$1001,,0)</f>
        <v>Jordana Halden</v>
      </c>
      <c r="G747" s="2" t="str">
        <f>_xlfn.XLOOKUP(C747,customers!$A$2:$A$1001,customers!$G$2:$G$1001,,0)</f>
        <v>Ireland</v>
      </c>
      <c r="H747" t="str">
        <f>INDEX(products!$A$1:$G$49,MATCH(orders!$D747,products!$A$1:$A$49,0),MATCH(orders!H$1,products!$A$1:$G$1,0))</f>
        <v>Exc</v>
      </c>
      <c r="I747" t="str">
        <f>INDEX(products!$A$1:$G$49,MATCH(orders!$D747,products!$A$1:$A$49,0),MATCH(orders!I$1,products!$A$1:$G$1,0))</f>
        <v>D</v>
      </c>
      <c r="J747" s="5">
        <f>INDEX(products!$A$1:$G$49,MATCH(orders!$D747,products!$A$1:$A$49,0),MATCH(orders!J$1,products!$A$1:$G$1,0))</f>
        <v>0.5</v>
      </c>
      <c r="K747" s="6">
        <f>INDEX(products!$A$1:$G$49,MATCH(orders!$D747,products!$A$1:$A$49,0),MATCH(orders!K$1,products!$A$1:$G$1,0))</f>
        <v>7.29</v>
      </c>
      <c r="L747" s="6">
        <f>K747*E747</f>
        <v>14.58</v>
      </c>
      <c r="M747" t="str" cm="1">
        <f t="array" ref="M747">_xlfn.IFS(H747="Rob","Robusta",H747="Exc","Excelsa",H747="Ara","Arabica",H747="Lib","Liberica")</f>
        <v>Excelsa</v>
      </c>
      <c r="N747" t="str" cm="1">
        <f t="array" ref="N747">_xlfn.IFS(I747="M","Medium",I747="L","Light",I747="D","Dark")</f>
        <v>Dark</v>
      </c>
      <c r="O747" t="str">
        <f>_xlfn.XLOOKUP(Orders[[#This Row],[Customer ID]],customers!$A$2:$A$1001,customers!$I$2:$I$1001,,0)</f>
        <v>No</v>
      </c>
    </row>
    <row r="748" spans="1:15" x14ac:dyDescent="0.3">
      <c r="A748" s="2" t="s">
        <v>4705</v>
      </c>
      <c r="B748" s="3">
        <v>43741</v>
      </c>
      <c r="C748" s="2" t="s">
        <v>4706</v>
      </c>
      <c r="D748" t="s">
        <v>6155</v>
      </c>
      <c r="E748" s="2">
        <v>3</v>
      </c>
      <c r="F748" s="2" t="str">
        <f>_xlfn.XLOOKUP(C748,customers!$A$2:$A$1001,customers!$B$2:$B$1001,,0)</f>
        <v>Hussein Olliff</v>
      </c>
      <c r="G748" s="2" t="str">
        <f>_xlfn.XLOOKUP(C748,customers!$A$2:$A$1001,customers!$G$2:$G$1001,,0)</f>
        <v>Ireland</v>
      </c>
      <c r="H748" t="str">
        <f>INDEX(products!$A$1:$G$49,MATCH(orders!$D748,products!$A$1:$A$49,0),MATCH(orders!H$1,products!$A$1:$G$1,0))</f>
        <v>Ara</v>
      </c>
      <c r="I748" t="str">
        <f>INDEX(products!$A$1:$G$49,MATCH(orders!$D748,products!$A$1:$A$49,0),MATCH(orders!I$1,products!$A$1:$G$1,0))</f>
        <v>M</v>
      </c>
      <c r="J748" s="5">
        <f>INDEX(products!$A$1:$G$49,MATCH(orders!$D748,products!$A$1:$A$49,0),MATCH(orders!J$1,products!$A$1:$G$1,0))</f>
        <v>1</v>
      </c>
      <c r="K748" s="6">
        <f>INDEX(products!$A$1:$G$49,MATCH(orders!$D748,products!$A$1:$A$49,0),MATCH(orders!K$1,products!$A$1:$G$1,0))</f>
        <v>11.25</v>
      </c>
      <c r="L748" s="6">
        <f>K748*E748</f>
        <v>33.75</v>
      </c>
      <c r="M748" t="str" cm="1">
        <f t="array" ref="M748">_xlfn.IFS(H748="Rob","Robusta",H748="Exc","Excelsa",H748="Ara","Arabica",H748="Lib","Liberica")</f>
        <v>Arabica</v>
      </c>
      <c r="N748" t="str" cm="1">
        <f t="array" ref="N748">_xlfn.IFS(I748="M","Medium",I748="L","Light",I748="D","Dark")</f>
        <v>Medium</v>
      </c>
      <c r="O748" t="str">
        <f>_xlfn.XLOOKUP(Orders[[#This Row],[Customer ID]],customers!$A$2:$A$1001,customers!$I$2:$I$1001,,0)</f>
        <v>No</v>
      </c>
    </row>
    <row r="749" spans="1:15" x14ac:dyDescent="0.3">
      <c r="A749" s="2" t="s">
        <v>4711</v>
      </c>
      <c r="B749" s="3">
        <v>43501</v>
      </c>
      <c r="C749" s="2" t="s">
        <v>4712</v>
      </c>
      <c r="D749" t="s">
        <v>6160</v>
      </c>
      <c r="E749" s="2">
        <v>4</v>
      </c>
      <c r="F749" s="2" t="str">
        <f>_xlfn.XLOOKUP(C749,customers!$A$2:$A$1001,customers!$B$2:$B$1001,,0)</f>
        <v>Teddi Quadri</v>
      </c>
      <c r="G749" s="2" t="str">
        <f>_xlfn.XLOOKUP(C749,customers!$A$2:$A$1001,customers!$G$2:$G$1001,,0)</f>
        <v>Ireland</v>
      </c>
      <c r="H749" t="str">
        <f>INDEX(products!$A$1:$G$49,MATCH(orders!$D749,products!$A$1:$A$49,0),MATCH(orders!H$1,products!$A$1:$G$1,0))</f>
        <v>Lib</v>
      </c>
      <c r="I749" t="str">
        <f>INDEX(products!$A$1:$G$49,MATCH(orders!$D749,products!$A$1:$A$49,0),MATCH(orders!I$1,products!$A$1:$G$1,0))</f>
        <v>M</v>
      </c>
      <c r="J749" s="5">
        <f>INDEX(products!$A$1:$G$49,MATCH(orders!$D749,products!$A$1:$A$49,0),MATCH(orders!J$1,products!$A$1:$G$1,0))</f>
        <v>0.5</v>
      </c>
      <c r="K749" s="6">
        <f>INDEX(products!$A$1:$G$49,MATCH(orders!$D749,products!$A$1:$A$49,0),MATCH(orders!K$1,products!$A$1:$G$1,0))</f>
        <v>8.73</v>
      </c>
      <c r="L749" s="6">
        <f>K749*E749</f>
        <v>34.92</v>
      </c>
      <c r="M749" t="str" cm="1">
        <f t="array" ref="M749">_xlfn.IFS(H749="Rob","Robusta",H749="Exc","Excelsa",H749="Ara","Arabica",H749="Lib","Liberica")</f>
        <v>Liberica</v>
      </c>
      <c r="N749" t="str" cm="1">
        <f t="array" ref="N749">_xlfn.IFS(I749="M","Medium",I749="L","Light",I749="D","Dark")</f>
        <v>Medium</v>
      </c>
      <c r="O749" t="str">
        <f>_xlfn.XLOOKUP(Orders[[#This Row],[Customer ID]],customers!$A$2:$A$1001,customers!$I$2:$I$1001,,0)</f>
        <v>Yes</v>
      </c>
    </row>
    <row r="750" spans="1:15" x14ac:dyDescent="0.3">
      <c r="A750" s="2" t="s">
        <v>4717</v>
      </c>
      <c r="B750" s="3">
        <v>44074</v>
      </c>
      <c r="C750" s="2" t="s">
        <v>4718</v>
      </c>
      <c r="D750" t="s">
        <v>6144</v>
      </c>
      <c r="E750" s="2">
        <v>2</v>
      </c>
      <c r="F750" s="2" t="str">
        <f>_xlfn.XLOOKUP(C750,customers!$A$2:$A$1001,customers!$B$2:$B$1001,,0)</f>
        <v>Felita Eshmade</v>
      </c>
      <c r="G750" s="2" t="str">
        <f>_xlfn.XLOOKUP(C750,customers!$A$2:$A$1001,customers!$G$2:$G$1001,,0)</f>
        <v>United States</v>
      </c>
      <c r="H750" t="str">
        <f>INDEX(products!$A$1:$G$49,MATCH(orders!$D750,products!$A$1:$A$49,0),MATCH(orders!H$1,products!$A$1:$G$1,0))</f>
        <v>Exc</v>
      </c>
      <c r="I750" t="str">
        <f>INDEX(products!$A$1:$G$49,MATCH(orders!$D750,products!$A$1:$A$49,0),MATCH(orders!I$1,products!$A$1:$G$1,0))</f>
        <v>D</v>
      </c>
      <c r="J750" s="5">
        <f>INDEX(products!$A$1:$G$49,MATCH(orders!$D750,products!$A$1:$A$49,0),MATCH(orders!J$1,products!$A$1:$G$1,0))</f>
        <v>0.5</v>
      </c>
      <c r="K750" s="6">
        <f>INDEX(products!$A$1:$G$49,MATCH(orders!$D750,products!$A$1:$A$49,0),MATCH(orders!K$1,products!$A$1:$G$1,0))</f>
        <v>7.29</v>
      </c>
      <c r="L750" s="6">
        <f>K750*E750</f>
        <v>14.58</v>
      </c>
      <c r="M750" t="str" cm="1">
        <f t="array" ref="M750">_xlfn.IFS(H750="Rob","Robusta",H750="Exc","Excelsa",H750="Ara","Arabica",H750="Lib","Liberica")</f>
        <v>Excelsa</v>
      </c>
      <c r="N750" t="str" cm="1">
        <f t="array" ref="N750">_xlfn.IFS(I750="M","Medium",I750="L","Light",I750="D","Dark")</f>
        <v>Dark</v>
      </c>
      <c r="O750" t="str">
        <f>_xlfn.XLOOKUP(Orders[[#This Row],[Customer ID]],customers!$A$2:$A$1001,customers!$I$2:$I$1001,,0)</f>
        <v>No</v>
      </c>
    </row>
    <row r="751" spans="1:15" x14ac:dyDescent="0.3">
      <c r="A751" s="2" t="s">
        <v>4723</v>
      </c>
      <c r="B751" s="3">
        <v>44209</v>
      </c>
      <c r="C751" s="2" t="s">
        <v>4724</v>
      </c>
      <c r="D751" t="s">
        <v>6163</v>
      </c>
      <c r="E751" s="2">
        <v>2</v>
      </c>
      <c r="F751" s="2" t="str">
        <f>_xlfn.XLOOKUP(C751,customers!$A$2:$A$1001,customers!$B$2:$B$1001,,0)</f>
        <v>Melodie OIlier</v>
      </c>
      <c r="G751" s="2" t="str">
        <f>_xlfn.XLOOKUP(C751,customers!$A$2:$A$1001,customers!$G$2:$G$1001,,0)</f>
        <v>Ireland</v>
      </c>
      <c r="H751" t="str">
        <f>INDEX(products!$A$1:$G$49,MATCH(orders!$D751,products!$A$1:$A$49,0),MATCH(orders!H$1,products!$A$1:$G$1,0))</f>
        <v>Rob</v>
      </c>
      <c r="I751" t="str">
        <f>INDEX(products!$A$1:$G$49,MATCH(orders!$D751,products!$A$1:$A$49,0),MATCH(orders!I$1,products!$A$1:$G$1,0))</f>
        <v>D</v>
      </c>
      <c r="J751" s="5">
        <f>INDEX(products!$A$1:$G$49,MATCH(orders!$D751,products!$A$1:$A$49,0),MATCH(orders!J$1,products!$A$1:$G$1,0))</f>
        <v>0.2</v>
      </c>
      <c r="K751" s="6">
        <f>INDEX(products!$A$1:$G$49,MATCH(orders!$D751,products!$A$1:$A$49,0),MATCH(orders!K$1,products!$A$1:$G$1,0))</f>
        <v>2.6849999999999996</v>
      </c>
      <c r="L751" s="6">
        <f>K751*E751</f>
        <v>5.3699999999999992</v>
      </c>
      <c r="M751" t="str" cm="1">
        <f t="array" ref="M751">_xlfn.IFS(H751="Rob","Robusta",H751="Exc","Excelsa",H751="Ara","Arabica",H751="Lib","Liberica")</f>
        <v>Robusta</v>
      </c>
      <c r="N751" t="str" cm="1">
        <f t="array" ref="N751">_xlfn.IFS(I751="M","Medium",I751="L","Light",I751="D","Dark")</f>
        <v>Dark</v>
      </c>
      <c r="O751" t="str">
        <f>_xlfn.XLOOKUP(Orders[[#This Row],[Customer ID]],customers!$A$2:$A$1001,customers!$I$2:$I$1001,,0)</f>
        <v>Yes</v>
      </c>
    </row>
    <row r="752" spans="1:15" x14ac:dyDescent="0.3">
      <c r="A752" s="2" t="s">
        <v>4730</v>
      </c>
      <c r="B752" s="3">
        <v>44277</v>
      </c>
      <c r="C752" s="2" t="s">
        <v>4731</v>
      </c>
      <c r="D752" t="s">
        <v>6146</v>
      </c>
      <c r="E752" s="2">
        <v>1</v>
      </c>
      <c r="F752" s="2" t="str">
        <f>_xlfn.XLOOKUP(C752,customers!$A$2:$A$1001,customers!$B$2:$B$1001,,0)</f>
        <v>Hazel Iacopini</v>
      </c>
      <c r="G752" s="2" t="str">
        <f>_xlfn.XLOOKUP(C752,customers!$A$2:$A$1001,customers!$G$2:$G$1001,,0)</f>
        <v>United States</v>
      </c>
      <c r="H752" t="str">
        <f>INDEX(products!$A$1:$G$49,MATCH(orders!$D752,products!$A$1:$A$49,0),MATCH(orders!H$1,products!$A$1:$G$1,0))</f>
        <v>Rob</v>
      </c>
      <c r="I752" t="str">
        <f>INDEX(products!$A$1:$G$49,MATCH(orders!$D752,products!$A$1:$A$49,0),MATCH(orders!I$1,products!$A$1:$G$1,0))</f>
        <v>M</v>
      </c>
      <c r="J752" s="5">
        <f>INDEX(products!$A$1:$G$49,MATCH(orders!$D752,products!$A$1:$A$49,0),MATCH(orders!J$1,products!$A$1:$G$1,0))</f>
        <v>0.5</v>
      </c>
      <c r="K752" s="6">
        <f>INDEX(products!$A$1:$G$49,MATCH(orders!$D752,products!$A$1:$A$49,0),MATCH(orders!K$1,products!$A$1:$G$1,0))</f>
        <v>5.97</v>
      </c>
      <c r="L752" s="6">
        <f>K752*E752</f>
        <v>5.97</v>
      </c>
      <c r="M752" t="str" cm="1">
        <f t="array" ref="M752">_xlfn.IFS(H752="Rob","Robusta",H752="Exc","Excelsa",H752="Ara","Arabica",H752="Lib","Liberica")</f>
        <v>Robusta</v>
      </c>
      <c r="N752" t="str" cm="1">
        <f t="array" ref="N752">_xlfn.IFS(I752="M","Medium",I752="L","Light",I752="D","Dark")</f>
        <v>Medium</v>
      </c>
      <c r="O752" t="str">
        <f>_xlfn.XLOOKUP(Orders[[#This Row],[Customer ID]],customers!$A$2:$A$1001,customers!$I$2:$I$1001,,0)</f>
        <v>Yes</v>
      </c>
    </row>
    <row r="753" spans="1:15" x14ac:dyDescent="0.3">
      <c r="A753" s="2" t="s">
        <v>4735</v>
      </c>
      <c r="B753" s="3">
        <v>43847</v>
      </c>
      <c r="C753" s="2" t="s">
        <v>4736</v>
      </c>
      <c r="D753" t="s">
        <v>6161</v>
      </c>
      <c r="E753" s="2">
        <v>2</v>
      </c>
      <c r="F753" s="2" t="str">
        <f>_xlfn.XLOOKUP(C753,customers!$A$2:$A$1001,customers!$B$2:$B$1001,,0)</f>
        <v>Vinny Shoebotham</v>
      </c>
      <c r="G753" s="2" t="str">
        <f>_xlfn.XLOOKUP(C753,customers!$A$2:$A$1001,customers!$G$2:$G$1001,,0)</f>
        <v>United States</v>
      </c>
      <c r="H753" t="str">
        <f>INDEX(products!$A$1:$G$49,MATCH(orders!$D753,products!$A$1:$A$49,0),MATCH(orders!H$1,products!$A$1:$G$1,0))</f>
        <v>Lib</v>
      </c>
      <c r="I753" t="str">
        <f>INDEX(products!$A$1:$G$49,MATCH(orders!$D753,products!$A$1:$A$49,0),MATCH(orders!I$1,products!$A$1:$G$1,0))</f>
        <v>L</v>
      </c>
      <c r="J753" s="5">
        <f>INDEX(products!$A$1:$G$49,MATCH(orders!$D753,products!$A$1:$A$49,0),MATCH(orders!J$1,products!$A$1:$G$1,0))</f>
        <v>0.5</v>
      </c>
      <c r="K753" s="6">
        <f>INDEX(products!$A$1:$G$49,MATCH(orders!$D753,products!$A$1:$A$49,0),MATCH(orders!K$1,products!$A$1:$G$1,0))</f>
        <v>9.51</v>
      </c>
      <c r="L753" s="6">
        <f>K753*E753</f>
        <v>19.02</v>
      </c>
      <c r="M753" t="str" cm="1">
        <f t="array" ref="M753">_xlfn.IFS(H753="Rob","Robusta",H753="Exc","Excelsa",H753="Ara","Arabica",H753="Lib","Liberica")</f>
        <v>Liberica</v>
      </c>
      <c r="N753" t="str" cm="1">
        <f t="array" ref="N753">_xlfn.IFS(I753="M","Medium",I753="L","Light",I753="D","Dark")</f>
        <v>Light</v>
      </c>
      <c r="O753" t="str">
        <f>_xlfn.XLOOKUP(Orders[[#This Row],[Customer ID]],customers!$A$2:$A$1001,customers!$I$2:$I$1001,,0)</f>
        <v>No</v>
      </c>
    </row>
    <row r="754" spans="1:15" x14ac:dyDescent="0.3">
      <c r="A754" s="2" t="s">
        <v>4741</v>
      </c>
      <c r="B754" s="3">
        <v>43648</v>
      </c>
      <c r="C754" s="2" t="s">
        <v>4742</v>
      </c>
      <c r="D754" t="s">
        <v>6141</v>
      </c>
      <c r="E754" s="2">
        <v>2</v>
      </c>
      <c r="F754" s="2" t="str">
        <f>_xlfn.XLOOKUP(C754,customers!$A$2:$A$1001,customers!$B$2:$B$1001,,0)</f>
        <v>Bran Sterke</v>
      </c>
      <c r="G754" s="2" t="str">
        <f>_xlfn.XLOOKUP(C754,customers!$A$2:$A$1001,customers!$G$2:$G$1001,,0)</f>
        <v>United States</v>
      </c>
      <c r="H754" t="str">
        <f>INDEX(products!$A$1:$G$49,MATCH(orders!$D754,products!$A$1:$A$49,0),MATCH(orders!H$1,products!$A$1:$G$1,0))</f>
        <v>Exc</v>
      </c>
      <c r="I754" t="str">
        <f>INDEX(products!$A$1:$G$49,MATCH(orders!$D754,products!$A$1:$A$49,0),MATCH(orders!I$1,products!$A$1:$G$1,0))</f>
        <v>M</v>
      </c>
      <c r="J754" s="5">
        <f>INDEX(products!$A$1:$G$49,MATCH(orders!$D754,products!$A$1:$A$49,0),MATCH(orders!J$1,products!$A$1:$G$1,0))</f>
        <v>1</v>
      </c>
      <c r="K754" s="6">
        <f>INDEX(products!$A$1:$G$49,MATCH(orders!$D754,products!$A$1:$A$49,0),MATCH(orders!K$1,products!$A$1:$G$1,0))</f>
        <v>13.75</v>
      </c>
      <c r="L754" s="6">
        <f>K754*E754</f>
        <v>27.5</v>
      </c>
      <c r="M754" t="str" cm="1">
        <f t="array" ref="M754">_xlfn.IFS(H754="Rob","Robusta",H754="Exc","Excelsa",H754="Ara","Arabica",H754="Lib","Liberica")</f>
        <v>Excelsa</v>
      </c>
      <c r="N754" t="str" cm="1">
        <f t="array" ref="N754">_xlfn.IFS(I754="M","Medium",I754="L","Light",I754="D","Dark")</f>
        <v>Medium</v>
      </c>
      <c r="O754" t="str">
        <f>_xlfn.XLOOKUP(Orders[[#This Row],[Customer ID]],customers!$A$2:$A$1001,customers!$I$2:$I$1001,,0)</f>
        <v>Yes</v>
      </c>
    </row>
    <row r="755" spans="1:15" x14ac:dyDescent="0.3">
      <c r="A755" s="2" t="s">
        <v>4747</v>
      </c>
      <c r="B755" s="3">
        <v>44704</v>
      </c>
      <c r="C755" s="2" t="s">
        <v>4748</v>
      </c>
      <c r="D755" t="s">
        <v>6158</v>
      </c>
      <c r="E755" s="2">
        <v>5</v>
      </c>
      <c r="F755" s="2" t="str">
        <f>_xlfn.XLOOKUP(C755,customers!$A$2:$A$1001,customers!$B$2:$B$1001,,0)</f>
        <v>Simone Capon</v>
      </c>
      <c r="G755" s="2" t="str">
        <f>_xlfn.XLOOKUP(C755,customers!$A$2:$A$1001,customers!$G$2:$G$1001,,0)</f>
        <v>United States</v>
      </c>
      <c r="H755" t="str">
        <f>INDEX(products!$A$1:$G$49,MATCH(orders!$D755,products!$A$1:$A$49,0),MATCH(orders!H$1,products!$A$1:$G$1,0))</f>
        <v>Ara</v>
      </c>
      <c r="I755" t="str">
        <f>INDEX(products!$A$1:$G$49,MATCH(orders!$D755,products!$A$1:$A$49,0),MATCH(orders!I$1,products!$A$1:$G$1,0))</f>
        <v>D</v>
      </c>
      <c r="J755" s="5">
        <f>INDEX(products!$A$1:$G$49,MATCH(orders!$D755,products!$A$1:$A$49,0),MATCH(orders!J$1,products!$A$1:$G$1,0))</f>
        <v>0.5</v>
      </c>
      <c r="K755" s="6">
        <f>INDEX(products!$A$1:$G$49,MATCH(orders!$D755,products!$A$1:$A$49,0),MATCH(orders!K$1,products!$A$1:$G$1,0))</f>
        <v>5.97</v>
      </c>
      <c r="L755" s="6">
        <f>K755*E755</f>
        <v>29.849999999999998</v>
      </c>
      <c r="M755" t="str" cm="1">
        <f t="array" ref="M755">_xlfn.IFS(H755="Rob","Robusta",H755="Exc","Excelsa",H755="Ara","Arabica",H755="Lib","Liberica")</f>
        <v>Arabica</v>
      </c>
      <c r="N755" t="str" cm="1">
        <f t="array" ref="N755">_xlfn.IFS(I755="M","Medium",I755="L","Light",I755="D","Dark")</f>
        <v>Dark</v>
      </c>
      <c r="O755" t="str">
        <f>_xlfn.XLOOKUP(Orders[[#This Row],[Customer ID]],customers!$A$2:$A$1001,customers!$I$2:$I$1001,,0)</f>
        <v>No</v>
      </c>
    </row>
    <row r="756" spans="1:15" x14ac:dyDescent="0.3">
      <c r="A756" s="2" t="s">
        <v>4753</v>
      </c>
      <c r="B756" s="3">
        <v>44726</v>
      </c>
      <c r="C756" s="2" t="s">
        <v>4434</v>
      </c>
      <c r="D756" t="s">
        <v>6154</v>
      </c>
      <c r="E756" s="2">
        <v>6</v>
      </c>
      <c r="F756" s="2" t="str">
        <f>_xlfn.XLOOKUP(C756,customers!$A$2:$A$1001,customers!$B$2:$B$1001,,0)</f>
        <v>Jimmy Dymoke</v>
      </c>
      <c r="G756" s="2" t="str">
        <f>_xlfn.XLOOKUP(C756,customers!$A$2:$A$1001,customers!$G$2:$G$1001,,0)</f>
        <v>Ireland</v>
      </c>
      <c r="H756" t="str">
        <f>INDEX(products!$A$1:$G$49,MATCH(orders!$D756,products!$A$1:$A$49,0),MATCH(orders!H$1,products!$A$1:$G$1,0))</f>
        <v>Ara</v>
      </c>
      <c r="I756" t="str">
        <f>INDEX(products!$A$1:$G$49,MATCH(orders!$D756,products!$A$1:$A$49,0),MATCH(orders!I$1,products!$A$1:$G$1,0))</f>
        <v>D</v>
      </c>
      <c r="J756" s="5">
        <f>INDEX(products!$A$1:$G$49,MATCH(orders!$D756,products!$A$1:$A$49,0),MATCH(orders!J$1,products!$A$1:$G$1,0))</f>
        <v>0.2</v>
      </c>
      <c r="K756" s="6">
        <f>INDEX(products!$A$1:$G$49,MATCH(orders!$D756,products!$A$1:$A$49,0),MATCH(orders!K$1,products!$A$1:$G$1,0))</f>
        <v>2.9849999999999999</v>
      </c>
      <c r="L756" s="6">
        <f>K756*E756</f>
        <v>17.91</v>
      </c>
      <c r="M756" t="str" cm="1">
        <f t="array" ref="M756">_xlfn.IFS(H756="Rob","Robusta",H756="Exc","Excelsa",H756="Ara","Arabica",H756="Lib","Liberica")</f>
        <v>Arabica</v>
      </c>
      <c r="N756" t="str" cm="1">
        <f t="array" ref="N756">_xlfn.IFS(I756="M","Medium",I756="L","Light",I756="D","Dark")</f>
        <v>Dark</v>
      </c>
      <c r="O756" t="str">
        <f>_xlfn.XLOOKUP(Orders[[#This Row],[Customer ID]],customers!$A$2:$A$1001,customers!$I$2:$I$1001,,0)</f>
        <v>No</v>
      </c>
    </row>
    <row r="757" spans="1:15" x14ac:dyDescent="0.3">
      <c r="A757" s="2" t="s">
        <v>4758</v>
      </c>
      <c r="B757" s="3">
        <v>44397</v>
      </c>
      <c r="C757" s="2" t="s">
        <v>4759</v>
      </c>
      <c r="D757" t="s">
        <v>6145</v>
      </c>
      <c r="E757" s="2">
        <v>6</v>
      </c>
      <c r="F757" s="2" t="str">
        <f>_xlfn.XLOOKUP(C757,customers!$A$2:$A$1001,customers!$B$2:$B$1001,,0)</f>
        <v>Foster Constance</v>
      </c>
      <c r="G757" s="2" t="str">
        <f>_xlfn.XLOOKUP(C757,customers!$A$2:$A$1001,customers!$G$2:$G$1001,,0)</f>
        <v>United States</v>
      </c>
      <c r="H757" t="str">
        <f>INDEX(products!$A$1:$G$49,MATCH(orders!$D757,products!$A$1:$A$49,0),MATCH(orders!H$1,products!$A$1:$G$1,0))</f>
        <v>Lib</v>
      </c>
      <c r="I757" t="str">
        <f>INDEX(products!$A$1:$G$49,MATCH(orders!$D757,products!$A$1:$A$49,0),MATCH(orders!I$1,products!$A$1:$G$1,0))</f>
        <v>L</v>
      </c>
      <c r="J757" s="5">
        <f>INDEX(products!$A$1:$G$49,MATCH(orders!$D757,products!$A$1:$A$49,0),MATCH(orders!J$1,products!$A$1:$G$1,0))</f>
        <v>0.2</v>
      </c>
      <c r="K757" s="6">
        <f>INDEX(products!$A$1:$G$49,MATCH(orders!$D757,products!$A$1:$A$49,0),MATCH(orders!K$1,products!$A$1:$G$1,0))</f>
        <v>4.7549999999999999</v>
      </c>
      <c r="L757" s="6">
        <f>K757*E757</f>
        <v>28.53</v>
      </c>
      <c r="M757" t="str" cm="1">
        <f t="array" ref="M757">_xlfn.IFS(H757="Rob","Robusta",H757="Exc","Excelsa",H757="Ara","Arabica",H757="Lib","Liberica")</f>
        <v>Liberica</v>
      </c>
      <c r="N757" t="str" cm="1">
        <f t="array" ref="N757">_xlfn.IFS(I757="M","Medium",I757="L","Light",I757="D","Dark")</f>
        <v>Light</v>
      </c>
      <c r="O757" t="str">
        <f>_xlfn.XLOOKUP(Orders[[#This Row],[Customer ID]],customers!$A$2:$A$1001,customers!$I$2:$I$1001,,0)</f>
        <v>No</v>
      </c>
    </row>
    <row r="758" spans="1:15" x14ac:dyDescent="0.3">
      <c r="A758" s="2" t="s">
        <v>4764</v>
      </c>
      <c r="B758" s="3">
        <v>44715</v>
      </c>
      <c r="C758" s="2" t="s">
        <v>4765</v>
      </c>
      <c r="D758" t="s">
        <v>6177</v>
      </c>
      <c r="E758" s="2">
        <v>4</v>
      </c>
      <c r="F758" s="2" t="str">
        <f>_xlfn.XLOOKUP(C758,customers!$A$2:$A$1001,customers!$B$2:$B$1001,,0)</f>
        <v>Fernando Sulman</v>
      </c>
      <c r="G758" s="2" t="str">
        <f>_xlfn.XLOOKUP(C758,customers!$A$2:$A$1001,customers!$G$2:$G$1001,,0)</f>
        <v>United States</v>
      </c>
      <c r="H758" t="str">
        <f>INDEX(products!$A$1:$G$49,MATCH(orders!$D758,products!$A$1:$A$49,0),MATCH(orders!H$1,products!$A$1:$G$1,0))</f>
        <v>Rob</v>
      </c>
      <c r="I758" t="str">
        <f>INDEX(products!$A$1:$G$49,MATCH(orders!$D758,products!$A$1:$A$49,0),MATCH(orders!I$1,products!$A$1:$G$1,0))</f>
        <v>D</v>
      </c>
      <c r="J758" s="5">
        <f>INDEX(products!$A$1:$G$49,MATCH(orders!$D758,products!$A$1:$A$49,0),MATCH(orders!J$1,products!$A$1:$G$1,0))</f>
        <v>1</v>
      </c>
      <c r="K758" s="6">
        <f>INDEX(products!$A$1:$G$49,MATCH(orders!$D758,products!$A$1:$A$49,0),MATCH(orders!K$1,products!$A$1:$G$1,0))</f>
        <v>8.9499999999999993</v>
      </c>
      <c r="L758" s="6">
        <f>K758*E758</f>
        <v>35.799999999999997</v>
      </c>
      <c r="M758" t="str" cm="1">
        <f t="array" ref="M758">_xlfn.IFS(H758="Rob","Robusta",H758="Exc","Excelsa",H758="Ara","Arabica",H758="Lib","Liberica")</f>
        <v>Robusta</v>
      </c>
      <c r="N758" t="str" cm="1">
        <f t="array" ref="N758">_xlfn.IFS(I758="M","Medium",I758="L","Light",I758="D","Dark")</f>
        <v>Dark</v>
      </c>
      <c r="O758" t="str">
        <f>_xlfn.XLOOKUP(Orders[[#This Row],[Customer ID]],customers!$A$2:$A$1001,customers!$I$2:$I$1001,,0)</f>
        <v>Yes</v>
      </c>
    </row>
    <row r="759" spans="1:15" x14ac:dyDescent="0.3">
      <c r="A759" s="2" t="s">
        <v>4770</v>
      </c>
      <c r="B759" s="3">
        <v>43977</v>
      </c>
      <c r="C759" s="2" t="s">
        <v>4771</v>
      </c>
      <c r="D759" t="s">
        <v>6158</v>
      </c>
      <c r="E759" s="2">
        <v>3</v>
      </c>
      <c r="F759" s="2" t="str">
        <f>_xlfn.XLOOKUP(C759,customers!$A$2:$A$1001,customers!$B$2:$B$1001,,0)</f>
        <v>Dorotea Hollyman</v>
      </c>
      <c r="G759" s="2" t="str">
        <f>_xlfn.XLOOKUP(C759,customers!$A$2:$A$1001,customers!$G$2:$G$1001,,0)</f>
        <v>United States</v>
      </c>
      <c r="H759" t="str">
        <f>INDEX(products!$A$1:$G$49,MATCH(orders!$D759,products!$A$1:$A$49,0),MATCH(orders!H$1,products!$A$1:$G$1,0))</f>
        <v>Ara</v>
      </c>
      <c r="I759" t="str">
        <f>INDEX(products!$A$1:$G$49,MATCH(orders!$D759,products!$A$1:$A$49,0),MATCH(orders!I$1,products!$A$1:$G$1,0))</f>
        <v>D</v>
      </c>
      <c r="J759" s="5">
        <f>INDEX(products!$A$1:$G$49,MATCH(orders!$D759,products!$A$1:$A$49,0),MATCH(orders!J$1,products!$A$1:$G$1,0))</f>
        <v>0.5</v>
      </c>
      <c r="K759" s="6">
        <f>INDEX(products!$A$1:$G$49,MATCH(orders!$D759,products!$A$1:$A$49,0),MATCH(orders!K$1,products!$A$1:$G$1,0))</f>
        <v>5.97</v>
      </c>
      <c r="L759" s="6">
        <f>K759*E759</f>
        <v>17.91</v>
      </c>
      <c r="M759" t="str" cm="1">
        <f t="array" ref="M759">_xlfn.IFS(H759="Rob","Robusta",H759="Exc","Excelsa",H759="Ara","Arabica",H759="Lib","Liberica")</f>
        <v>Arabica</v>
      </c>
      <c r="N759" t="str" cm="1">
        <f t="array" ref="N759">_xlfn.IFS(I759="M","Medium",I759="L","Light",I759="D","Dark")</f>
        <v>Dark</v>
      </c>
      <c r="O759" t="str">
        <f>_xlfn.XLOOKUP(Orders[[#This Row],[Customer ID]],customers!$A$2:$A$1001,customers!$I$2:$I$1001,,0)</f>
        <v>Yes</v>
      </c>
    </row>
    <row r="760" spans="1:15" x14ac:dyDescent="0.3">
      <c r="A760" s="2" t="s">
        <v>4776</v>
      </c>
      <c r="B760" s="3">
        <v>43672</v>
      </c>
      <c r="C760" s="2" t="s">
        <v>4777</v>
      </c>
      <c r="D760" t="s">
        <v>6177</v>
      </c>
      <c r="E760" s="2">
        <v>1</v>
      </c>
      <c r="F760" s="2" t="str">
        <f>_xlfn.XLOOKUP(C760,customers!$A$2:$A$1001,customers!$B$2:$B$1001,,0)</f>
        <v>Lorelei Nardoni</v>
      </c>
      <c r="G760" s="2" t="str">
        <f>_xlfn.XLOOKUP(C760,customers!$A$2:$A$1001,customers!$G$2:$G$1001,,0)</f>
        <v>United States</v>
      </c>
      <c r="H760" t="str">
        <f>INDEX(products!$A$1:$G$49,MATCH(orders!$D760,products!$A$1:$A$49,0),MATCH(orders!H$1,products!$A$1:$G$1,0))</f>
        <v>Rob</v>
      </c>
      <c r="I760" t="str">
        <f>INDEX(products!$A$1:$G$49,MATCH(orders!$D760,products!$A$1:$A$49,0),MATCH(orders!I$1,products!$A$1:$G$1,0))</f>
        <v>D</v>
      </c>
      <c r="J760" s="5">
        <f>INDEX(products!$A$1:$G$49,MATCH(orders!$D760,products!$A$1:$A$49,0),MATCH(orders!J$1,products!$A$1:$G$1,0))</f>
        <v>1</v>
      </c>
      <c r="K760" s="6">
        <f>INDEX(products!$A$1:$G$49,MATCH(orders!$D760,products!$A$1:$A$49,0),MATCH(orders!K$1,products!$A$1:$G$1,0))</f>
        <v>8.9499999999999993</v>
      </c>
      <c r="L760" s="6">
        <f>K760*E760</f>
        <v>8.9499999999999993</v>
      </c>
      <c r="M760" t="str" cm="1">
        <f t="array" ref="M760">_xlfn.IFS(H760="Rob","Robusta",H760="Exc","Excelsa",H760="Ara","Arabica",H760="Lib","Liberica")</f>
        <v>Robusta</v>
      </c>
      <c r="N760" t="str" cm="1">
        <f t="array" ref="N760">_xlfn.IFS(I760="M","Medium",I760="L","Light",I760="D","Dark")</f>
        <v>Dark</v>
      </c>
      <c r="O760" t="str">
        <f>_xlfn.XLOOKUP(Orders[[#This Row],[Customer ID]],customers!$A$2:$A$1001,customers!$I$2:$I$1001,,0)</f>
        <v>No</v>
      </c>
    </row>
    <row r="761" spans="1:15" x14ac:dyDescent="0.3">
      <c r="A761" s="2" t="s">
        <v>4781</v>
      </c>
      <c r="B761" s="3">
        <v>44126</v>
      </c>
      <c r="C761" s="2" t="s">
        <v>4782</v>
      </c>
      <c r="D761" t="s">
        <v>6165</v>
      </c>
      <c r="E761" s="2">
        <v>1</v>
      </c>
      <c r="F761" s="2" t="str">
        <f>_xlfn.XLOOKUP(C761,customers!$A$2:$A$1001,customers!$B$2:$B$1001,,0)</f>
        <v>Dallas Yarham</v>
      </c>
      <c r="G761" s="2" t="str">
        <f>_xlfn.XLOOKUP(C761,customers!$A$2:$A$1001,customers!$G$2:$G$1001,,0)</f>
        <v>United States</v>
      </c>
      <c r="H761" t="str">
        <f>INDEX(products!$A$1:$G$49,MATCH(orders!$D761,products!$A$1:$A$49,0),MATCH(orders!H$1,products!$A$1:$G$1,0))</f>
        <v>Lib</v>
      </c>
      <c r="I761" t="str">
        <f>INDEX(products!$A$1:$G$49,MATCH(orders!$D761,products!$A$1:$A$49,0),MATCH(orders!I$1,products!$A$1:$G$1,0))</f>
        <v>D</v>
      </c>
      <c r="J761" s="5">
        <f>INDEX(products!$A$1:$G$49,MATCH(orders!$D761,products!$A$1:$A$49,0),MATCH(orders!J$1,products!$A$1:$G$1,0))</f>
        <v>2.5</v>
      </c>
      <c r="K761" s="6">
        <f>INDEX(products!$A$1:$G$49,MATCH(orders!$D761,products!$A$1:$A$49,0),MATCH(orders!K$1,products!$A$1:$G$1,0))</f>
        <v>29.784999999999997</v>
      </c>
      <c r="L761" s="6">
        <f>K761*E761</f>
        <v>29.784999999999997</v>
      </c>
      <c r="M761" t="str" cm="1">
        <f t="array" ref="M761">_xlfn.IFS(H761="Rob","Robusta",H761="Exc","Excelsa",H761="Ara","Arabica",H761="Lib","Liberica")</f>
        <v>Liberica</v>
      </c>
      <c r="N761" t="str" cm="1">
        <f t="array" ref="N761">_xlfn.IFS(I761="M","Medium",I761="L","Light",I761="D","Dark")</f>
        <v>Dark</v>
      </c>
      <c r="O761" t="str">
        <f>_xlfn.XLOOKUP(Orders[[#This Row],[Customer ID]],customers!$A$2:$A$1001,customers!$I$2:$I$1001,,0)</f>
        <v>Yes</v>
      </c>
    </row>
    <row r="762" spans="1:15" x14ac:dyDescent="0.3">
      <c r="A762" s="2" t="s">
        <v>4787</v>
      </c>
      <c r="B762" s="3">
        <v>44189</v>
      </c>
      <c r="C762" s="2" t="s">
        <v>4788</v>
      </c>
      <c r="D762" t="s">
        <v>6176</v>
      </c>
      <c r="E762" s="2">
        <v>5</v>
      </c>
      <c r="F762" s="2" t="str">
        <f>_xlfn.XLOOKUP(C762,customers!$A$2:$A$1001,customers!$B$2:$B$1001,,0)</f>
        <v>Arlana Ferrea</v>
      </c>
      <c r="G762" s="2" t="str">
        <f>_xlfn.XLOOKUP(C762,customers!$A$2:$A$1001,customers!$G$2:$G$1001,,0)</f>
        <v>United States</v>
      </c>
      <c r="H762" t="str">
        <f>INDEX(products!$A$1:$G$49,MATCH(orders!$D762,products!$A$1:$A$49,0),MATCH(orders!H$1,products!$A$1:$G$1,0))</f>
        <v>Exc</v>
      </c>
      <c r="I762" t="str">
        <f>INDEX(products!$A$1:$G$49,MATCH(orders!$D762,products!$A$1:$A$49,0),MATCH(orders!I$1,products!$A$1:$G$1,0))</f>
        <v>L</v>
      </c>
      <c r="J762" s="5">
        <f>INDEX(products!$A$1:$G$49,MATCH(orders!$D762,products!$A$1:$A$49,0),MATCH(orders!J$1,products!$A$1:$G$1,0))</f>
        <v>0.5</v>
      </c>
      <c r="K762" s="6">
        <f>INDEX(products!$A$1:$G$49,MATCH(orders!$D762,products!$A$1:$A$49,0),MATCH(orders!K$1,products!$A$1:$G$1,0))</f>
        <v>8.91</v>
      </c>
      <c r="L762" s="6">
        <f>K762*E762</f>
        <v>44.55</v>
      </c>
      <c r="M762" t="str" cm="1">
        <f t="array" ref="M762">_xlfn.IFS(H762="Rob","Robusta",H762="Exc","Excelsa",H762="Ara","Arabica",H762="Lib","Liberica")</f>
        <v>Excelsa</v>
      </c>
      <c r="N762" t="str" cm="1">
        <f t="array" ref="N762">_xlfn.IFS(I762="M","Medium",I762="L","Light",I762="D","Dark")</f>
        <v>Light</v>
      </c>
      <c r="O762" t="str">
        <f>_xlfn.XLOOKUP(Orders[[#This Row],[Customer ID]],customers!$A$2:$A$1001,customers!$I$2:$I$1001,,0)</f>
        <v>No</v>
      </c>
    </row>
    <row r="763" spans="1:15" x14ac:dyDescent="0.3">
      <c r="A763" s="2" t="s">
        <v>4792</v>
      </c>
      <c r="B763" s="3">
        <v>43714</v>
      </c>
      <c r="C763" s="2" t="s">
        <v>4793</v>
      </c>
      <c r="D763" t="s">
        <v>6171</v>
      </c>
      <c r="E763" s="2">
        <v>6</v>
      </c>
      <c r="F763" s="2" t="str">
        <f>_xlfn.XLOOKUP(C763,customers!$A$2:$A$1001,customers!$B$2:$B$1001,,0)</f>
        <v>Chuck Kendrick</v>
      </c>
      <c r="G763" s="2" t="str">
        <f>_xlfn.XLOOKUP(C763,customers!$A$2:$A$1001,customers!$G$2:$G$1001,,0)</f>
        <v>United States</v>
      </c>
      <c r="H763" t="str">
        <f>INDEX(products!$A$1:$G$49,MATCH(orders!$D763,products!$A$1:$A$49,0),MATCH(orders!H$1,products!$A$1:$G$1,0))</f>
        <v>Exc</v>
      </c>
      <c r="I763" t="str">
        <f>INDEX(products!$A$1:$G$49,MATCH(orders!$D763,products!$A$1:$A$49,0),MATCH(orders!I$1,products!$A$1:$G$1,0))</f>
        <v>L</v>
      </c>
      <c r="J763" s="5">
        <f>INDEX(products!$A$1:$G$49,MATCH(orders!$D763,products!$A$1:$A$49,0),MATCH(orders!J$1,products!$A$1:$G$1,0))</f>
        <v>1</v>
      </c>
      <c r="K763" s="6">
        <f>INDEX(products!$A$1:$G$49,MATCH(orders!$D763,products!$A$1:$A$49,0),MATCH(orders!K$1,products!$A$1:$G$1,0))</f>
        <v>14.85</v>
      </c>
      <c r="L763" s="6">
        <f>K763*E763</f>
        <v>89.1</v>
      </c>
      <c r="M763" t="str" cm="1">
        <f t="array" ref="M763">_xlfn.IFS(H763="Rob","Robusta",H763="Exc","Excelsa",H763="Ara","Arabica",H763="Lib","Liberica")</f>
        <v>Excelsa</v>
      </c>
      <c r="N763" t="str" cm="1">
        <f t="array" ref="N763">_xlfn.IFS(I763="M","Medium",I763="L","Light",I763="D","Dark")</f>
        <v>Light</v>
      </c>
      <c r="O763" t="str">
        <f>_xlfn.XLOOKUP(Orders[[#This Row],[Customer ID]],customers!$A$2:$A$1001,customers!$I$2:$I$1001,,0)</f>
        <v>Yes</v>
      </c>
    </row>
    <row r="764" spans="1:15" x14ac:dyDescent="0.3">
      <c r="A764" s="2" t="s">
        <v>4797</v>
      </c>
      <c r="B764" s="3">
        <v>43563</v>
      </c>
      <c r="C764" s="2" t="s">
        <v>4798</v>
      </c>
      <c r="D764" t="s">
        <v>6160</v>
      </c>
      <c r="E764" s="2">
        <v>5</v>
      </c>
      <c r="F764" s="2" t="str">
        <f>_xlfn.XLOOKUP(C764,customers!$A$2:$A$1001,customers!$B$2:$B$1001,,0)</f>
        <v>Sharona Danilchik</v>
      </c>
      <c r="G764" s="2" t="str">
        <f>_xlfn.XLOOKUP(C764,customers!$A$2:$A$1001,customers!$G$2:$G$1001,,0)</f>
        <v>United Kingdom</v>
      </c>
      <c r="H764" t="str">
        <f>INDEX(products!$A$1:$G$49,MATCH(orders!$D764,products!$A$1:$A$49,0),MATCH(orders!H$1,products!$A$1:$G$1,0))</f>
        <v>Lib</v>
      </c>
      <c r="I764" t="str">
        <f>INDEX(products!$A$1:$G$49,MATCH(orders!$D764,products!$A$1:$A$49,0),MATCH(orders!I$1,products!$A$1:$G$1,0))</f>
        <v>M</v>
      </c>
      <c r="J764" s="5">
        <f>INDEX(products!$A$1:$G$49,MATCH(orders!$D764,products!$A$1:$A$49,0),MATCH(orders!J$1,products!$A$1:$G$1,0))</f>
        <v>0.5</v>
      </c>
      <c r="K764" s="6">
        <f>INDEX(products!$A$1:$G$49,MATCH(orders!$D764,products!$A$1:$A$49,0),MATCH(orders!K$1,products!$A$1:$G$1,0))</f>
        <v>8.73</v>
      </c>
      <c r="L764" s="6">
        <f>K764*E764</f>
        <v>43.650000000000006</v>
      </c>
      <c r="M764" t="str" cm="1">
        <f t="array" ref="M764">_xlfn.IFS(H764="Rob","Robusta",H764="Exc","Excelsa",H764="Ara","Arabica",H764="Lib","Liberica")</f>
        <v>Liberica</v>
      </c>
      <c r="N764" t="str" cm="1">
        <f t="array" ref="N764">_xlfn.IFS(I764="M","Medium",I764="L","Light",I764="D","Dark")</f>
        <v>Medium</v>
      </c>
      <c r="O764" t="str">
        <f>_xlfn.XLOOKUP(Orders[[#This Row],[Customer ID]],customers!$A$2:$A$1001,customers!$I$2:$I$1001,,0)</f>
        <v>No</v>
      </c>
    </row>
    <row r="765" spans="1:15" x14ac:dyDescent="0.3">
      <c r="A765" s="2" t="s">
        <v>4803</v>
      </c>
      <c r="B765" s="3">
        <v>44587</v>
      </c>
      <c r="C765" s="2" t="s">
        <v>4804</v>
      </c>
      <c r="D765" t="s">
        <v>6180</v>
      </c>
      <c r="E765" s="2">
        <v>3</v>
      </c>
      <c r="F765" s="2" t="str">
        <f>_xlfn.XLOOKUP(C765,customers!$A$2:$A$1001,customers!$B$2:$B$1001,,0)</f>
        <v>Sarajane Potter</v>
      </c>
      <c r="G765" s="2" t="str">
        <f>_xlfn.XLOOKUP(C765,customers!$A$2:$A$1001,customers!$G$2:$G$1001,,0)</f>
        <v>United States</v>
      </c>
      <c r="H765" t="str">
        <f>INDEX(products!$A$1:$G$49,MATCH(orders!$D765,products!$A$1:$A$49,0),MATCH(orders!H$1,products!$A$1:$G$1,0))</f>
        <v>Ara</v>
      </c>
      <c r="I765" t="str">
        <f>INDEX(products!$A$1:$G$49,MATCH(orders!$D765,products!$A$1:$A$49,0),MATCH(orders!I$1,products!$A$1:$G$1,0))</f>
        <v>L</v>
      </c>
      <c r="J765" s="5">
        <f>INDEX(products!$A$1:$G$49,MATCH(orders!$D765,products!$A$1:$A$49,0),MATCH(orders!J$1,products!$A$1:$G$1,0))</f>
        <v>0.5</v>
      </c>
      <c r="K765" s="6">
        <f>INDEX(products!$A$1:$G$49,MATCH(orders!$D765,products!$A$1:$A$49,0),MATCH(orders!K$1,products!$A$1:$G$1,0))</f>
        <v>7.77</v>
      </c>
      <c r="L765" s="6">
        <f>K765*E765</f>
        <v>23.31</v>
      </c>
      <c r="M765" t="str" cm="1">
        <f t="array" ref="M765">_xlfn.IFS(H765="Rob","Robusta",H765="Exc","Excelsa",H765="Ara","Arabica",H765="Lib","Liberica")</f>
        <v>Arabica</v>
      </c>
      <c r="N765" t="str" cm="1">
        <f t="array" ref="N765">_xlfn.IFS(I765="M","Medium",I765="L","Light",I765="D","Dark")</f>
        <v>Light</v>
      </c>
      <c r="O765" t="str">
        <f>_xlfn.XLOOKUP(Orders[[#This Row],[Customer ID]],customers!$A$2:$A$1001,customers!$I$2:$I$1001,,0)</f>
        <v>No</v>
      </c>
    </row>
    <row r="766" spans="1:15" x14ac:dyDescent="0.3">
      <c r="A766" s="2" t="s">
        <v>4808</v>
      </c>
      <c r="B766" s="3">
        <v>43797</v>
      </c>
      <c r="C766" s="2" t="s">
        <v>4809</v>
      </c>
      <c r="D766" t="s">
        <v>6182</v>
      </c>
      <c r="E766" s="2">
        <v>6</v>
      </c>
      <c r="F766" s="2" t="str">
        <f>_xlfn.XLOOKUP(C766,customers!$A$2:$A$1001,customers!$B$2:$B$1001,,0)</f>
        <v>Bobby Folomkin</v>
      </c>
      <c r="G766" s="2" t="str">
        <f>_xlfn.XLOOKUP(C766,customers!$A$2:$A$1001,customers!$G$2:$G$1001,,0)</f>
        <v>United States</v>
      </c>
      <c r="H766" t="str">
        <f>INDEX(products!$A$1:$G$49,MATCH(orders!$D766,products!$A$1:$A$49,0),MATCH(orders!H$1,products!$A$1:$G$1,0))</f>
        <v>Ara</v>
      </c>
      <c r="I766" t="str">
        <f>INDEX(products!$A$1:$G$49,MATCH(orders!$D766,products!$A$1:$A$49,0),MATCH(orders!I$1,products!$A$1:$G$1,0))</f>
        <v>L</v>
      </c>
      <c r="J766" s="5">
        <f>INDEX(products!$A$1:$G$49,MATCH(orders!$D766,products!$A$1:$A$49,0),MATCH(orders!J$1,products!$A$1:$G$1,0))</f>
        <v>2.5</v>
      </c>
      <c r="K766" s="6">
        <f>INDEX(products!$A$1:$G$49,MATCH(orders!$D766,products!$A$1:$A$49,0),MATCH(orders!K$1,products!$A$1:$G$1,0))</f>
        <v>29.784999999999997</v>
      </c>
      <c r="L766" s="6">
        <f>K766*E766</f>
        <v>178.70999999999998</v>
      </c>
      <c r="M766" t="str" cm="1">
        <f t="array" ref="M766">_xlfn.IFS(H766="Rob","Robusta",H766="Exc","Excelsa",H766="Ara","Arabica",H766="Lib","Liberica")</f>
        <v>Arabica</v>
      </c>
      <c r="N766" t="str" cm="1">
        <f t="array" ref="N766">_xlfn.IFS(I766="M","Medium",I766="L","Light",I766="D","Dark")</f>
        <v>Light</v>
      </c>
      <c r="O766" t="str">
        <f>_xlfn.XLOOKUP(Orders[[#This Row],[Customer ID]],customers!$A$2:$A$1001,customers!$I$2:$I$1001,,0)</f>
        <v>Yes</v>
      </c>
    </row>
    <row r="767" spans="1:15" x14ac:dyDescent="0.3">
      <c r="A767" s="2" t="s">
        <v>4814</v>
      </c>
      <c r="B767" s="3">
        <v>43667</v>
      </c>
      <c r="C767" s="2" t="s">
        <v>4815</v>
      </c>
      <c r="D767" t="s">
        <v>6138</v>
      </c>
      <c r="E767" s="2">
        <v>6</v>
      </c>
      <c r="F767" s="2" t="str">
        <f>_xlfn.XLOOKUP(C767,customers!$A$2:$A$1001,customers!$B$2:$B$1001,,0)</f>
        <v>Rafferty Pursglove</v>
      </c>
      <c r="G767" s="2" t="str">
        <f>_xlfn.XLOOKUP(C767,customers!$A$2:$A$1001,customers!$G$2:$G$1001,,0)</f>
        <v>United States</v>
      </c>
      <c r="H767" t="str">
        <f>INDEX(products!$A$1:$G$49,MATCH(orders!$D767,products!$A$1:$A$49,0),MATCH(orders!H$1,products!$A$1:$G$1,0))</f>
        <v>Rob</v>
      </c>
      <c r="I767" t="str">
        <f>INDEX(products!$A$1:$G$49,MATCH(orders!$D767,products!$A$1:$A$49,0),MATCH(orders!I$1,products!$A$1:$G$1,0))</f>
        <v>M</v>
      </c>
      <c r="J767" s="5">
        <f>INDEX(products!$A$1:$G$49,MATCH(orders!$D767,products!$A$1:$A$49,0),MATCH(orders!J$1,products!$A$1:$G$1,0))</f>
        <v>1</v>
      </c>
      <c r="K767" s="6">
        <f>INDEX(products!$A$1:$G$49,MATCH(orders!$D767,products!$A$1:$A$49,0),MATCH(orders!K$1,products!$A$1:$G$1,0))</f>
        <v>9.9499999999999993</v>
      </c>
      <c r="L767" s="6">
        <f>K767*E767</f>
        <v>59.699999999999996</v>
      </c>
      <c r="M767" t="str" cm="1">
        <f t="array" ref="M767">_xlfn.IFS(H767="Rob","Robusta",H767="Exc","Excelsa",H767="Ara","Arabica",H767="Lib","Liberica")</f>
        <v>Robusta</v>
      </c>
      <c r="N767" t="str" cm="1">
        <f t="array" ref="N767">_xlfn.IFS(I767="M","Medium",I767="L","Light",I767="D","Dark")</f>
        <v>Medium</v>
      </c>
      <c r="O767" t="str">
        <f>_xlfn.XLOOKUP(Orders[[#This Row],[Customer ID]],customers!$A$2:$A$1001,customers!$I$2:$I$1001,,0)</f>
        <v>Yes</v>
      </c>
    </row>
    <row r="768" spans="1:15" x14ac:dyDescent="0.3">
      <c r="A768" s="2" t="s">
        <v>4814</v>
      </c>
      <c r="B768" s="3">
        <v>43667</v>
      </c>
      <c r="C768" s="2" t="s">
        <v>4815</v>
      </c>
      <c r="D768" t="s">
        <v>6180</v>
      </c>
      <c r="E768" s="2">
        <v>2</v>
      </c>
      <c r="F768" s="2" t="str">
        <f>_xlfn.XLOOKUP(C768,customers!$A$2:$A$1001,customers!$B$2:$B$1001,,0)</f>
        <v>Rafferty Pursglove</v>
      </c>
      <c r="G768" s="2" t="str">
        <f>_xlfn.XLOOKUP(C768,customers!$A$2:$A$1001,customers!$G$2:$G$1001,,0)</f>
        <v>United States</v>
      </c>
      <c r="H768" t="str">
        <f>INDEX(products!$A$1:$G$49,MATCH(orders!$D768,products!$A$1:$A$49,0),MATCH(orders!H$1,products!$A$1:$G$1,0))</f>
        <v>Ara</v>
      </c>
      <c r="I768" t="str">
        <f>INDEX(products!$A$1:$G$49,MATCH(orders!$D768,products!$A$1:$A$49,0),MATCH(orders!I$1,products!$A$1:$G$1,0))</f>
        <v>L</v>
      </c>
      <c r="J768" s="5">
        <f>INDEX(products!$A$1:$G$49,MATCH(orders!$D768,products!$A$1:$A$49,0),MATCH(orders!J$1,products!$A$1:$G$1,0))</f>
        <v>0.5</v>
      </c>
      <c r="K768" s="6">
        <f>INDEX(products!$A$1:$G$49,MATCH(orders!$D768,products!$A$1:$A$49,0),MATCH(orders!K$1,products!$A$1:$G$1,0))</f>
        <v>7.77</v>
      </c>
      <c r="L768" s="6">
        <f>K768*E768</f>
        <v>15.54</v>
      </c>
      <c r="M768" t="str" cm="1">
        <f t="array" ref="M768">_xlfn.IFS(H768="Rob","Robusta",H768="Exc","Excelsa",H768="Ara","Arabica",H768="Lib","Liberica")</f>
        <v>Arabica</v>
      </c>
      <c r="N768" t="str" cm="1">
        <f t="array" ref="N768">_xlfn.IFS(I768="M","Medium",I768="L","Light",I768="D","Dark")</f>
        <v>Light</v>
      </c>
      <c r="O768" t="str">
        <f>_xlfn.XLOOKUP(Orders[[#This Row],[Customer ID]],customers!$A$2:$A$1001,customers!$I$2:$I$1001,,0)</f>
        <v>Yes</v>
      </c>
    </row>
    <row r="769" spans="1:15" x14ac:dyDescent="0.3">
      <c r="A769" s="2" t="s">
        <v>4825</v>
      </c>
      <c r="B769" s="3">
        <v>44267</v>
      </c>
      <c r="C769" s="2" t="s">
        <v>4759</v>
      </c>
      <c r="D769" t="s">
        <v>6182</v>
      </c>
      <c r="E769" s="2">
        <v>3</v>
      </c>
      <c r="F769" s="2" t="str">
        <f>_xlfn.XLOOKUP(C769,customers!$A$2:$A$1001,customers!$B$2:$B$1001,,0)</f>
        <v>Foster Constance</v>
      </c>
      <c r="G769" s="2" t="str">
        <f>_xlfn.XLOOKUP(C769,customers!$A$2:$A$1001,customers!$G$2:$G$1001,,0)</f>
        <v>United States</v>
      </c>
      <c r="H769" t="str">
        <f>INDEX(products!$A$1:$G$49,MATCH(orders!$D769,products!$A$1:$A$49,0),MATCH(orders!H$1,products!$A$1:$G$1,0))</f>
        <v>Ara</v>
      </c>
      <c r="I769" t="str">
        <f>INDEX(products!$A$1:$G$49,MATCH(orders!$D769,products!$A$1:$A$49,0),MATCH(orders!I$1,products!$A$1:$G$1,0))</f>
        <v>L</v>
      </c>
      <c r="J769" s="5">
        <f>INDEX(products!$A$1:$G$49,MATCH(orders!$D769,products!$A$1:$A$49,0),MATCH(orders!J$1,products!$A$1:$G$1,0))</f>
        <v>2.5</v>
      </c>
      <c r="K769" s="6">
        <f>INDEX(products!$A$1:$G$49,MATCH(orders!$D769,products!$A$1:$A$49,0),MATCH(orders!K$1,products!$A$1:$G$1,0))</f>
        <v>29.784999999999997</v>
      </c>
      <c r="L769" s="6">
        <f>K769*E769</f>
        <v>89.35499999999999</v>
      </c>
      <c r="M769" t="str" cm="1">
        <f t="array" ref="M769">_xlfn.IFS(H769="Rob","Robusta",H769="Exc","Excelsa",H769="Ara","Arabica",H769="Lib","Liberica")</f>
        <v>Arabica</v>
      </c>
      <c r="N769" t="str" cm="1">
        <f t="array" ref="N769">_xlfn.IFS(I769="M","Medium",I769="L","Light",I769="D","Dark")</f>
        <v>Light</v>
      </c>
      <c r="O769" t="str">
        <f>_xlfn.XLOOKUP(Orders[[#This Row],[Customer ID]],customers!$A$2:$A$1001,customers!$I$2:$I$1001,,0)</f>
        <v>No</v>
      </c>
    </row>
    <row r="770" spans="1:15" x14ac:dyDescent="0.3">
      <c r="A770" s="2" t="s">
        <v>4831</v>
      </c>
      <c r="B770" s="3">
        <v>44562</v>
      </c>
      <c r="C770" s="2" t="s">
        <v>4759</v>
      </c>
      <c r="D770" t="s">
        <v>6179</v>
      </c>
      <c r="E770" s="2">
        <v>2</v>
      </c>
      <c r="F770" s="2" t="str">
        <f>_xlfn.XLOOKUP(C770,customers!$A$2:$A$1001,customers!$B$2:$B$1001,,0)</f>
        <v>Foster Constance</v>
      </c>
      <c r="G770" s="2" t="str">
        <f>_xlfn.XLOOKUP(C770,customers!$A$2:$A$1001,customers!$G$2:$G$1001,,0)</f>
        <v>United States</v>
      </c>
      <c r="H770" t="str">
        <f>INDEX(products!$A$1:$G$49,MATCH(orders!$D770,products!$A$1:$A$49,0),MATCH(orders!H$1,products!$A$1:$G$1,0))</f>
        <v>Rob</v>
      </c>
      <c r="I770" t="str">
        <f>INDEX(products!$A$1:$G$49,MATCH(orders!$D770,products!$A$1:$A$49,0),MATCH(orders!I$1,products!$A$1:$G$1,0))</f>
        <v>L</v>
      </c>
      <c r="J770" s="5">
        <f>INDEX(products!$A$1:$G$49,MATCH(orders!$D770,products!$A$1:$A$49,0),MATCH(orders!J$1,products!$A$1:$G$1,0))</f>
        <v>1</v>
      </c>
      <c r="K770" s="6">
        <f>INDEX(products!$A$1:$G$49,MATCH(orders!$D770,products!$A$1:$A$49,0),MATCH(orders!K$1,products!$A$1:$G$1,0))</f>
        <v>11.95</v>
      </c>
      <c r="L770" s="6">
        <f>K770*E770</f>
        <v>23.9</v>
      </c>
      <c r="M770" t="str" cm="1">
        <f t="array" ref="M770">_xlfn.IFS(H770="Rob","Robusta",H770="Exc","Excelsa",H770="Ara","Arabica",H770="Lib","Liberica")</f>
        <v>Robusta</v>
      </c>
      <c r="N770" t="str" cm="1">
        <f t="array" ref="N770">_xlfn.IFS(I770="M","Medium",I770="L","Light",I770="D","Dark")</f>
        <v>Light</v>
      </c>
      <c r="O770" t="str">
        <f>_xlfn.XLOOKUP(Orders[[#This Row],[Customer ID]],customers!$A$2:$A$1001,customers!$I$2:$I$1001,,0)</f>
        <v>No</v>
      </c>
    </row>
    <row r="771" spans="1:15" x14ac:dyDescent="0.3">
      <c r="A771" s="2" t="s">
        <v>4836</v>
      </c>
      <c r="B771" s="3">
        <v>43912</v>
      </c>
      <c r="C771" s="2" t="s">
        <v>4837</v>
      </c>
      <c r="D771" t="s">
        <v>6151</v>
      </c>
      <c r="E771" s="2">
        <v>6</v>
      </c>
      <c r="F771" s="2" t="str">
        <f>_xlfn.XLOOKUP(C771,customers!$A$2:$A$1001,customers!$B$2:$B$1001,,0)</f>
        <v>Dalia Eburah</v>
      </c>
      <c r="G771" s="2" t="str">
        <f>_xlfn.XLOOKUP(C771,customers!$A$2:$A$1001,customers!$G$2:$G$1001,,0)</f>
        <v>United Kingdom</v>
      </c>
      <c r="H771" t="str">
        <f>INDEX(products!$A$1:$G$49,MATCH(orders!$D771,products!$A$1:$A$49,0),MATCH(orders!H$1,products!$A$1:$G$1,0))</f>
        <v>Rob</v>
      </c>
      <c r="I771" t="str">
        <f>INDEX(products!$A$1:$G$49,MATCH(orders!$D771,products!$A$1:$A$49,0),MATCH(orders!I$1,products!$A$1:$G$1,0))</f>
        <v>M</v>
      </c>
      <c r="J771" s="5">
        <f>INDEX(products!$A$1:$G$49,MATCH(orders!$D771,products!$A$1:$A$49,0),MATCH(orders!J$1,products!$A$1:$G$1,0))</f>
        <v>2.5</v>
      </c>
      <c r="K771" s="6">
        <f>INDEX(products!$A$1:$G$49,MATCH(orders!$D771,products!$A$1:$A$49,0),MATCH(orders!K$1,products!$A$1:$G$1,0))</f>
        <v>22.884999999999998</v>
      </c>
      <c r="L771" s="6">
        <f>K771*E771</f>
        <v>137.31</v>
      </c>
      <c r="M771" t="str" cm="1">
        <f t="array" ref="M771">_xlfn.IFS(H771="Rob","Robusta",H771="Exc","Excelsa",H771="Ara","Arabica",H771="Lib","Liberica")</f>
        <v>Robusta</v>
      </c>
      <c r="N771" t="str" cm="1">
        <f t="array" ref="N771">_xlfn.IFS(I771="M","Medium",I771="L","Light",I771="D","Dark")</f>
        <v>Medium</v>
      </c>
      <c r="O771" t="str">
        <f>_xlfn.XLOOKUP(Orders[[#This Row],[Customer ID]],customers!$A$2:$A$1001,customers!$I$2:$I$1001,,0)</f>
        <v>No</v>
      </c>
    </row>
    <row r="772" spans="1:15" x14ac:dyDescent="0.3">
      <c r="A772" s="2" t="s">
        <v>4842</v>
      </c>
      <c r="B772" s="3">
        <v>44092</v>
      </c>
      <c r="C772" s="2" t="s">
        <v>4843</v>
      </c>
      <c r="D772" t="s">
        <v>6147</v>
      </c>
      <c r="E772" s="2">
        <v>1</v>
      </c>
      <c r="F772" s="2" t="str">
        <f>_xlfn.XLOOKUP(C772,customers!$A$2:$A$1001,customers!$B$2:$B$1001,,0)</f>
        <v>Martie Brimilcombe</v>
      </c>
      <c r="G772" s="2" t="str">
        <f>_xlfn.XLOOKUP(C772,customers!$A$2:$A$1001,customers!$G$2:$G$1001,,0)</f>
        <v>United States</v>
      </c>
      <c r="H772" t="str">
        <f>INDEX(products!$A$1:$G$49,MATCH(orders!$D772,products!$A$1:$A$49,0),MATCH(orders!H$1,products!$A$1:$G$1,0))</f>
        <v>Ara</v>
      </c>
      <c r="I772" t="str">
        <f>INDEX(products!$A$1:$G$49,MATCH(orders!$D772,products!$A$1:$A$49,0),MATCH(orders!I$1,products!$A$1:$G$1,0))</f>
        <v>D</v>
      </c>
      <c r="J772" s="5">
        <f>INDEX(products!$A$1:$G$49,MATCH(orders!$D772,products!$A$1:$A$49,0),MATCH(orders!J$1,products!$A$1:$G$1,0))</f>
        <v>1</v>
      </c>
      <c r="K772" s="6">
        <f>INDEX(products!$A$1:$G$49,MATCH(orders!$D772,products!$A$1:$A$49,0),MATCH(orders!K$1,products!$A$1:$G$1,0))</f>
        <v>9.9499999999999993</v>
      </c>
      <c r="L772" s="6">
        <f>K772*E772</f>
        <v>9.9499999999999993</v>
      </c>
      <c r="M772" t="str" cm="1">
        <f t="array" ref="M772">_xlfn.IFS(H772="Rob","Robusta",H772="Exc","Excelsa",H772="Ara","Arabica",H772="Lib","Liberica")</f>
        <v>Arabica</v>
      </c>
      <c r="N772" t="str" cm="1">
        <f t="array" ref="N772">_xlfn.IFS(I772="M","Medium",I772="L","Light",I772="D","Dark")</f>
        <v>Dark</v>
      </c>
      <c r="O772" t="str">
        <f>_xlfn.XLOOKUP(Orders[[#This Row],[Customer ID]],customers!$A$2:$A$1001,customers!$I$2:$I$1001,,0)</f>
        <v>No</v>
      </c>
    </row>
    <row r="773" spans="1:15" x14ac:dyDescent="0.3">
      <c r="A773" s="2" t="s">
        <v>4847</v>
      </c>
      <c r="B773" s="3">
        <v>43468</v>
      </c>
      <c r="C773" s="2" t="s">
        <v>4848</v>
      </c>
      <c r="D773" t="s">
        <v>6173</v>
      </c>
      <c r="E773" s="2">
        <v>3</v>
      </c>
      <c r="F773" s="2" t="str">
        <f>_xlfn.XLOOKUP(C773,customers!$A$2:$A$1001,customers!$B$2:$B$1001,,0)</f>
        <v>Suzanna Bollam</v>
      </c>
      <c r="G773" s="2" t="str">
        <f>_xlfn.XLOOKUP(C773,customers!$A$2:$A$1001,customers!$G$2:$G$1001,,0)</f>
        <v>United States</v>
      </c>
      <c r="H773" t="str">
        <f>INDEX(products!$A$1:$G$49,MATCH(orders!$D773,products!$A$1:$A$49,0),MATCH(orders!H$1,products!$A$1:$G$1,0))</f>
        <v>Rob</v>
      </c>
      <c r="I773" t="str">
        <f>INDEX(products!$A$1:$G$49,MATCH(orders!$D773,products!$A$1:$A$49,0),MATCH(orders!I$1,products!$A$1:$G$1,0))</f>
        <v>L</v>
      </c>
      <c r="J773" s="5">
        <f>INDEX(products!$A$1:$G$49,MATCH(orders!$D773,products!$A$1:$A$49,0),MATCH(orders!J$1,products!$A$1:$G$1,0))</f>
        <v>0.5</v>
      </c>
      <c r="K773" s="6">
        <f>INDEX(products!$A$1:$G$49,MATCH(orders!$D773,products!$A$1:$A$49,0),MATCH(orders!K$1,products!$A$1:$G$1,0))</f>
        <v>7.169999999999999</v>
      </c>
      <c r="L773" s="6">
        <f>K773*E773</f>
        <v>21.509999999999998</v>
      </c>
      <c r="M773" t="str" cm="1">
        <f t="array" ref="M773">_xlfn.IFS(H773="Rob","Robusta",H773="Exc","Excelsa",H773="Ara","Arabica",H773="Lib","Liberica")</f>
        <v>Robusta</v>
      </c>
      <c r="N773" t="str" cm="1">
        <f t="array" ref="N773">_xlfn.IFS(I773="M","Medium",I773="L","Light",I773="D","Dark")</f>
        <v>Light</v>
      </c>
      <c r="O773" t="str">
        <f>_xlfn.XLOOKUP(Orders[[#This Row],[Customer ID]],customers!$A$2:$A$1001,customers!$I$2:$I$1001,,0)</f>
        <v>No</v>
      </c>
    </row>
    <row r="774" spans="1:15" x14ac:dyDescent="0.3">
      <c r="A774" s="2" t="s">
        <v>4853</v>
      </c>
      <c r="B774" s="3">
        <v>44468</v>
      </c>
      <c r="C774" s="2" t="s">
        <v>4854</v>
      </c>
      <c r="D774" t="s">
        <v>6141</v>
      </c>
      <c r="E774" s="2">
        <v>6</v>
      </c>
      <c r="F774" s="2" t="str">
        <f>_xlfn.XLOOKUP(C774,customers!$A$2:$A$1001,customers!$B$2:$B$1001,,0)</f>
        <v>Mellisa Mebes</v>
      </c>
      <c r="G774" s="2" t="str">
        <f>_xlfn.XLOOKUP(C774,customers!$A$2:$A$1001,customers!$G$2:$G$1001,,0)</f>
        <v>United States</v>
      </c>
      <c r="H774" t="str">
        <f>INDEX(products!$A$1:$G$49,MATCH(orders!$D774,products!$A$1:$A$49,0),MATCH(orders!H$1,products!$A$1:$G$1,0))</f>
        <v>Exc</v>
      </c>
      <c r="I774" t="str">
        <f>INDEX(products!$A$1:$G$49,MATCH(orders!$D774,products!$A$1:$A$49,0),MATCH(orders!I$1,products!$A$1:$G$1,0))</f>
        <v>M</v>
      </c>
      <c r="J774" s="5">
        <f>INDEX(products!$A$1:$G$49,MATCH(orders!$D774,products!$A$1:$A$49,0),MATCH(orders!J$1,products!$A$1:$G$1,0))</f>
        <v>1</v>
      </c>
      <c r="K774" s="6">
        <f>INDEX(products!$A$1:$G$49,MATCH(orders!$D774,products!$A$1:$A$49,0),MATCH(orders!K$1,products!$A$1:$G$1,0))</f>
        <v>13.75</v>
      </c>
      <c r="L774" s="6">
        <f>K774*E774</f>
        <v>82.5</v>
      </c>
      <c r="M774" t="str" cm="1">
        <f t="array" ref="M774">_xlfn.IFS(H774="Rob","Robusta",H774="Exc","Excelsa",H774="Ara","Arabica",H774="Lib","Liberica")</f>
        <v>Excelsa</v>
      </c>
      <c r="N774" t="str" cm="1">
        <f t="array" ref="N774">_xlfn.IFS(I774="M","Medium",I774="L","Light",I774="D","Dark")</f>
        <v>Medium</v>
      </c>
      <c r="O774" t="str">
        <f>_xlfn.XLOOKUP(Orders[[#This Row],[Customer ID]],customers!$A$2:$A$1001,customers!$I$2:$I$1001,,0)</f>
        <v>No</v>
      </c>
    </row>
    <row r="775" spans="1:15" x14ac:dyDescent="0.3">
      <c r="A775" s="2" t="s">
        <v>4858</v>
      </c>
      <c r="B775" s="3">
        <v>44488</v>
      </c>
      <c r="C775" s="2" t="s">
        <v>4859</v>
      </c>
      <c r="D775" t="s">
        <v>6159</v>
      </c>
      <c r="E775" s="2">
        <v>2</v>
      </c>
      <c r="F775" s="2" t="str">
        <f>_xlfn.XLOOKUP(C775,customers!$A$2:$A$1001,customers!$B$2:$B$1001,,0)</f>
        <v>Alva Filipczak</v>
      </c>
      <c r="G775" s="2" t="str">
        <f>_xlfn.XLOOKUP(C775,customers!$A$2:$A$1001,customers!$G$2:$G$1001,,0)</f>
        <v>Ireland</v>
      </c>
      <c r="H775" t="str">
        <f>INDEX(products!$A$1:$G$49,MATCH(orders!$D775,products!$A$1:$A$49,0),MATCH(orders!H$1,products!$A$1:$G$1,0))</f>
        <v>Lib</v>
      </c>
      <c r="I775" t="str">
        <f>INDEX(products!$A$1:$G$49,MATCH(orders!$D775,products!$A$1:$A$49,0),MATCH(orders!I$1,products!$A$1:$G$1,0))</f>
        <v>M</v>
      </c>
      <c r="J775" s="5">
        <f>INDEX(products!$A$1:$G$49,MATCH(orders!$D775,products!$A$1:$A$49,0),MATCH(orders!J$1,products!$A$1:$G$1,0))</f>
        <v>0.2</v>
      </c>
      <c r="K775" s="6">
        <f>INDEX(products!$A$1:$G$49,MATCH(orders!$D775,products!$A$1:$A$49,0),MATCH(orders!K$1,products!$A$1:$G$1,0))</f>
        <v>4.3650000000000002</v>
      </c>
      <c r="L775" s="6">
        <f>K775*E775</f>
        <v>8.73</v>
      </c>
      <c r="M775" t="str" cm="1">
        <f t="array" ref="M775">_xlfn.IFS(H775="Rob","Robusta",H775="Exc","Excelsa",H775="Ara","Arabica",H775="Lib","Liberica")</f>
        <v>Liberica</v>
      </c>
      <c r="N775" t="str" cm="1">
        <f t="array" ref="N775">_xlfn.IFS(I775="M","Medium",I775="L","Light",I775="D","Dark")</f>
        <v>Medium</v>
      </c>
      <c r="O775" t="str">
        <f>_xlfn.XLOOKUP(Orders[[#This Row],[Customer ID]],customers!$A$2:$A$1001,customers!$I$2:$I$1001,,0)</f>
        <v>No</v>
      </c>
    </row>
    <row r="776" spans="1:15" x14ac:dyDescent="0.3">
      <c r="A776" s="2" t="s">
        <v>4864</v>
      </c>
      <c r="B776" s="3">
        <v>44756</v>
      </c>
      <c r="C776" s="2" t="s">
        <v>4865</v>
      </c>
      <c r="D776" t="s">
        <v>6138</v>
      </c>
      <c r="E776" s="2">
        <v>2</v>
      </c>
      <c r="F776" s="2" t="str">
        <f>_xlfn.XLOOKUP(C776,customers!$A$2:$A$1001,customers!$B$2:$B$1001,,0)</f>
        <v>Dorette Hinemoor</v>
      </c>
      <c r="G776" s="2" t="str">
        <f>_xlfn.XLOOKUP(C776,customers!$A$2:$A$1001,customers!$G$2:$G$1001,,0)</f>
        <v>United States</v>
      </c>
      <c r="H776" t="str">
        <f>INDEX(products!$A$1:$G$49,MATCH(orders!$D776,products!$A$1:$A$49,0),MATCH(orders!H$1,products!$A$1:$G$1,0))</f>
        <v>Rob</v>
      </c>
      <c r="I776" t="str">
        <f>INDEX(products!$A$1:$G$49,MATCH(orders!$D776,products!$A$1:$A$49,0),MATCH(orders!I$1,products!$A$1:$G$1,0))</f>
        <v>M</v>
      </c>
      <c r="J776" s="5">
        <f>INDEX(products!$A$1:$G$49,MATCH(orders!$D776,products!$A$1:$A$49,0),MATCH(orders!J$1,products!$A$1:$G$1,0))</f>
        <v>1</v>
      </c>
      <c r="K776" s="6">
        <f>INDEX(products!$A$1:$G$49,MATCH(orders!$D776,products!$A$1:$A$49,0),MATCH(orders!K$1,products!$A$1:$G$1,0))</f>
        <v>9.9499999999999993</v>
      </c>
      <c r="L776" s="6">
        <f>K776*E776</f>
        <v>19.899999999999999</v>
      </c>
      <c r="M776" t="str" cm="1">
        <f t="array" ref="M776">_xlfn.IFS(H776="Rob","Robusta",H776="Exc","Excelsa",H776="Ara","Arabica",H776="Lib","Liberica")</f>
        <v>Robusta</v>
      </c>
      <c r="N776" t="str" cm="1">
        <f t="array" ref="N776">_xlfn.IFS(I776="M","Medium",I776="L","Light",I776="D","Dark")</f>
        <v>Medium</v>
      </c>
      <c r="O776" t="str">
        <f>_xlfn.XLOOKUP(Orders[[#This Row],[Customer ID]],customers!$A$2:$A$1001,customers!$I$2:$I$1001,,0)</f>
        <v>Yes</v>
      </c>
    </row>
    <row r="777" spans="1:15" x14ac:dyDescent="0.3">
      <c r="A777" s="2" t="s">
        <v>4869</v>
      </c>
      <c r="B777" s="3">
        <v>44396</v>
      </c>
      <c r="C777" s="2" t="s">
        <v>4870</v>
      </c>
      <c r="D777" t="s">
        <v>6176</v>
      </c>
      <c r="E777" s="2">
        <v>2</v>
      </c>
      <c r="F777" s="2" t="str">
        <f>_xlfn.XLOOKUP(C777,customers!$A$2:$A$1001,customers!$B$2:$B$1001,,0)</f>
        <v>Rhetta Elnaugh</v>
      </c>
      <c r="G777" s="2" t="str">
        <f>_xlfn.XLOOKUP(C777,customers!$A$2:$A$1001,customers!$G$2:$G$1001,,0)</f>
        <v>United States</v>
      </c>
      <c r="H777" t="str">
        <f>INDEX(products!$A$1:$G$49,MATCH(orders!$D777,products!$A$1:$A$49,0),MATCH(orders!H$1,products!$A$1:$G$1,0))</f>
        <v>Exc</v>
      </c>
      <c r="I777" t="str">
        <f>INDEX(products!$A$1:$G$49,MATCH(orders!$D777,products!$A$1:$A$49,0),MATCH(orders!I$1,products!$A$1:$G$1,0))</f>
        <v>L</v>
      </c>
      <c r="J777" s="5">
        <f>INDEX(products!$A$1:$G$49,MATCH(orders!$D777,products!$A$1:$A$49,0),MATCH(orders!J$1,products!$A$1:$G$1,0))</f>
        <v>0.5</v>
      </c>
      <c r="K777" s="6">
        <f>INDEX(products!$A$1:$G$49,MATCH(orders!$D777,products!$A$1:$A$49,0),MATCH(orders!K$1,products!$A$1:$G$1,0))</f>
        <v>8.91</v>
      </c>
      <c r="L777" s="6">
        <f>K777*E777</f>
        <v>17.82</v>
      </c>
      <c r="M777" t="str" cm="1">
        <f t="array" ref="M777">_xlfn.IFS(H777="Rob","Robusta",H777="Exc","Excelsa",H777="Ara","Arabica",H777="Lib","Liberica")</f>
        <v>Excelsa</v>
      </c>
      <c r="N777" t="str" cm="1">
        <f t="array" ref="N777">_xlfn.IFS(I777="M","Medium",I777="L","Light",I777="D","Dark")</f>
        <v>Light</v>
      </c>
      <c r="O777" t="str">
        <f>_xlfn.XLOOKUP(Orders[[#This Row],[Customer ID]],customers!$A$2:$A$1001,customers!$I$2:$I$1001,,0)</f>
        <v>Yes</v>
      </c>
    </row>
    <row r="778" spans="1:15" x14ac:dyDescent="0.3">
      <c r="A778" s="2" t="s">
        <v>4875</v>
      </c>
      <c r="B778" s="3">
        <v>44540</v>
      </c>
      <c r="C778" s="2" t="s">
        <v>4876</v>
      </c>
      <c r="D778" t="s">
        <v>6157</v>
      </c>
      <c r="E778" s="2">
        <v>3</v>
      </c>
      <c r="F778" s="2" t="str">
        <f>_xlfn.XLOOKUP(C778,customers!$A$2:$A$1001,customers!$B$2:$B$1001,,0)</f>
        <v>Jule Deehan</v>
      </c>
      <c r="G778" s="2" t="str">
        <f>_xlfn.XLOOKUP(C778,customers!$A$2:$A$1001,customers!$G$2:$G$1001,,0)</f>
        <v>United States</v>
      </c>
      <c r="H778" t="str">
        <f>INDEX(products!$A$1:$G$49,MATCH(orders!$D778,products!$A$1:$A$49,0),MATCH(orders!H$1,products!$A$1:$G$1,0))</f>
        <v>Ara</v>
      </c>
      <c r="I778" t="str">
        <f>INDEX(products!$A$1:$G$49,MATCH(orders!$D778,products!$A$1:$A$49,0),MATCH(orders!I$1,products!$A$1:$G$1,0))</f>
        <v>M</v>
      </c>
      <c r="J778" s="5">
        <f>INDEX(products!$A$1:$G$49,MATCH(orders!$D778,products!$A$1:$A$49,0),MATCH(orders!J$1,products!$A$1:$G$1,0))</f>
        <v>0.5</v>
      </c>
      <c r="K778" s="6">
        <f>INDEX(products!$A$1:$G$49,MATCH(orders!$D778,products!$A$1:$A$49,0),MATCH(orders!K$1,products!$A$1:$G$1,0))</f>
        <v>6.75</v>
      </c>
      <c r="L778" s="6">
        <f>K778*E778</f>
        <v>20.25</v>
      </c>
      <c r="M778" t="str" cm="1">
        <f t="array" ref="M778">_xlfn.IFS(H778="Rob","Robusta",H778="Exc","Excelsa",H778="Ara","Arabica",H778="Lib","Liberica")</f>
        <v>Arabica</v>
      </c>
      <c r="N778" t="str" cm="1">
        <f t="array" ref="N778">_xlfn.IFS(I778="M","Medium",I778="L","Light",I778="D","Dark")</f>
        <v>Medium</v>
      </c>
      <c r="O778" t="str">
        <f>_xlfn.XLOOKUP(Orders[[#This Row],[Customer ID]],customers!$A$2:$A$1001,customers!$I$2:$I$1001,,0)</f>
        <v>No</v>
      </c>
    </row>
    <row r="779" spans="1:15" x14ac:dyDescent="0.3">
      <c r="A779" s="2" t="s">
        <v>4881</v>
      </c>
      <c r="B779" s="3">
        <v>43541</v>
      </c>
      <c r="C779" s="2" t="s">
        <v>4882</v>
      </c>
      <c r="D779" t="s">
        <v>6182</v>
      </c>
      <c r="E779" s="2">
        <v>2</v>
      </c>
      <c r="F779" s="2" t="str">
        <f>_xlfn.XLOOKUP(C779,customers!$A$2:$A$1001,customers!$B$2:$B$1001,,0)</f>
        <v>Janella Eden</v>
      </c>
      <c r="G779" s="2" t="str">
        <f>_xlfn.XLOOKUP(C779,customers!$A$2:$A$1001,customers!$G$2:$G$1001,,0)</f>
        <v>United States</v>
      </c>
      <c r="H779" t="str">
        <f>INDEX(products!$A$1:$G$49,MATCH(orders!$D779,products!$A$1:$A$49,0),MATCH(orders!H$1,products!$A$1:$G$1,0))</f>
        <v>Ara</v>
      </c>
      <c r="I779" t="str">
        <f>INDEX(products!$A$1:$G$49,MATCH(orders!$D779,products!$A$1:$A$49,0),MATCH(orders!I$1,products!$A$1:$G$1,0))</f>
        <v>L</v>
      </c>
      <c r="J779" s="5">
        <f>INDEX(products!$A$1:$G$49,MATCH(orders!$D779,products!$A$1:$A$49,0),MATCH(orders!J$1,products!$A$1:$G$1,0))</f>
        <v>2.5</v>
      </c>
      <c r="K779" s="6">
        <f>INDEX(products!$A$1:$G$49,MATCH(orders!$D779,products!$A$1:$A$49,0),MATCH(orders!K$1,products!$A$1:$G$1,0))</f>
        <v>29.784999999999997</v>
      </c>
      <c r="L779" s="6">
        <f>K779*E779</f>
        <v>59.569999999999993</v>
      </c>
      <c r="M779" t="str" cm="1">
        <f t="array" ref="M779">_xlfn.IFS(H779="Rob","Robusta",H779="Exc","Excelsa",H779="Ara","Arabica",H779="Lib","Liberica")</f>
        <v>Arabica</v>
      </c>
      <c r="N779" t="str" cm="1">
        <f t="array" ref="N779">_xlfn.IFS(I779="M","Medium",I779="L","Light",I779="D","Dark")</f>
        <v>Light</v>
      </c>
      <c r="O779" t="str">
        <f>_xlfn.XLOOKUP(Orders[[#This Row],[Customer ID]],customers!$A$2:$A$1001,customers!$I$2:$I$1001,,0)</f>
        <v>No</v>
      </c>
    </row>
    <row r="780" spans="1:15" x14ac:dyDescent="0.3">
      <c r="A780" s="2" t="s">
        <v>4886</v>
      </c>
      <c r="B780" s="3">
        <v>43889</v>
      </c>
      <c r="C780" s="2" t="s">
        <v>4933</v>
      </c>
      <c r="D780" t="s">
        <v>6161</v>
      </c>
      <c r="E780" s="2">
        <v>2</v>
      </c>
      <c r="F780" s="2" t="str">
        <f>_xlfn.XLOOKUP(C780,customers!$A$2:$A$1001,customers!$B$2:$B$1001,,0)</f>
        <v>Cam Jewster</v>
      </c>
      <c r="G780" s="2" t="str">
        <f>_xlfn.XLOOKUP(C780,customers!$A$2:$A$1001,customers!$G$2:$G$1001,,0)</f>
        <v>United States</v>
      </c>
      <c r="H780" t="str">
        <f>INDEX(products!$A$1:$G$49,MATCH(orders!$D780,products!$A$1:$A$49,0),MATCH(orders!H$1,products!$A$1:$G$1,0))</f>
        <v>Lib</v>
      </c>
      <c r="I780" t="str">
        <f>INDEX(products!$A$1:$G$49,MATCH(orders!$D780,products!$A$1:$A$49,0),MATCH(orders!I$1,products!$A$1:$G$1,0))</f>
        <v>L</v>
      </c>
      <c r="J780" s="5">
        <f>INDEX(products!$A$1:$G$49,MATCH(orders!$D780,products!$A$1:$A$49,0),MATCH(orders!J$1,products!$A$1:$G$1,0))</f>
        <v>0.5</v>
      </c>
      <c r="K780" s="6">
        <f>INDEX(products!$A$1:$G$49,MATCH(orders!$D780,products!$A$1:$A$49,0),MATCH(orders!K$1,products!$A$1:$G$1,0))</f>
        <v>9.51</v>
      </c>
      <c r="L780" s="6">
        <f>K780*E780</f>
        <v>19.02</v>
      </c>
      <c r="M780" t="str" cm="1">
        <f t="array" ref="M780">_xlfn.IFS(H780="Rob","Robusta",H780="Exc","Excelsa",H780="Ara","Arabica",H780="Lib","Liberica")</f>
        <v>Liberica</v>
      </c>
      <c r="N780" t="str" cm="1">
        <f t="array" ref="N780">_xlfn.IFS(I780="M","Medium",I780="L","Light",I780="D","Dark")</f>
        <v>Light</v>
      </c>
      <c r="O780" t="str">
        <f>_xlfn.XLOOKUP(Orders[[#This Row],[Customer ID]],customers!$A$2:$A$1001,customers!$I$2:$I$1001,,0)</f>
        <v>Yes</v>
      </c>
    </row>
    <row r="781" spans="1:15" x14ac:dyDescent="0.3">
      <c r="A781" s="2" t="s">
        <v>4892</v>
      </c>
      <c r="B781" s="3">
        <v>43985</v>
      </c>
      <c r="C781" s="2" t="s">
        <v>4893</v>
      </c>
      <c r="D781" t="s">
        <v>6143</v>
      </c>
      <c r="E781" s="2">
        <v>6</v>
      </c>
      <c r="F781" s="2" t="str">
        <f>_xlfn.XLOOKUP(C781,customers!$A$2:$A$1001,customers!$B$2:$B$1001,,0)</f>
        <v>Ugo Southerden</v>
      </c>
      <c r="G781" s="2" t="str">
        <f>_xlfn.XLOOKUP(C781,customers!$A$2:$A$1001,customers!$G$2:$G$1001,,0)</f>
        <v>United States</v>
      </c>
      <c r="H781" t="str">
        <f>INDEX(products!$A$1:$G$49,MATCH(orders!$D781,products!$A$1:$A$49,0),MATCH(orders!H$1,products!$A$1:$G$1,0))</f>
        <v>Lib</v>
      </c>
      <c r="I781" t="str">
        <f>INDEX(products!$A$1:$G$49,MATCH(orders!$D781,products!$A$1:$A$49,0),MATCH(orders!I$1,products!$A$1:$G$1,0))</f>
        <v>D</v>
      </c>
      <c r="J781" s="5">
        <f>INDEX(products!$A$1:$G$49,MATCH(orders!$D781,products!$A$1:$A$49,0),MATCH(orders!J$1,products!$A$1:$G$1,0))</f>
        <v>1</v>
      </c>
      <c r="K781" s="6">
        <f>INDEX(products!$A$1:$G$49,MATCH(orders!$D781,products!$A$1:$A$49,0),MATCH(orders!K$1,products!$A$1:$G$1,0))</f>
        <v>12.95</v>
      </c>
      <c r="L781" s="6">
        <f>K781*E781</f>
        <v>77.699999999999989</v>
      </c>
      <c r="M781" t="str" cm="1">
        <f t="array" ref="M781">_xlfn.IFS(H781="Rob","Robusta",H781="Exc","Excelsa",H781="Ara","Arabica",H781="Lib","Liberica")</f>
        <v>Liberica</v>
      </c>
      <c r="N781" t="str" cm="1">
        <f t="array" ref="N781">_xlfn.IFS(I781="M","Medium",I781="L","Light",I781="D","Dark")</f>
        <v>Dark</v>
      </c>
      <c r="O781" t="str">
        <f>_xlfn.XLOOKUP(Orders[[#This Row],[Customer ID]],customers!$A$2:$A$1001,customers!$I$2:$I$1001,,0)</f>
        <v>Yes</v>
      </c>
    </row>
    <row r="782" spans="1:15" x14ac:dyDescent="0.3">
      <c r="A782" s="2" t="s">
        <v>4898</v>
      </c>
      <c r="B782" s="3">
        <v>43883</v>
      </c>
      <c r="C782" s="2" t="s">
        <v>4899</v>
      </c>
      <c r="D782" t="s">
        <v>6141</v>
      </c>
      <c r="E782" s="2">
        <v>3</v>
      </c>
      <c r="F782" s="2" t="str">
        <f>_xlfn.XLOOKUP(C782,customers!$A$2:$A$1001,customers!$B$2:$B$1001,,0)</f>
        <v>Verne Dunkerley</v>
      </c>
      <c r="G782" s="2" t="str">
        <f>_xlfn.XLOOKUP(C782,customers!$A$2:$A$1001,customers!$G$2:$G$1001,,0)</f>
        <v>United States</v>
      </c>
      <c r="H782" t="str">
        <f>INDEX(products!$A$1:$G$49,MATCH(orders!$D782,products!$A$1:$A$49,0),MATCH(orders!H$1,products!$A$1:$G$1,0))</f>
        <v>Exc</v>
      </c>
      <c r="I782" t="str">
        <f>INDEX(products!$A$1:$G$49,MATCH(orders!$D782,products!$A$1:$A$49,0),MATCH(orders!I$1,products!$A$1:$G$1,0))</f>
        <v>M</v>
      </c>
      <c r="J782" s="5">
        <f>INDEX(products!$A$1:$G$49,MATCH(orders!$D782,products!$A$1:$A$49,0),MATCH(orders!J$1,products!$A$1:$G$1,0))</f>
        <v>1</v>
      </c>
      <c r="K782" s="6">
        <f>INDEX(products!$A$1:$G$49,MATCH(orders!$D782,products!$A$1:$A$49,0),MATCH(orders!K$1,products!$A$1:$G$1,0))</f>
        <v>13.75</v>
      </c>
      <c r="L782" s="6">
        <f>K782*E782</f>
        <v>41.25</v>
      </c>
      <c r="M782" t="str" cm="1">
        <f t="array" ref="M782">_xlfn.IFS(H782="Rob","Robusta",H782="Exc","Excelsa",H782="Ara","Arabica",H782="Lib","Liberica")</f>
        <v>Excelsa</v>
      </c>
      <c r="N782" t="str" cm="1">
        <f t="array" ref="N782">_xlfn.IFS(I782="M","Medium",I782="L","Light",I782="D","Dark")</f>
        <v>Medium</v>
      </c>
      <c r="O782" t="str">
        <f>_xlfn.XLOOKUP(Orders[[#This Row],[Customer ID]],customers!$A$2:$A$1001,customers!$I$2:$I$1001,,0)</f>
        <v>No</v>
      </c>
    </row>
    <row r="783" spans="1:15" x14ac:dyDescent="0.3">
      <c r="A783" s="2" t="s">
        <v>4903</v>
      </c>
      <c r="B783" s="3">
        <v>43778</v>
      </c>
      <c r="C783" s="2" t="s">
        <v>4904</v>
      </c>
      <c r="D783" t="s">
        <v>6164</v>
      </c>
      <c r="E783" s="2">
        <v>4</v>
      </c>
      <c r="F783" s="2" t="str">
        <f>_xlfn.XLOOKUP(C783,customers!$A$2:$A$1001,customers!$B$2:$B$1001,,0)</f>
        <v>Lacee Burtenshaw</v>
      </c>
      <c r="G783" s="2" t="str">
        <f>_xlfn.XLOOKUP(C783,customers!$A$2:$A$1001,customers!$G$2:$G$1001,,0)</f>
        <v>United States</v>
      </c>
      <c r="H783" t="str">
        <f>INDEX(products!$A$1:$G$49,MATCH(orders!$D783,products!$A$1:$A$49,0),MATCH(orders!H$1,products!$A$1:$G$1,0))</f>
        <v>Lib</v>
      </c>
      <c r="I783" t="str">
        <f>INDEX(products!$A$1:$G$49,MATCH(orders!$D783,products!$A$1:$A$49,0),MATCH(orders!I$1,products!$A$1:$G$1,0))</f>
        <v>L</v>
      </c>
      <c r="J783" s="5">
        <f>INDEX(products!$A$1:$G$49,MATCH(orders!$D783,products!$A$1:$A$49,0),MATCH(orders!J$1,products!$A$1:$G$1,0))</f>
        <v>2.5</v>
      </c>
      <c r="K783" s="6">
        <f>INDEX(products!$A$1:$G$49,MATCH(orders!$D783,products!$A$1:$A$49,0),MATCH(orders!K$1,products!$A$1:$G$1,0))</f>
        <v>36.454999999999998</v>
      </c>
      <c r="L783" s="6">
        <f>K783*E783</f>
        <v>145.82</v>
      </c>
      <c r="M783" t="str" cm="1">
        <f t="array" ref="M783">_xlfn.IFS(H783="Rob","Robusta",H783="Exc","Excelsa",H783="Ara","Arabica",H783="Lib","Liberica")</f>
        <v>Liberica</v>
      </c>
      <c r="N783" t="str" cm="1">
        <f t="array" ref="N783">_xlfn.IFS(I783="M","Medium",I783="L","Light",I783="D","Dark")</f>
        <v>Light</v>
      </c>
      <c r="O783" t="str">
        <f>_xlfn.XLOOKUP(Orders[[#This Row],[Customer ID]],customers!$A$2:$A$1001,customers!$I$2:$I$1001,,0)</f>
        <v>No</v>
      </c>
    </row>
    <row r="784" spans="1:15" x14ac:dyDescent="0.3">
      <c r="A784" s="2" t="s">
        <v>4909</v>
      </c>
      <c r="B784" s="3">
        <v>43897</v>
      </c>
      <c r="C784" s="2" t="s">
        <v>4910</v>
      </c>
      <c r="D784" t="s">
        <v>6184</v>
      </c>
      <c r="E784" s="2">
        <v>6</v>
      </c>
      <c r="F784" s="2" t="str">
        <f>_xlfn.XLOOKUP(C784,customers!$A$2:$A$1001,customers!$B$2:$B$1001,,0)</f>
        <v>Adorne Gregoratti</v>
      </c>
      <c r="G784" s="2" t="str">
        <f>_xlfn.XLOOKUP(C784,customers!$A$2:$A$1001,customers!$G$2:$G$1001,,0)</f>
        <v>Ireland</v>
      </c>
      <c r="H784" t="str">
        <f>INDEX(products!$A$1:$G$49,MATCH(orders!$D784,products!$A$1:$A$49,0),MATCH(orders!H$1,products!$A$1:$G$1,0))</f>
        <v>Exc</v>
      </c>
      <c r="I784" t="str">
        <f>INDEX(products!$A$1:$G$49,MATCH(orders!$D784,products!$A$1:$A$49,0),MATCH(orders!I$1,products!$A$1:$G$1,0))</f>
        <v>L</v>
      </c>
      <c r="J784" s="5">
        <f>INDEX(products!$A$1:$G$49,MATCH(orders!$D784,products!$A$1:$A$49,0),MATCH(orders!J$1,products!$A$1:$G$1,0))</f>
        <v>0.2</v>
      </c>
      <c r="K784" s="6">
        <f>INDEX(products!$A$1:$G$49,MATCH(orders!$D784,products!$A$1:$A$49,0),MATCH(orders!K$1,products!$A$1:$G$1,0))</f>
        <v>4.4550000000000001</v>
      </c>
      <c r="L784" s="6">
        <f>K784*E784</f>
        <v>26.73</v>
      </c>
      <c r="M784" t="str" cm="1">
        <f t="array" ref="M784">_xlfn.IFS(H784="Rob","Robusta",H784="Exc","Excelsa",H784="Ara","Arabica",H784="Lib","Liberica")</f>
        <v>Excelsa</v>
      </c>
      <c r="N784" t="str" cm="1">
        <f t="array" ref="N784">_xlfn.IFS(I784="M","Medium",I784="L","Light",I784="D","Dark")</f>
        <v>Light</v>
      </c>
      <c r="O784" t="str">
        <f>_xlfn.XLOOKUP(Orders[[#This Row],[Customer ID]],customers!$A$2:$A$1001,customers!$I$2:$I$1001,,0)</f>
        <v>No</v>
      </c>
    </row>
    <row r="785" spans="1:15" x14ac:dyDescent="0.3">
      <c r="A785" s="2" t="s">
        <v>4915</v>
      </c>
      <c r="B785" s="3">
        <v>44312</v>
      </c>
      <c r="C785" s="2" t="s">
        <v>4916</v>
      </c>
      <c r="D785" t="s">
        <v>6160</v>
      </c>
      <c r="E785" s="2">
        <v>5</v>
      </c>
      <c r="F785" s="2" t="str">
        <f>_xlfn.XLOOKUP(C785,customers!$A$2:$A$1001,customers!$B$2:$B$1001,,0)</f>
        <v>Chris Croster</v>
      </c>
      <c r="G785" s="2" t="str">
        <f>_xlfn.XLOOKUP(C785,customers!$A$2:$A$1001,customers!$G$2:$G$1001,,0)</f>
        <v>United States</v>
      </c>
      <c r="H785" t="str">
        <f>INDEX(products!$A$1:$G$49,MATCH(orders!$D785,products!$A$1:$A$49,0),MATCH(orders!H$1,products!$A$1:$G$1,0))</f>
        <v>Lib</v>
      </c>
      <c r="I785" t="str">
        <f>INDEX(products!$A$1:$G$49,MATCH(orders!$D785,products!$A$1:$A$49,0),MATCH(orders!I$1,products!$A$1:$G$1,0))</f>
        <v>M</v>
      </c>
      <c r="J785" s="5">
        <f>INDEX(products!$A$1:$G$49,MATCH(orders!$D785,products!$A$1:$A$49,0),MATCH(orders!J$1,products!$A$1:$G$1,0))</f>
        <v>0.5</v>
      </c>
      <c r="K785" s="6">
        <f>INDEX(products!$A$1:$G$49,MATCH(orders!$D785,products!$A$1:$A$49,0),MATCH(orders!K$1,products!$A$1:$G$1,0))</f>
        <v>8.73</v>
      </c>
      <c r="L785" s="6">
        <f>K785*E785</f>
        <v>43.650000000000006</v>
      </c>
      <c r="M785" t="str" cm="1">
        <f t="array" ref="M785">_xlfn.IFS(H785="Rob","Robusta",H785="Exc","Excelsa",H785="Ara","Arabica",H785="Lib","Liberica")</f>
        <v>Liberica</v>
      </c>
      <c r="N785" t="str" cm="1">
        <f t="array" ref="N785">_xlfn.IFS(I785="M","Medium",I785="L","Light",I785="D","Dark")</f>
        <v>Medium</v>
      </c>
      <c r="O785" t="str">
        <f>_xlfn.XLOOKUP(Orders[[#This Row],[Customer ID]],customers!$A$2:$A$1001,customers!$I$2:$I$1001,,0)</f>
        <v>Yes</v>
      </c>
    </row>
    <row r="786" spans="1:15" x14ac:dyDescent="0.3">
      <c r="A786" s="2" t="s">
        <v>4921</v>
      </c>
      <c r="B786" s="3">
        <v>44511</v>
      </c>
      <c r="C786" s="2" t="s">
        <v>4922</v>
      </c>
      <c r="D786" t="s">
        <v>6170</v>
      </c>
      <c r="E786" s="2">
        <v>2</v>
      </c>
      <c r="F786" s="2" t="str">
        <f>_xlfn.XLOOKUP(C786,customers!$A$2:$A$1001,customers!$B$2:$B$1001,,0)</f>
        <v>Graeme Whitehead</v>
      </c>
      <c r="G786" s="2" t="str">
        <f>_xlfn.XLOOKUP(C786,customers!$A$2:$A$1001,customers!$G$2:$G$1001,,0)</f>
        <v>United States</v>
      </c>
      <c r="H786" t="str">
        <f>INDEX(products!$A$1:$G$49,MATCH(orders!$D786,products!$A$1:$A$49,0),MATCH(orders!H$1,products!$A$1:$G$1,0))</f>
        <v>Lib</v>
      </c>
      <c r="I786" t="str">
        <f>INDEX(products!$A$1:$G$49,MATCH(orders!$D786,products!$A$1:$A$49,0),MATCH(orders!I$1,products!$A$1:$G$1,0))</f>
        <v>L</v>
      </c>
      <c r="J786" s="5">
        <f>INDEX(products!$A$1:$G$49,MATCH(orders!$D786,products!$A$1:$A$49,0),MATCH(orders!J$1,products!$A$1:$G$1,0))</f>
        <v>1</v>
      </c>
      <c r="K786" s="6">
        <f>INDEX(products!$A$1:$G$49,MATCH(orders!$D786,products!$A$1:$A$49,0),MATCH(orders!K$1,products!$A$1:$G$1,0))</f>
        <v>15.85</v>
      </c>
      <c r="L786" s="6">
        <f>K786*E786</f>
        <v>31.7</v>
      </c>
      <c r="M786" t="str" cm="1">
        <f t="array" ref="M786">_xlfn.IFS(H786="Rob","Robusta",H786="Exc","Excelsa",H786="Ara","Arabica",H786="Lib","Liberica")</f>
        <v>Liberica</v>
      </c>
      <c r="N786" t="str" cm="1">
        <f t="array" ref="N786">_xlfn.IFS(I786="M","Medium",I786="L","Light",I786="D","Dark")</f>
        <v>Light</v>
      </c>
      <c r="O786" t="str">
        <f>_xlfn.XLOOKUP(Orders[[#This Row],[Customer ID]],customers!$A$2:$A$1001,customers!$I$2:$I$1001,,0)</f>
        <v>No</v>
      </c>
    </row>
    <row r="787" spans="1:15" x14ac:dyDescent="0.3">
      <c r="A787" s="2" t="s">
        <v>4926</v>
      </c>
      <c r="B787" s="3">
        <v>44362</v>
      </c>
      <c r="C787" s="2" t="s">
        <v>4927</v>
      </c>
      <c r="D787" t="s">
        <v>6168</v>
      </c>
      <c r="E787" s="2">
        <v>1</v>
      </c>
      <c r="F787" s="2" t="str">
        <f>_xlfn.XLOOKUP(C787,customers!$A$2:$A$1001,customers!$B$2:$B$1001,,0)</f>
        <v>Haslett Jodrelle</v>
      </c>
      <c r="G787" s="2" t="str">
        <f>_xlfn.XLOOKUP(C787,customers!$A$2:$A$1001,customers!$G$2:$G$1001,,0)</f>
        <v>United States</v>
      </c>
      <c r="H787" t="str">
        <f>INDEX(products!$A$1:$G$49,MATCH(orders!$D787,products!$A$1:$A$49,0),MATCH(orders!H$1,products!$A$1:$G$1,0))</f>
        <v>Ara</v>
      </c>
      <c r="I787" t="str">
        <f>INDEX(products!$A$1:$G$49,MATCH(orders!$D787,products!$A$1:$A$49,0),MATCH(orders!I$1,products!$A$1:$G$1,0))</f>
        <v>D</v>
      </c>
      <c r="J787" s="5">
        <f>INDEX(products!$A$1:$G$49,MATCH(orders!$D787,products!$A$1:$A$49,0),MATCH(orders!J$1,products!$A$1:$G$1,0))</f>
        <v>2.5</v>
      </c>
      <c r="K787" s="6">
        <f>INDEX(products!$A$1:$G$49,MATCH(orders!$D787,products!$A$1:$A$49,0),MATCH(orders!K$1,products!$A$1:$G$1,0))</f>
        <v>22.884999999999998</v>
      </c>
      <c r="L787" s="6">
        <f>K787*E787</f>
        <v>22.884999999999998</v>
      </c>
      <c r="M787" t="str" cm="1">
        <f t="array" ref="M787">_xlfn.IFS(H787="Rob","Robusta",H787="Exc","Excelsa",H787="Ara","Arabica",H787="Lib","Liberica")</f>
        <v>Arabica</v>
      </c>
      <c r="N787" t="str" cm="1">
        <f t="array" ref="N787">_xlfn.IFS(I787="M","Medium",I787="L","Light",I787="D","Dark")</f>
        <v>Dark</v>
      </c>
      <c r="O787" t="str">
        <f>_xlfn.XLOOKUP(Orders[[#This Row],[Customer ID]],customers!$A$2:$A$1001,customers!$I$2:$I$1001,,0)</f>
        <v>No</v>
      </c>
    </row>
    <row r="788" spans="1:15" x14ac:dyDescent="0.3">
      <c r="A788" s="2" t="s">
        <v>4932</v>
      </c>
      <c r="B788" s="3">
        <v>43888</v>
      </c>
      <c r="C788" s="2" t="s">
        <v>4933</v>
      </c>
      <c r="D788" t="s">
        <v>6185</v>
      </c>
      <c r="E788" s="2">
        <v>1</v>
      </c>
      <c r="F788" s="2" t="str">
        <f>_xlfn.XLOOKUP(C788,customers!$A$2:$A$1001,customers!$B$2:$B$1001,,0)</f>
        <v>Cam Jewster</v>
      </c>
      <c r="G788" s="2" t="str">
        <f>_xlfn.XLOOKUP(C788,customers!$A$2:$A$1001,customers!$G$2:$G$1001,,0)</f>
        <v>United States</v>
      </c>
      <c r="H788" t="str">
        <f>INDEX(products!$A$1:$G$49,MATCH(orders!$D788,products!$A$1:$A$49,0),MATCH(orders!H$1,products!$A$1:$G$1,0))</f>
        <v>Exc</v>
      </c>
      <c r="I788" t="str">
        <f>INDEX(products!$A$1:$G$49,MATCH(orders!$D788,products!$A$1:$A$49,0),MATCH(orders!I$1,products!$A$1:$G$1,0))</f>
        <v>D</v>
      </c>
      <c r="J788" s="5">
        <f>INDEX(products!$A$1:$G$49,MATCH(orders!$D788,products!$A$1:$A$49,0),MATCH(orders!J$1,products!$A$1:$G$1,0))</f>
        <v>2.5</v>
      </c>
      <c r="K788" s="6">
        <f>INDEX(products!$A$1:$G$49,MATCH(orders!$D788,products!$A$1:$A$49,0),MATCH(orders!K$1,products!$A$1:$G$1,0))</f>
        <v>27.945</v>
      </c>
      <c r="L788" s="6">
        <f>K788*E788</f>
        <v>27.945</v>
      </c>
      <c r="M788" t="str" cm="1">
        <f t="array" ref="M788">_xlfn.IFS(H788="Rob","Robusta",H788="Exc","Excelsa",H788="Ara","Arabica",H788="Lib","Liberica")</f>
        <v>Excelsa</v>
      </c>
      <c r="N788" t="str" cm="1">
        <f t="array" ref="N788">_xlfn.IFS(I788="M","Medium",I788="L","Light",I788="D","Dark")</f>
        <v>Dark</v>
      </c>
      <c r="O788" t="str">
        <f>_xlfn.XLOOKUP(Orders[[#This Row],[Customer ID]],customers!$A$2:$A$1001,customers!$I$2:$I$1001,,0)</f>
        <v>Yes</v>
      </c>
    </row>
    <row r="789" spans="1:15" x14ac:dyDescent="0.3">
      <c r="A789" s="2" t="s">
        <v>4938</v>
      </c>
      <c r="B789" s="3">
        <v>44305</v>
      </c>
      <c r="C789" s="2" t="s">
        <v>4939</v>
      </c>
      <c r="D789" t="s">
        <v>6141</v>
      </c>
      <c r="E789" s="2">
        <v>6</v>
      </c>
      <c r="F789" s="2" t="str">
        <f>_xlfn.XLOOKUP(C789,customers!$A$2:$A$1001,customers!$B$2:$B$1001,,0)</f>
        <v>Beryl Osborn</v>
      </c>
      <c r="G789" s="2" t="str">
        <f>_xlfn.XLOOKUP(C789,customers!$A$2:$A$1001,customers!$G$2:$G$1001,,0)</f>
        <v>United States</v>
      </c>
      <c r="H789" t="str">
        <f>INDEX(products!$A$1:$G$49,MATCH(orders!$D789,products!$A$1:$A$49,0),MATCH(orders!H$1,products!$A$1:$G$1,0))</f>
        <v>Exc</v>
      </c>
      <c r="I789" t="str">
        <f>INDEX(products!$A$1:$G$49,MATCH(orders!$D789,products!$A$1:$A$49,0),MATCH(orders!I$1,products!$A$1:$G$1,0))</f>
        <v>M</v>
      </c>
      <c r="J789" s="5">
        <f>INDEX(products!$A$1:$G$49,MATCH(orders!$D789,products!$A$1:$A$49,0),MATCH(orders!J$1,products!$A$1:$G$1,0))</f>
        <v>1</v>
      </c>
      <c r="K789" s="6">
        <f>INDEX(products!$A$1:$G$49,MATCH(orders!$D789,products!$A$1:$A$49,0),MATCH(orders!K$1,products!$A$1:$G$1,0))</f>
        <v>13.75</v>
      </c>
      <c r="L789" s="6">
        <f>K789*E789</f>
        <v>82.5</v>
      </c>
      <c r="M789" t="str" cm="1">
        <f t="array" ref="M789">_xlfn.IFS(H789="Rob","Robusta",H789="Exc","Excelsa",H789="Ara","Arabica",H789="Lib","Liberica")</f>
        <v>Excelsa</v>
      </c>
      <c r="N789" t="str" cm="1">
        <f t="array" ref="N789">_xlfn.IFS(I789="M","Medium",I789="L","Light",I789="D","Dark")</f>
        <v>Medium</v>
      </c>
      <c r="O789" t="str">
        <f>_xlfn.XLOOKUP(Orders[[#This Row],[Customer ID]],customers!$A$2:$A$1001,customers!$I$2:$I$1001,,0)</f>
        <v>Yes</v>
      </c>
    </row>
    <row r="790" spans="1:15" x14ac:dyDescent="0.3">
      <c r="A790" s="2" t="s">
        <v>4943</v>
      </c>
      <c r="B790" s="3">
        <v>44771</v>
      </c>
      <c r="C790" s="2" t="s">
        <v>4944</v>
      </c>
      <c r="D790" t="s">
        <v>6151</v>
      </c>
      <c r="E790" s="2">
        <v>2</v>
      </c>
      <c r="F790" s="2" t="str">
        <f>_xlfn.XLOOKUP(C790,customers!$A$2:$A$1001,customers!$B$2:$B$1001,,0)</f>
        <v>Kaela Nottram</v>
      </c>
      <c r="G790" s="2" t="str">
        <f>_xlfn.XLOOKUP(C790,customers!$A$2:$A$1001,customers!$G$2:$G$1001,,0)</f>
        <v>Ireland</v>
      </c>
      <c r="H790" t="str">
        <f>INDEX(products!$A$1:$G$49,MATCH(orders!$D790,products!$A$1:$A$49,0),MATCH(orders!H$1,products!$A$1:$G$1,0))</f>
        <v>Rob</v>
      </c>
      <c r="I790" t="str">
        <f>INDEX(products!$A$1:$G$49,MATCH(orders!$D790,products!$A$1:$A$49,0),MATCH(orders!I$1,products!$A$1:$G$1,0))</f>
        <v>M</v>
      </c>
      <c r="J790" s="5">
        <f>INDEX(products!$A$1:$G$49,MATCH(orders!$D790,products!$A$1:$A$49,0),MATCH(orders!J$1,products!$A$1:$G$1,0))</f>
        <v>2.5</v>
      </c>
      <c r="K790" s="6">
        <f>INDEX(products!$A$1:$G$49,MATCH(orders!$D790,products!$A$1:$A$49,0),MATCH(orders!K$1,products!$A$1:$G$1,0))</f>
        <v>22.884999999999998</v>
      </c>
      <c r="L790" s="6">
        <f>K790*E790</f>
        <v>45.769999999999996</v>
      </c>
      <c r="M790" t="str" cm="1">
        <f t="array" ref="M790">_xlfn.IFS(H790="Rob","Robusta",H790="Exc","Excelsa",H790="Ara","Arabica",H790="Lib","Liberica")</f>
        <v>Robusta</v>
      </c>
      <c r="N790" t="str" cm="1">
        <f t="array" ref="N790">_xlfn.IFS(I790="M","Medium",I790="L","Light",I790="D","Dark")</f>
        <v>Medium</v>
      </c>
      <c r="O790" t="str">
        <f>_xlfn.XLOOKUP(Orders[[#This Row],[Customer ID]],customers!$A$2:$A$1001,customers!$I$2:$I$1001,,0)</f>
        <v>Yes</v>
      </c>
    </row>
    <row r="791" spans="1:15" x14ac:dyDescent="0.3">
      <c r="A791" s="2" t="s">
        <v>4949</v>
      </c>
      <c r="B791" s="3">
        <v>43485</v>
      </c>
      <c r="C791" s="2" t="s">
        <v>4950</v>
      </c>
      <c r="D791" t="s">
        <v>6140</v>
      </c>
      <c r="E791" s="2">
        <v>6</v>
      </c>
      <c r="F791" s="2" t="str">
        <f>_xlfn.XLOOKUP(C791,customers!$A$2:$A$1001,customers!$B$2:$B$1001,,0)</f>
        <v>Nobe Buney</v>
      </c>
      <c r="G791" s="2" t="str">
        <f>_xlfn.XLOOKUP(C791,customers!$A$2:$A$1001,customers!$G$2:$G$1001,,0)</f>
        <v>United States</v>
      </c>
      <c r="H791" t="str">
        <f>INDEX(products!$A$1:$G$49,MATCH(orders!$D791,products!$A$1:$A$49,0),MATCH(orders!H$1,products!$A$1:$G$1,0))</f>
        <v>Ara</v>
      </c>
      <c r="I791" t="str">
        <f>INDEX(products!$A$1:$G$49,MATCH(orders!$D791,products!$A$1:$A$49,0),MATCH(orders!I$1,products!$A$1:$G$1,0))</f>
        <v>L</v>
      </c>
      <c r="J791" s="5">
        <f>INDEX(products!$A$1:$G$49,MATCH(orders!$D791,products!$A$1:$A$49,0),MATCH(orders!J$1,products!$A$1:$G$1,0))</f>
        <v>1</v>
      </c>
      <c r="K791" s="6">
        <f>INDEX(products!$A$1:$G$49,MATCH(orders!$D791,products!$A$1:$A$49,0),MATCH(orders!K$1,products!$A$1:$G$1,0))</f>
        <v>12.95</v>
      </c>
      <c r="L791" s="6">
        <f>K791*E791</f>
        <v>77.699999999999989</v>
      </c>
      <c r="M791" t="str" cm="1">
        <f t="array" ref="M791">_xlfn.IFS(H791="Rob","Robusta",H791="Exc","Excelsa",H791="Ara","Arabica",H791="Lib","Liberica")</f>
        <v>Arabica</v>
      </c>
      <c r="N791" t="str" cm="1">
        <f t="array" ref="N791">_xlfn.IFS(I791="M","Medium",I791="L","Light",I791="D","Dark")</f>
        <v>Light</v>
      </c>
      <c r="O791" t="str">
        <f>_xlfn.XLOOKUP(Orders[[#This Row],[Customer ID]],customers!$A$2:$A$1001,customers!$I$2:$I$1001,,0)</f>
        <v>No</v>
      </c>
    </row>
    <row r="792" spans="1:15" x14ac:dyDescent="0.3">
      <c r="A792" s="2" t="s">
        <v>4955</v>
      </c>
      <c r="B792" s="3">
        <v>44613</v>
      </c>
      <c r="C792" s="2" t="s">
        <v>4956</v>
      </c>
      <c r="D792" t="s">
        <v>6180</v>
      </c>
      <c r="E792" s="2">
        <v>3</v>
      </c>
      <c r="F792" s="2" t="str">
        <f>_xlfn.XLOOKUP(C792,customers!$A$2:$A$1001,customers!$B$2:$B$1001,,0)</f>
        <v>Silvan McShea</v>
      </c>
      <c r="G792" s="2" t="str">
        <f>_xlfn.XLOOKUP(C792,customers!$A$2:$A$1001,customers!$G$2:$G$1001,,0)</f>
        <v>United States</v>
      </c>
      <c r="H792" t="str">
        <f>INDEX(products!$A$1:$G$49,MATCH(orders!$D792,products!$A$1:$A$49,0),MATCH(orders!H$1,products!$A$1:$G$1,0))</f>
        <v>Ara</v>
      </c>
      <c r="I792" t="str">
        <f>INDEX(products!$A$1:$G$49,MATCH(orders!$D792,products!$A$1:$A$49,0),MATCH(orders!I$1,products!$A$1:$G$1,0))</f>
        <v>L</v>
      </c>
      <c r="J792" s="5">
        <f>INDEX(products!$A$1:$G$49,MATCH(orders!$D792,products!$A$1:$A$49,0),MATCH(orders!J$1,products!$A$1:$G$1,0))</f>
        <v>0.5</v>
      </c>
      <c r="K792" s="6">
        <f>INDEX(products!$A$1:$G$49,MATCH(orders!$D792,products!$A$1:$A$49,0),MATCH(orders!K$1,products!$A$1:$G$1,0))</f>
        <v>7.77</v>
      </c>
      <c r="L792" s="6">
        <f>K792*E792</f>
        <v>23.31</v>
      </c>
      <c r="M792" t="str" cm="1">
        <f t="array" ref="M792">_xlfn.IFS(H792="Rob","Robusta",H792="Exc","Excelsa",H792="Ara","Arabica",H792="Lib","Liberica")</f>
        <v>Arabica</v>
      </c>
      <c r="N792" t="str" cm="1">
        <f t="array" ref="N792">_xlfn.IFS(I792="M","Medium",I792="L","Light",I792="D","Dark")</f>
        <v>Light</v>
      </c>
      <c r="O792" t="str">
        <f>_xlfn.XLOOKUP(Orders[[#This Row],[Customer ID]],customers!$A$2:$A$1001,customers!$I$2:$I$1001,,0)</f>
        <v>No</v>
      </c>
    </row>
    <row r="793" spans="1:15" x14ac:dyDescent="0.3">
      <c r="A793" s="2" t="s">
        <v>4961</v>
      </c>
      <c r="B793" s="3">
        <v>43954</v>
      </c>
      <c r="C793" s="2" t="s">
        <v>4962</v>
      </c>
      <c r="D793" t="s">
        <v>6145</v>
      </c>
      <c r="E793" s="2">
        <v>5</v>
      </c>
      <c r="F793" s="2" t="str">
        <f>_xlfn.XLOOKUP(C793,customers!$A$2:$A$1001,customers!$B$2:$B$1001,,0)</f>
        <v>Karylin Huddart</v>
      </c>
      <c r="G793" s="2" t="str">
        <f>_xlfn.XLOOKUP(C793,customers!$A$2:$A$1001,customers!$G$2:$G$1001,,0)</f>
        <v>United States</v>
      </c>
      <c r="H793" t="str">
        <f>INDEX(products!$A$1:$G$49,MATCH(orders!$D793,products!$A$1:$A$49,0),MATCH(orders!H$1,products!$A$1:$G$1,0))</f>
        <v>Lib</v>
      </c>
      <c r="I793" t="str">
        <f>INDEX(products!$A$1:$G$49,MATCH(orders!$D793,products!$A$1:$A$49,0),MATCH(orders!I$1,products!$A$1:$G$1,0))</f>
        <v>L</v>
      </c>
      <c r="J793" s="5">
        <f>INDEX(products!$A$1:$G$49,MATCH(orders!$D793,products!$A$1:$A$49,0),MATCH(orders!J$1,products!$A$1:$G$1,0))</f>
        <v>0.2</v>
      </c>
      <c r="K793" s="6">
        <f>INDEX(products!$A$1:$G$49,MATCH(orders!$D793,products!$A$1:$A$49,0),MATCH(orders!K$1,products!$A$1:$G$1,0))</f>
        <v>4.7549999999999999</v>
      </c>
      <c r="L793" s="6">
        <f>K793*E793</f>
        <v>23.774999999999999</v>
      </c>
      <c r="M793" t="str" cm="1">
        <f t="array" ref="M793">_xlfn.IFS(H793="Rob","Robusta",H793="Exc","Excelsa",H793="Ara","Arabica",H793="Lib","Liberica")</f>
        <v>Liberica</v>
      </c>
      <c r="N793" t="str" cm="1">
        <f t="array" ref="N793">_xlfn.IFS(I793="M","Medium",I793="L","Light",I793="D","Dark")</f>
        <v>Light</v>
      </c>
      <c r="O793" t="str">
        <f>_xlfn.XLOOKUP(Orders[[#This Row],[Customer ID]],customers!$A$2:$A$1001,customers!$I$2:$I$1001,,0)</f>
        <v>Yes</v>
      </c>
    </row>
    <row r="794" spans="1:15" x14ac:dyDescent="0.3">
      <c r="A794" s="2" t="s">
        <v>4967</v>
      </c>
      <c r="B794" s="3">
        <v>43545</v>
      </c>
      <c r="C794" s="2" t="s">
        <v>4968</v>
      </c>
      <c r="D794" t="s">
        <v>6160</v>
      </c>
      <c r="E794" s="2">
        <v>6</v>
      </c>
      <c r="F794" s="2" t="str">
        <f>_xlfn.XLOOKUP(C794,customers!$A$2:$A$1001,customers!$B$2:$B$1001,,0)</f>
        <v>Jereme Gippes</v>
      </c>
      <c r="G794" s="2" t="str">
        <f>_xlfn.XLOOKUP(C794,customers!$A$2:$A$1001,customers!$G$2:$G$1001,,0)</f>
        <v>United Kingdom</v>
      </c>
      <c r="H794" t="str">
        <f>INDEX(products!$A$1:$G$49,MATCH(orders!$D794,products!$A$1:$A$49,0),MATCH(orders!H$1,products!$A$1:$G$1,0))</f>
        <v>Lib</v>
      </c>
      <c r="I794" t="str">
        <f>INDEX(products!$A$1:$G$49,MATCH(orders!$D794,products!$A$1:$A$49,0),MATCH(orders!I$1,products!$A$1:$G$1,0))</f>
        <v>M</v>
      </c>
      <c r="J794" s="5">
        <f>INDEX(products!$A$1:$G$49,MATCH(orders!$D794,products!$A$1:$A$49,0),MATCH(orders!J$1,products!$A$1:$G$1,0))</f>
        <v>0.5</v>
      </c>
      <c r="K794" s="6">
        <f>INDEX(products!$A$1:$G$49,MATCH(orders!$D794,products!$A$1:$A$49,0),MATCH(orders!K$1,products!$A$1:$G$1,0))</f>
        <v>8.73</v>
      </c>
      <c r="L794" s="6">
        <f>K794*E794</f>
        <v>52.38</v>
      </c>
      <c r="M794" t="str" cm="1">
        <f t="array" ref="M794">_xlfn.IFS(H794="Rob","Robusta",H794="Exc","Excelsa",H794="Ara","Arabica",H794="Lib","Liberica")</f>
        <v>Liberica</v>
      </c>
      <c r="N794" t="str" cm="1">
        <f t="array" ref="N794">_xlfn.IFS(I794="M","Medium",I794="L","Light",I794="D","Dark")</f>
        <v>Medium</v>
      </c>
      <c r="O794" t="str">
        <f>_xlfn.XLOOKUP(Orders[[#This Row],[Customer ID]],customers!$A$2:$A$1001,customers!$I$2:$I$1001,,0)</f>
        <v>Yes</v>
      </c>
    </row>
    <row r="795" spans="1:15" x14ac:dyDescent="0.3">
      <c r="A795" s="2" t="s">
        <v>4973</v>
      </c>
      <c r="B795" s="3">
        <v>43629</v>
      </c>
      <c r="C795" s="2" t="s">
        <v>4974</v>
      </c>
      <c r="D795" t="s">
        <v>6178</v>
      </c>
      <c r="E795" s="2">
        <v>5</v>
      </c>
      <c r="F795" s="2" t="str">
        <f>_xlfn.XLOOKUP(C795,customers!$A$2:$A$1001,customers!$B$2:$B$1001,,0)</f>
        <v>Lukas Whittlesee</v>
      </c>
      <c r="G795" s="2" t="str">
        <f>_xlfn.XLOOKUP(C795,customers!$A$2:$A$1001,customers!$G$2:$G$1001,,0)</f>
        <v>United States</v>
      </c>
      <c r="H795" t="str">
        <f>INDEX(products!$A$1:$G$49,MATCH(orders!$D795,products!$A$1:$A$49,0),MATCH(orders!H$1,products!$A$1:$G$1,0))</f>
        <v>Rob</v>
      </c>
      <c r="I795" t="str">
        <f>INDEX(products!$A$1:$G$49,MATCH(orders!$D795,products!$A$1:$A$49,0),MATCH(orders!I$1,products!$A$1:$G$1,0))</f>
        <v>L</v>
      </c>
      <c r="J795" s="5">
        <f>INDEX(products!$A$1:$G$49,MATCH(orders!$D795,products!$A$1:$A$49,0),MATCH(orders!J$1,products!$A$1:$G$1,0))</f>
        <v>0.2</v>
      </c>
      <c r="K795" s="6">
        <f>INDEX(products!$A$1:$G$49,MATCH(orders!$D795,products!$A$1:$A$49,0),MATCH(orders!K$1,products!$A$1:$G$1,0))</f>
        <v>3.5849999999999995</v>
      </c>
      <c r="L795" s="6">
        <f>K795*E795</f>
        <v>17.924999999999997</v>
      </c>
      <c r="M795" t="str" cm="1">
        <f t="array" ref="M795">_xlfn.IFS(H795="Rob","Robusta",H795="Exc","Excelsa",H795="Ara","Arabica",H795="Lib","Liberica")</f>
        <v>Robusta</v>
      </c>
      <c r="N795" t="str" cm="1">
        <f t="array" ref="N795">_xlfn.IFS(I795="M","Medium",I795="L","Light",I795="D","Dark")</f>
        <v>Light</v>
      </c>
      <c r="O795" t="str">
        <f>_xlfn.XLOOKUP(Orders[[#This Row],[Customer ID]],customers!$A$2:$A$1001,customers!$I$2:$I$1001,,0)</f>
        <v>No</v>
      </c>
    </row>
    <row r="796" spans="1:15" x14ac:dyDescent="0.3">
      <c r="A796" s="2" t="s">
        <v>4979</v>
      </c>
      <c r="B796" s="3">
        <v>43987</v>
      </c>
      <c r="C796" s="2" t="s">
        <v>4980</v>
      </c>
      <c r="D796" t="s">
        <v>6182</v>
      </c>
      <c r="E796" s="2">
        <v>5</v>
      </c>
      <c r="F796" s="2" t="str">
        <f>_xlfn.XLOOKUP(C796,customers!$A$2:$A$1001,customers!$B$2:$B$1001,,0)</f>
        <v>Gregorius Trengrove</v>
      </c>
      <c r="G796" s="2" t="str">
        <f>_xlfn.XLOOKUP(C796,customers!$A$2:$A$1001,customers!$G$2:$G$1001,,0)</f>
        <v>United States</v>
      </c>
      <c r="H796" t="str">
        <f>INDEX(products!$A$1:$G$49,MATCH(orders!$D796,products!$A$1:$A$49,0),MATCH(orders!H$1,products!$A$1:$G$1,0))</f>
        <v>Ara</v>
      </c>
      <c r="I796" t="str">
        <f>INDEX(products!$A$1:$G$49,MATCH(orders!$D796,products!$A$1:$A$49,0),MATCH(orders!I$1,products!$A$1:$G$1,0))</f>
        <v>L</v>
      </c>
      <c r="J796" s="5">
        <f>INDEX(products!$A$1:$G$49,MATCH(orders!$D796,products!$A$1:$A$49,0),MATCH(orders!J$1,products!$A$1:$G$1,0))</f>
        <v>2.5</v>
      </c>
      <c r="K796" s="6">
        <f>INDEX(products!$A$1:$G$49,MATCH(orders!$D796,products!$A$1:$A$49,0),MATCH(orders!K$1,products!$A$1:$G$1,0))</f>
        <v>29.784999999999997</v>
      </c>
      <c r="L796" s="6">
        <f>K796*E796</f>
        <v>148.92499999999998</v>
      </c>
      <c r="M796" t="str" cm="1">
        <f t="array" ref="M796">_xlfn.IFS(H796="Rob","Robusta",H796="Exc","Excelsa",H796="Ara","Arabica",H796="Lib","Liberica")</f>
        <v>Arabica</v>
      </c>
      <c r="N796" t="str" cm="1">
        <f t="array" ref="N796">_xlfn.IFS(I796="M","Medium",I796="L","Light",I796="D","Dark")</f>
        <v>Light</v>
      </c>
      <c r="O796" t="str">
        <f>_xlfn.XLOOKUP(Orders[[#This Row],[Customer ID]],customers!$A$2:$A$1001,customers!$I$2:$I$1001,,0)</f>
        <v>No</v>
      </c>
    </row>
    <row r="797" spans="1:15" x14ac:dyDescent="0.3">
      <c r="A797" s="2" t="s">
        <v>4985</v>
      </c>
      <c r="B797" s="3">
        <v>43540</v>
      </c>
      <c r="C797" s="2" t="s">
        <v>4986</v>
      </c>
      <c r="D797" t="s">
        <v>6173</v>
      </c>
      <c r="E797" s="2">
        <v>4</v>
      </c>
      <c r="F797" s="2" t="str">
        <f>_xlfn.XLOOKUP(C797,customers!$A$2:$A$1001,customers!$B$2:$B$1001,,0)</f>
        <v>Wright Caldero</v>
      </c>
      <c r="G797" s="2" t="str">
        <f>_xlfn.XLOOKUP(C797,customers!$A$2:$A$1001,customers!$G$2:$G$1001,,0)</f>
        <v>United States</v>
      </c>
      <c r="H797" t="str">
        <f>INDEX(products!$A$1:$G$49,MATCH(orders!$D797,products!$A$1:$A$49,0),MATCH(orders!H$1,products!$A$1:$G$1,0))</f>
        <v>Rob</v>
      </c>
      <c r="I797" t="str">
        <f>INDEX(products!$A$1:$G$49,MATCH(orders!$D797,products!$A$1:$A$49,0),MATCH(orders!I$1,products!$A$1:$G$1,0))</f>
        <v>L</v>
      </c>
      <c r="J797" s="5">
        <f>INDEX(products!$A$1:$G$49,MATCH(orders!$D797,products!$A$1:$A$49,0),MATCH(orders!J$1,products!$A$1:$G$1,0))</f>
        <v>0.5</v>
      </c>
      <c r="K797" s="6">
        <f>INDEX(products!$A$1:$G$49,MATCH(orders!$D797,products!$A$1:$A$49,0),MATCH(orders!K$1,products!$A$1:$G$1,0))</f>
        <v>7.169999999999999</v>
      </c>
      <c r="L797" s="6">
        <f>K797*E797</f>
        <v>28.679999999999996</v>
      </c>
      <c r="M797" t="str" cm="1">
        <f t="array" ref="M797">_xlfn.IFS(H797="Rob","Robusta",H797="Exc","Excelsa",H797="Ara","Arabica",H797="Lib","Liberica")</f>
        <v>Robusta</v>
      </c>
      <c r="N797" t="str" cm="1">
        <f t="array" ref="N797">_xlfn.IFS(I797="M","Medium",I797="L","Light",I797="D","Dark")</f>
        <v>Light</v>
      </c>
      <c r="O797" t="str">
        <f>_xlfn.XLOOKUP(Orders[[#This Row],[Customer ID]],customers!$A$2:$A$1001,customers!$I$2:$I$1001,,0)</f>
        <v>No</v>
      </c>
    </row>
    <row r="798" spans="1:15" x14ac:dyDescent="0.3">
      <c r="A798" s="2" t="s">
        <v>4991</v>
      </c>
      <c r="B798" s="3">
        <v>44533</v>
      </c>
      <c r="C798" s="2" t="s">
        <v>4992</v>
      </c>
      <c r="D798" t="s">
        <v>6161</v>
      </c>
      <c r="E798" s="2">
        <v>1</v>
      </c>
      <c r="F798" s="2" t="str">
        <f>_xlfn.XLOOKUP(C798,customers!$A$2:$A$1001,customers!$B$2:$B$1001,,0)</f>
        <v>Merell Zanazzi</v>
      </c>
      <c r="G798" s="2" t="str">
        <f>_xlfn.XLOOKUP(C798,customers!$A$2:$A$1001,customers!$G$2:$G$1001,,0)</f>
        <v>United States</v>
      </c>
      <c r="H798" t="str">
        <f>INDEX(products!$A$1:$G$49,MATCH(orders!$D798,products!$A$1:$A$49,0),MATCH(orders!H$1,products!$A$1:$G$1,0))</f>
        <v>Lib</v>
      </c>
      <c r="I798" t="str">
        <f>INDEX(products!$A$1:$G$49,MATCH(orders!$D798,products!$A$1:$A$49,0),MATCH(orders!I$1,products!$A$1:$G$1,0))</f>
        <v>L</v>
      </c>
      <c r="J798" s="5">
        <f>INDEX(products!$A$1:$G$49,MATCH(orders!$D798,products!$A$1:$A$49,0),MATCH(orders!J$1,products!$A$1:$G$1,0))</f>
        <v>0.5</v>
      </c>
      <c r="K798" s="6">
        <f>INDEX(products!$A$1:$G$49,MATCH(orders!$D798,products!$A$1:$A$49,0),MATCH(orders!K$1,products!$A$1:$G$1,0))</f>
        <v>9.51</v>
      </c>
      <c r="L798" s="6">
        <f>K798*E798</f>
        <v>9.51</v>
      </c>
      <c r="M798" t="str" cm="1">
        <f t="array" ref="M798">_xlfn.IFS(H798="Rob","Robusta",H798="Exc","Excelsa",H798="Ara","Arabica",H798="Lib","Liberica")</f>
        <v>Liberica</v>
      </c>
      <c r="N798" t="str" cm="1">
        <f t="array" ref="N798">_xlfn.IFS(I798="M","Medium",I798="L","Light",I798="D","Dark")</f>
        <v>Light</v>
      </c>
      <c r="O798" t="str">
        <f>_xlfn.XLOOKUP(Orders[[#This Row],[Customer ID]],customers!$A$2:$A$1001,customers!$I$2:$I$1001,,0)</f>
        <v>No</v>
      </c>
    </row>
    <row r="799" spans="1:15" x14ac:dyDescent="0.3">
      <c r="A799" s="2" t="s">
        <v>4996</v>
      </c>
      <c r="B799" s="3">
        <v>44751</v>
      </c>
      <c r="C799" s="2" t="s">
        <v>4997</v>
      </c>
      <c r="D799" t="s">
        <v>6180</v>
      </c>
      <c r="E799" s="2">
        <v>4</v>
      </c>
      <c r="F799" s="2" t="str">
        <f>_xlfn.XLOOKUP(C799,customers!$A$2:$A$1001,customers!$B$2:$B$1001,,0)</f>
        <v>Jed Kennicott</v>
      </c>
      <c r="G799" s="2" t="str">
        <f>_xlfn.XLOOKUP(C799,customers!$A$2:$A$1001,customers!$G$2:$G$1001,,0)</f>
        <v>United States</v>
      </c>
      <c r="H799" t="str">
        <f>INDEX(products!$A$1:$G$49,MATCH(orders!$D799,products!$A$1:$A$49,0),MATCH(orders!H$1,products!$A$1:$G$1,0))</f>
        <v>Ara</v>
      </c>
      <c r="I799" t="str">
        <f>INDEX(products!$A$1:$G$49,MATCH(orders!$D799,products!$A$1:$A$49,0),MATCH(orders!I$1,products!$A$1:$G$1,0))</f>
        <v>L</v>
      </c>
      <c r="J799" s="5">
        <f>INDEX(products!$A$1:$G$49,MATCH(orders!$D799,products!$A$1:$A$49,0),MATCH(orders!J$1,products!$A$1:$G$1,0))</f>
        <v>0.5</v>
      </c>
      <c r="K799" s="6">
        <f>INDEX(products!$A$1:$G$49,MATCH(orders!$D799,products!$A$1:$A$49,0),MATCH(orders!K$1,products!$A$1:$G$1,0))</f>
        <v>7.77</v>
      </c>
      <c r="L799" s="6">
        <f>K799*E799</f>
        <v>31.08</v>
      </c>
      <c r="M799" t="str" cm="1">
        <f t="array" ref="M799">_xlfn.IFS(H799="Rob","Robusta",H799="Exc","Excelsa",H799="Ara","Arabica",H799="Lib","Liberica")</f>
        <v>Arabica</v>
      </c>
      <c r="N799" t="str" cm="1">
        <f t="array" ref="N799">_xlfn.IFS(I799="M","Medium",I799="L","Light",I799="D","Dark")</f>
        <v>Light</v>
      </c>
      <c r="O799" t="str">
        <f>_xlfn.XLOOKUP(Orders[[#This Row],[Customer ID]],customers!$A$2:$A$1001,customers!$I$2:$I$1001,,0)</f>
        <v>No</v>
      </c>
    </row>
    <row r="800" spans="1:15" x14ac:dyDescent="0.3">
      <c r="A800" s="2" t="s">
        <v>5002</v>
      </c>
      <c r="B800" s="3">
        <v>43950</v>
      </c>
      <c r="C800" s="2" t="s">
        <v>5003</v>
      </c>
      <c r="D800" t="s">
        <v>6163</v>
      </c>
      <c r="E800" s="2">
        <v>3</v>
      </c>
      <c r="F800" s="2" t="str">
        <f>_xlfn.XLOOKUP(C800,customers!$A$2:$A$1001,customers!$B$2:$B$1001,,0)</f>
        <v>Guenevere Ruggen</v>
      </c>
      <c r="G800" s="2" t="str">
        <f>_xlfn.XLOOKUP(C800,customers!$A$2:$A$1001,customers!$G$2:$G$1001,,0)</f>
        <v>United States</v>
      </c>
      <c r="H800" t="str">
        <f>INDEX(products!$A$1:$G$49,MATCH(orders!$D800,products!$A$1:$A$49,0),MATCH(orders!H$1,products!$A$1:$G$1,0))</f>
        <v>Rob</v>
      </c>
      <c r="I800" t="str">
        <f>INDEX(products!$A$1:$G$49,MATCH(orders!$D800,products!$A$1:$A$49,0),MATCH(orders!I$1,products!$A$1:$G$1,0))</f>
        <v>D</v>
      </c>
      <c r="J800" s="5">
        <f>INDEX(products!$A$1:$G$49,MATCH(orders!$D800,products!$A$1:$A$49,0),MATCH(orders!J$1,products!$A$1:$G$1,0))</f>
        <v>0.2</v>
      </c>
      <c r="K800" s="6">
        <f>INDEX(products!$A$1:$G$49,MATCH(orders!$D800,products!$A$1:$A$49,0),MATCH(orders!K$1,products!$A$1:$G$1,0))</f>
        <v>2.6849999999999996</v>
      </c>
      <c r="L800" s="6">
        <f>K800*E800</f>
        <v>8.0549999999999997</v>
      </c>
      <c r="M800" t="str" cm="1">
        <f t="array" ref="M800">_xlfn.IFS(H800="Rob","Robusta",H800="Exc","Excelsa",H800="Ara","Arabica",H800="Lib","Liberica")</f>
        <v>Robusta</v>
      </c>
      <c r="N800" t="str" cm="1">
        <f t="array" ref="N800">_xlfn.IFS(I800="M","Medium",I800="L","Light",I800="D","Dark")</f>
        <v>Dark</v>
      </c>
      <c r="O800" t="str">
        <f>_xlfn.XLOOKUP(Orders[[#This Row],[Customer ID]],customers!$A$2:$A$1001,customers!$I$2:$I$1001,,0)</f>
        <v>Yes</v>
      </c>
    </row>
    <row r="801" spans="1:15" x14ac:dyDescent="0.3">
      <c r="A801" s="2" t="s">
        <v>5008</v>
      </c>
      <c r="B801" s="3">
        <v>44588</v>
      </c>
      <c r="C801" s="2" t="s">
        <v>5009</v>
      </c>
      <c r="D801" t="s">
        <v>6183</v>
      </c>
      <c r="E801" s="2">
        <v>3</v>
      </c>
      <c r="F801" s="2" t="str">
        <f>_xlfn.XLOOKUP(C801,customers!$A$2:$A$1001,customers!$B$2:$B$1001,,0)</f>
        <v>Gonzales Cicculi</v>
      </c>
      <c r="G801" s="2" t="str">
        <f>_xlfn.XLOOKUP(C801,customers!$A$2:$A$1001,customers!$G$2:$G$1001,,0)</f>
        <v>United States</v>
      </c>
      <c r="H801" t="str">
        <f>INDEX(products!$A$1:$G$49,MATCH(orders!$D801,products!$A$1:$A$49,0),MATCH(orders!H$1,products!$A$1:$G$1,0))</f>
        <v>Exc</v>
      </c>
      <c r="I801" t="str">
        <f>INDEX(products!$A$1:$G$49,MATCH(orders!$D801,products!$A$1:$A$49,0),MATCH(orders!I$1,products!$A$1:$G$1,0))</f>
        <v>D</v>
      </c>
      <c r="J801" s="5">
        <f>INDEX(products!$A$1:$G$49,MATCH(orders!$D801,products!$A$1:$A$49,0),MATCH(orders!J$1,products!$A$1:$G$1,0))</f>
        <v>1</v>
      </c>
      <c r="K801" s="6">
        <f>INDEX(products!$A$1:$G$49,MATCH(orders!$D801,products!$A$1:$A$49,0),MATCH(orders!K$1,products!$A$1:$G$1,0))</f>
        <v>12.15</v>
      </c>
      <c r="L801" s="6">
        <f>K801*E801</f>
        <v>36.450000000000003</v>
      </c>
      <c r="M801" t="str" cm="1">
        <f t="array" ref="M801">_xlfn.IFS(H801="Rob","Robusta",H801="Exc","Excelsa",H801="Ara","Arabica",H801="Lib","Liberica")</f>
        <v>Excelsa</v>
      </c>
      <c r="N801" t="str" cm="1">
        <f t="array" ref="N801">_xlfn.IFS(I801="M","Medium",I801="L","Light",I801="D","Dark")</f>
        <v>Dark</v>
      </c>
      <c r="O801" t="str">
        <f>_xlfn.XLOOKUP(Orders[[#This Row],[Customer ID]],customers!$A$2:$A$1001,customers!$I$2:$I$1001,,0)</f>
        <v>Yes</v>
      </c>
    </row>
    <row r="802" spans="1:15" x14ac:dyDescent="0.3">
      <c r="A802" s="2" t="s">
        <v>5012</v>
      </c>
      <c r="B802" s="3">
        <v>44240</v>
      </c>
      <c r="C802" s="2" t="s">
        <v>5013</v>
      </c>
      <c r="D802" t="s">
        <v>6163</v>
      </c>
      <c r="E802" s="2">
        <v>6</v>
      </c>
      <c r="F802" s="2" t="str">
        <f>_xlfn.XLOOKUP(C802,customers!$A$2:$A$1001,customers!$B$2:$B$1001,,0)</f>
        <v>Man Fright</v>
      </c>
      <c r="G802" s="2" t="str">
        <f>_xlfn.XLOOKUP(C802,customers!$A$2:$A$1001,customers!$G$2:$G$1001,,0)</f>
        <v>Ireland</v>
      </c>
      <c r="H802" t="str">
        <f>INDEX(products!$A$1:$G$49,MATCH(orders!$D802,products!$A$1:$A$49,0),MATCH(orders!H$1,products!$A$1:$G$1,0))</f>
        <v>Rob</v>
      </c>
      <c r="I802" t="str">
        <f>INDEX(products!$A$1:$G$49,MATCH(orders!$D802,products!$A$1:$A$49,0),MATCH(orders!I$1,products!$A$1:$G$1,0))</f>
        <v>D</v>
      </c>
      <c r="J802" s="5">
        <f>INDEX(products!$A$1:$G$49,MATCH(orders!$D802,products!$A$1:$A$49,0),MATCH(orders!J$1,products!$A$1:$G$1,0))</f>
        <v>0.2</v>
      </c>
      <c r="K802" s="6">
        <f>INDEX(products!$A$1:$G$49,MATCH(orders!$D802,products!$A$1:$A$49,0),MATCH(orders!K$1,products!$A$1:$G$1,0))</f>
        <v>2.6849999999999996</v>
      </c>
      <c r="L802" s="6">
        <f>K802*E802</f>
        <v>16.11</v>
      </c>
      <c r="M802" t="str" cm="1">
        <f t="array" ref="M802">_xlfn.IFS(H802="Rob","Robusta",H802="Exc","Excelsa",H802="Ara","Arabica",H802="Lib","Liberica")</f>
        <v>Robusta</v>
      </c>
      <c r="N802" t="str" cm="1">
        <f t="array" ref="N802">_xlfn.IFS(I802="M","Medium",I802="L","Light",I802="D","Dark")</f>
        <v>Dark</v>
      </c>
      <c r="O802" t="str">
        <f>_xlfn.XLOOKUP(Orders[[#This Row],[Customer ID]],customers!$A$2:$A$1001,customers!$I$2:$I$1001,,0)</f>
        <v>No</v>
      </c>
    </row>
    <row r="803" spans="1:15" x14ac:dyDescent="0.3">
      <c r="A803" s="2" t="s">
        <v>5018</v>
      </c>
      <c r="B803" s="3">
        <v>44025</v>
      </c>
      <c r="C803" s="2" t="s">
        <v>5019</v>
      </c>
      <c r="D803" t="s">
        <v>6149</v>
      </c>
      <c r="E803" s="2">
        <v>2</v>
      </c>
      <c r="F803" s="2" t="str">
        <f>_xlfn.XLOOKUP(C803,customers!$A$2:$A$1001,customers!$B$2:$B$1001,,0)</f>
        <v>Boyce Tarte</v>
      </c>
      <c r="G803" s="2" t="str">
        <f>_xlfn.XLOOKUP(C803,customers!$A$2:$A$1001,customers!$G$2:$G$1001,,0)</f>
        <v>United States</v>
      </c>
      <c r="H803" t="str">
        <f>INDEX(products!$A$1:$G$49,MATCH(orders!$D803,products!$A$1:$A$49,0),MATCH(orders!H$1,products!$A$1:$G$1,0))</f>
        <v>Rob</v>
      </c>
      <c r="I803" t="str">
        <f>INDEX(products!$A$1:$G$49,MATCH(orders!$D803,products!$A$1:$A$49,0),MATCH(orders!I$1,products!$A$1:$G$1,0))</f>
        <v>D</v>
      </c>
      <c r="J803" s="5">
        <f>INDEX(products!$A$1:$G$49,MATCH(orders!$D803,products!$A$1:$A$49,0),MATCH(orders!J$1,products!$A$1:$G$1,0))</f>
        <v>2.5</v>
      </c>
      <c r="K803" s="6">
        <f>INDEX(products!$A$1:$G$49,MATCH(orders!$D803,products!$A$1:$A$49,0),MATCH(orders!K$1,products!$A$1:$G$1,0))</f>
        <v>20.584999999999997</v>
      </c>
      <c r="L803" s="6">
        <f>K803*E803</f>
        <v>41.169999999999995</v>
      </c>
      <c r="M803" t="str" cm="1">
        <f t="array" ref="M803">_xlfn.IFS(H803="Rob","Robusta",H803="Exc","Excelsa",H803="Ara","Arabica",H803="Lib","Liberica")</f>
        <v>Robusta</v>
      </c>
      <c r="N803" t="str" cm="1">
        <f t="array" ref="N803">_xlfn.IFS(I803="M","Medium",I803="L","Light",I803="D","Dark")</f>
        <v>Dark</v>
      </c>
      <c r="O803" t="str">
        <f>_xlfn.XLOOKUP(Orders[[#This Row],[Customer ID]],customers!$A$2:$A$1001,customers!$I$2:$I$1001,,0)</f>
        <v>Yes</v>
      </c>
    </row>
    <row r="804" spans="1:15" x14ac:dyDescent="0.3">
      <c r="A804" s="2" t="s">
        <v>5024</v>
      </c>
      <c r="B804" s="3">
        <v>43902</v>
      </c>
      <c r="C804" s="2" t="s">
        <v>5025</v>
      </c>
      <c r="D804" t="s">
        <v>6163</v>
      </c>
      <c r="E804" s="2">
        <v>4</v>
      </c>
      <c r="F804" s="2" t="str">
        <f>_xlfn.XLOOKUP(C804,customers!$A$2:$A$1001,customers!$B$2:$B$1001,,0)</f>
        <v>Caddric Krzysztofiak</v>
      </c>
      <c r="G804" s="2" t="str">
        <f>_xlfn.XLOOKUP(C804,customers!$A$2:$A$1001,customers!$G$2:$G$1001,,0)</f>
        <v>United States</v>
      </c>
      <c r="H804" t="str">
        <f>INDEX(products!$A$1:$G$49,MATCH(orders!$D804,products!$A$1:$A$49,0),MATCH(orders!H$1,products!$A$1:$G$1,0))</f>
        <v>Rob</v>
      </c>
      <c r="I804" t="str">
        <f>INDEX(products!$A$1:$G$49,MATCH(orders!$D804,products!$A$1:$A$49,0),MATCH(orders!I$1,products!$A$1:$G$1,0))</f>
        <v>D</v>
      </c>
      <c r="J804" s="5">
        <f>INDEX(products!$A$1:$G$49,MATCH(orders!$D804,products!$A$1:$A$49,0),MATCH(orders!J$1,products!$A$1:$G$1,0))</f>
        <v>0.2</v>
      </c>
      <c r="K804" s="6">
        <f>INDEX(products!$A$1:$G$49,MATCH(orders!$D804,products!$A$1:$A$49,0),MATCH(orders!K$1,products!$A$1:$G$1,0))</f>
        <v>2.6849999999999996</v>
      </c>
      <c r="L804" s="6">
        <f>K804*E804</f>
        <v>10.739999999999998</v>
      </c>
      <c r="M804" t="str" cm="1">
        <f t="array" ref="M804">_xlfn.IFS(H804="Rob","Robusta",H804="Exc","Excelsa",H804="Ara","Arabica",H804="Lib","Liberica")</f>
        <v>Robusta</v>
      </c>
      <c r="N804" t="str" cm="1">
        <f t="array" ref="N804">_xlfn.IFS(I804="M","Medium",I804="L","Light",I804="D","Dark")</f>
        <v>Dark</v>
      </c>
      <c r="O804" t="str">
        <f>_xlfn.XLOOKUP(Orders[[#This Row],[Customer ID]],customers!$A$2:$A$1001,customers!$I$2:$I$1001,,0)</f>
        <v>No</v>
      </c>
    </row>
    <row r="805" spans="1:15" x14ac:dyDescent="0.3">
      <c r="A805" s="2" t="s">
        <v>5030</v>
      </c>
      <c r="B805" s="3">
        <v>43955</v>
      </c>
      <c r="C805" s="2" t="s">
        <v>5031</v>
      </c>
      <c r="D805" t="s">
        <v>6166</v>
      </c>
      <c r="E805" s="2">
        <v>4</v>
      </c>
      <c r="F805" s="2" t="str">
        <f>_xlfn.XLOOKUP(C805,customers!$A$2:$A$1001,customers!$B$2:$B$1001,,0)</f>
        <v>Darn Penquet</v>
      </c>
      <c r="G805" s="2" t="str">
        <f>_xlfn.XLOOKUP(C805,customers!$A$2:$A$1001,customers!$G$2:$G$1001,,0)</f>
        <v>United States</v>
      </c>
      <c r="H805" t="str">
        <f>INDEX(products!$A$1:$G$49,MATCH(orders!$D805,products!$A$1:$A$49,0),MATCH(orders!H$1,products!$A$1:$G$1,0))</f>
        <v>Exc</v>
      </c>
      <c r="I805" t="str">
        <f>INDEX(products!$A$1:$G$49,MATCH(orders!$D805,products!$A$1:$A$49,0),MATCH(orders!I$1,products!$A$1:$G$1,0))</f>
        <v>M</v>
      </c>
      <c r="J805" s="5">
        <f>INDEX(products!$A$1:$G$49,MATCH(orders!$D805,products!$A$1:$A$49,0),MATCH(orders!J$1,products!$A$1:$G$1,0))</f>
        <v>2.5</v>
      </c>
      <c r="K805" s="6">
        <f>INDEX(products!$A$1:$G$49,MATCH(orders!$D805,products!$A$1:$A$49,0),MATCH(orders!K$1,products!$A$1:$G$1,0))</f>
        <v>31.624999999999996</v>
      </c>
      <c r="L805" s="6">
        <f>K805*E805</f>
        <v>126.49999999999999</v>
      </c>
      <c r="M805" t="str" cm="1">
        <f t="array" ref="M805">_xlfn.IFS(H805="Rob","Robusta",H805="Exc","Excelsa",H805="Ara","Arabica",H805="Lib","Liberica")</f>
        <v>Excelsa</v>
      </c>
      <c r="N805" t="str" cm="1">
        <f t="array" ref="N805">_xlfn.IFS(I805="M","Medium",I805="L","Light",I805="D","Dark")</f>
        <v>Medium</v>
      </c>
      <c r="O805" t="str">
        <f>_xlfn.XLOOKUP(Orders[[#This Row],[Customer ID]],customers!$A$2:$A$1001,customers!$I$2:$I$1001,,0)</f>
        <v>No</v>
      </c>
    </row>
    <row r="806" spans="1:15" x14ac:dyDescent="0.3">
      <c r="A806" s="2" t="s">
        <v>5035</v>
      </c>
      <c r="B806" s="3">
        <v>44289</v>
      </c>
      <c r="C806" s="2" t="s">
        <v>5036</v>
      </c>
      <c r="D806" t="s">
        <v>6179</v>
      </c>
      <c r="E806" s="2">
        <v>2</v>
      </c>
      <c r="F806" s="2" t="str">
        <f>_xlfn.XLOOKUP(C806,customers!$A$2:$A$1001,customers!$B$2:$B$1001,,0)</f>
        <v>Jammie Cloke</v>
      </c>
      <c r="G806" s="2" t="str">
        <f>_xlfn.XLOOKUP(C806,customers!$A$2:$A$1001,customers!$G$2:$G$1001,,0)</f>
        <v>United Kingdom</v>
      </c>
      <c r="H806" t="str">
        <f>INDEX(products!$A$1:$G$49,MATCH(orders!$D806,products!$A$1:$A$49,0),MATCH(orders!H$1,products!$A$1:$G$1,0))</f>
        <v>Rob</v>
      </c>
      <c r="I806" t="str">
        <f>INDEX(products!$A$1:$G$49,MATCH(orders!$D806,products!$A$1:$A$49,0),MATCH(orders!I$1,products!$A$1:$G$1,0))</f>
        <v>L</v>
      </c>
      <c r="J806" s="5">
        <f>INDEX(products!$A$1:$G$49,MATCH(orders!$D806,products!$A$1:$A$49,0),MATCH(orders!J$1,products!$A$1:$G$1,0))</f>
        <v>1</v>
      </c>
      <c r="K806" s="6">
        <f>INDEX(products!$A$1:$G$49,MATCH(orders!$D806,products!$A$1:$A$49,0),MATCH(orders!K$1,products!$A$1:$G$1,0))</f>
        <v>11.95</v>
      </c>
      <c r="L806" s="6">
        <f>K806*E806</f>
        <v>23.9</v>
      </c>
      <c r="M806" t="str" cm="1">
        <f t="array" ref="M806">_xlfn.IFS(H806="Rob","Robusta",H806="Exc","Excelsa",H806="Ara","Arabica",H806="Lib","Liberica")</f>
        <v>Robusta</v>
      </c>
      <c r="N806" t="str" cm="1">
        <f t="array" ref="N806">_xlfn.IFS(I806="M","Medium",I806="L","Light",I806="D","Dark")</f>
        <v>Light</v>
      </c>
      <c r="O806" t="str">
        <f>_xlfn.XLOOKUP(Orders[[#This Row],[Customer ID]],customers!$A$2:$A$1001,customers!$I$2:$I$1001,,0)</f>
        <v>No</v>
      </c>
    </row>
    <row r="807" spans="1:15" x14ac:dyDescent="0.3">
      <c r="A807" s="2" t="s">
        <v>5040</v>
      </c>
      <c r="B807" s="3">
        <v>44713</v>
      </c>
      <c r="C807" s="2" t="s">
        <v>5041</v>
      </c>
      <c r="D807" t="s">
        <v>6146</v>
      </c>
      <c r="E807" s="2">
        <v>1</v>
      </c>
      <c r="F807" s="2" t="str">
        <f>_xlfn.XLOOKUP(C807,customers!$A$2:$A$1001,customers!$B$2:$B$1001,,0)</f>
        <v>Chester Clowton</v>
      </c>
      <c r="G807" s="2" t="str">
        <f>_xlfn.XLOOKUP(C807,customers!$A$2:$A$1001,customers!$G$2:$G$1001,,0)</f>
        <v>United States</v>
      </c>
      <c r="H807" t="str">
        <f>INDEX(products!$A$1:$G$49,MATCH(orders!$D807,products!$A$1:$A$49,0),MATCH(orders!H$1,products!$A$1:$G$1,0))</f>
        <v>Rob</v>
      </c>
      <c r="I807" t="str">
        <f>INDEX(products!$A$1:$G$49,MATCH(orders!$D807,products!$A$1:$A$49,0),MATCH(orders!I$1,products!$A$1:$G$1,0))</f>
        <v>M</v>
      </c>
      <c r="J807" s="5">
        <f>INDEX(products!$A$1:$G$49,MATCH(orders!$D807,products!$A$1:$A$49,0),MATCH(orders!J$1,products!$A$1:$G$1,0))</f>
        <v>0.5</v>
      </c>
      <c r="K807" s="6">
        <f>INDEX(products!$A$1:$G$49,MATCH(orders!$D807,products!$A$1:$A$49,0),MATCH(orders!K$1,products!$A$1:$G$1,0))</f>
        <v>5.97</v>
      </c>
      <c r="L807" s="6">
        <f>K807*E807</f>
        <v>5.97</v>
      </c>
      <c r="M807" t="str" cm="1">
        <f t="array" ref="M807">_xlfn.IFS(H807="Rob","Robusta",H807="Exc","Excelsa",H807="Ara","Arabica",H807="Lib","Liberica")</f>
        <v>Robusta</v>
      </c>
      <c r="N807" t="str" cm="1">
        <f t="array" ref="N807">_xlfn.IFS(I807="M","Medium",I807="L","Light",I807="D","Dark")</f>
        <v>Medium</v>
      </c>
      <c r="O807" t="str">
        <f>_xlfn.XLOOKUP(Orders[[#This Row],[Customer ID]],customers!$A$2:$A$1001,customers!$I$2:$I$1001,,0)</f>
        <v>No</v>
      </c>
    </row>
    <row r="808" spans="1:15" x14ac:dyDescent="0.3">
      <c r="A808" s="2" t="s">
        <v>5046</v>
      </c>
      <c r="B808" s="3">
        <v>44241</v>
      </c>
      <c r="C808" s="2" t="s">
        <v>5047</v>
      </c>
      <c r="D808" t="s">
        <v>6150</v>
      </c>
      <c r="E808" s="2">
        <v>2</v>
      </c>
      <c r="F808" s="2" t="str">
        <f>_xlfn.XLOOKUP(C808,customers!$A$2:$A$1001,customers!$B$2:$B$1001,,0)</f>
        <v>Kathleen Diable</v>
      </c>
      <c r="G808" s="2" t="str">
        <f>_xlfn.XLOOKUP(C808,customers!$A$2:$A$1001,customers!$G$2:$G$1001,,0)</f>
        <v>United Kingdom</v>
      </c>
      <c r="H808" t="str">
        <f>INDEX(products!$A$1:$G$49,MATCH(orders!$D808,products!$A$1:$A$49,0),MATCH(orders!H$1,products!$A$1:$G$1,0))</f>
        <v>Lib</v>
      </c>
      <c r="I808" t="str">
        <f>INDEX(products!$A$1:$G$49,MATCH(orders!$D808,products!$A$1:$A$49,0),MATCH(orders!I$1,products!$A$1:$G$1,0))</f>
        <v>D</v>
      </c>
      <c r="J808" s="5">
        <f>INDEX(products!$A$1:$G$49,MATCH(orders!$D808,products!$A$1:$A$49,0),MATCH(orders!J$1,products!$A$1:$G$1,0))</f>
        <v>0.2</v>
      </c>
      <c r="K808" s="6">
        <f>INDEX(products!$A$1:$G$49,MATCH(orders!$D808,products!$A$1:$A$49,0),MATCH(orders!K$1,products!$A$1:$G$1,0))</f>
        <v>3.8849999999999998</v>
      </c>
      <c r="L808" s="6">
        <f>K808*E808</f>
        <v>7.77</v>
      </c>
      <c r="M808" t="str" cm="1">
        <f t="array" ref="M808">_xlfn.IFS(H808="Rob","Robusta",H808="Exc","Excelsa",H808="Ara","Arabica",H808="Lib","Liberica")</f>
        <v>Liberica</v>
      </c>
      <c r="N808" t="str" cm="1">
        <f t="array" ref="N808">_xlfn.IFS(I808="M","Medium",I808="L","Light",I808="D","Dark")</f>
        <v>Dark</v>
      </c>
      <c r="O808" t="str">
        <f>_xlfn.XLOOKUP(Orders[[#This Row],[Customer ID]],customers!$A$2:$A$1001,customers!$I$2:$I$1001,,0)</f>
        <v>Yes</v>
      </c>
    </row>
    <row r="809" spans="1:15" x14ac:dyDescent="0.3">
      <c r="A809" s="2" t="s">
        <v>5050</v>
      </c>
      <c r="B809" s="3">
        <v>44543</v>
      </c>
      <c r="C809" s="2" t="s">
        <v>5051</v>
      </c>
      <c r="D809" t="s">
        <v>6169</v>
      </c>
      <c r="E809" s="2">
        <v>3</v>
      </c>
      <c r="F809" s="2" t="str">
        <f>_xlfn.XLOOKUP(C809,customers!$A$2:$A$1001,customers!$B$2:$B$1001,,0)</f>
        <v>Koren Ferretti</v>
      </c>
      <c r="G809" s="2" t="str">
        <f>_xlfn.XLOOKUP(C809,customers!$A$2:$A$1001,customers!$G$2:$G$1001,,0)</f>
        <v>Ireland</v>
      </c>
      <c r="H809" t="str">
        <f>INDEX(products!$A$1:$G$49,MATCH(orders!$D809,products!$A$1:$A$49,0),MATCH(orders!H$1,products!$A$1:$G$1,0))</f>
        <v>Lib</v>
      </c>
      <c r="I809" t="str">
        <f>INDEX(products!$A$1:$G$49,MATCH(orders!$D809,products!$A$1:$A$49,0),MATCH(orders!I$1,products!$A$1:$G$1,0))</f>
        <v>D</v>
      </c>
      <c r="J809" s="5">
        <f>INDEX(products!$A$1:$G$49,MATCH(orders!$D809,products!$A$1:$A$49,0),MATCH(orders!J$1,products!$A$1:$G$1,0))</f>
        <v>0.5</v>
      </c>
      <c r="K809" s="6">
        <f>INDEX(products!$A$1:$G$49,MATCH(orders!$D809,products!$A$1:$A$49,0),MATCH(orders!K$1,products!$A$1:$G$1,0))</f>
        <v>7.77</v>
      </c>
      <c r="L809" s="6">
        <f>K809*E809</f>
        <v>23.31</v>
      </c>
      <c r="M809" t="str" cm="1">
        <f t="array" ref="M809">_xlfn.IFS(H809="Rob","Robusta",H809="Exc","Excelsa",H809="Ara","Arabica",H809="Lib","Liberica")</f>
        <v>Liberica</v>
      </c>
      <c r="N809" t="str" cm="1">
        <f t="array" ref="N809">_xlfn.IFS(I809="M","Medium",I809="L","Light",I809="D","Dark")</f>
        <v>Dark</v>
      </c>
      <c r="O809" t="str">
        <f>_xlfn.XLOOKUP(Orders[[#This Row],[Customer ID]],customers!$A$2:$A$1001,customers!$I$2:$I$1001,,0)</f>
        <v>No</v>
      </c>
    </row>
    <row r="810" spans="1:15" x14ac:dyDescent="0.3">
      <c r="A810" s="2" t="s">
        <v>5056</v>
      </c>
      <c r="B810" s="3">
        <v>43868</v>
      </c>
      <c r="C810" s="2" t="s">
        <v>5113</v>
      </c>
      <c r="D810" t="s">
        <v>6142</v>
      </c>
      <c r="E810" s="2">
        <v>5</v>
      </c>
      <c r="F810" s="2" t="str">
        <f>_xlfn.XLOOKUP(C810,customers!$A$2:$A$1001,customers!$B$2:$B$1001,,0)</f>
        <v>Allis Wilmore</v>
      </c>
      <c r="G810" s="2" t="str">
        <f>_xlfn.XLOOKUP(C810,customers!$A$2:$A$1001,customers!$G$2:$G$1001,,0)</f>
        <v>United States</v>
      </c>
      <c r="H810" t="str">
        <f>INDEX(products!$A$1:$G$49,MATCH(orders!$D810,products!$A$1:$A$49,0),MATCH(orders!H$1,products!$A$1:$G$1,0))</f>
        <v>Rob</v>
      </c>
      <c r="I810" t="str">
        <f>INDEX(products!$A$1:$G$49,MATCH(orders!$D810,products!$A$1:$A$49,0),MATCH(orders!I$1,products!$A$1:$G$1,0))</f>
        <v>L</v>
      </c>
      <c r="J810" s="5">
        <f>INDEX(products!$A$1:$G$49,MATCH(orders!$D810,products!$A$1:$A$49,0),MATCH(orders!J$1,products!$A$1:$G$1,0))</f>
        <v>2.5</v>
      </c>
      <c r="K810" s="6">
        <f>INDEX(products!$A$1:$G$49,MATCH(orders!$D810,products!$A$1:$A$49,0),MATCH(orders!K$1,products!$A$1:$G$1,0))</f>
        <v>27.484999999999996</v>
      </c>
      <c r="L810" s="6">
        <f>K810*E810</f>
        <v>137.42499999999998</v>
      </c>
      <c r="M810" t="str" cm="1">
        <f t="array" ref="M810">_xlfn.IFS(H810="Rob","Robusta",H810="Exc","Excelsa",H810="Ara","Arabica",H810="Lib","Liberica")</f>
        <v>Robusta</v>
      </c>
      <c r="N810" t="str" cm="1">
        <f t="array" ref="N810">_xlfn.IFS(I810="M","Medium",I810="L","Light",I810="D","Dark")</f>
        <v>Light</v>
      </c>
      <c r="O810" t="str">
        <f>_xlfn.XLOOKUP(Orders[[#This Row],[Customer ID]],customers!$A$2:$A$1001,customers!$I$2:$I$1001,,0)</f>
        <v>No</v>
      </c>
    </row>
    <row r="811" spans="1:15" x14ac:dyDescent="0.3">
      <c r="A811" s="2" t="s">
        <v>5062</v>
      </c>
      <c r="B811" s="3">
        <v>44235</v>
      </c>
      <c r="C811" s="2" t="s">
        <v>5063</v>
      </c>
      <c r="D811" t="s">
        <v>6163</v>
      </c>
      <c r="E811" s="2">
        <v>3</v>
      </c>
      <c r="F811" s="2" t="str">
        <f>_xlfn.XLOOKUP(C811,customers!$A$2:$A$1001,customers!$B$2:$B$1001,,0)</f>
        <v>Chaddie Bennie</v>
      </c>
      <c r="G811" s="2" t="str">
        <f>_xlfn.XLOOKUP(C811,customers!$A$2:$A$1001,customers!$G$2:$G$1001,,0)</f>
        <v>United States</v>
      </c>
      <c r="H811" t="str">
        <f>INDEX(products!$A$1:$G$49,MATCH(orders!$D811,products!$A$1:$A$49,0),MATCH(orders!H$1,products!$A$1:$G$1,0))</f>
        <v>Rob</v>
      </c>
      <c r="I811" t="str">
        <f>INDEX(products!$A$1:$G$49,MATCH(orders!$D811,products!$A$1:$A$49,0),MATCH(orders!I$1,products!$A$1:$G$1,0))</f>
        <v>D</v>
      </c>
      <c r="J811" s="5">
        <f>INDEX(products!$A$1:$G$49,MATCH(orders!$D811,products!$A$1:$A$49,0),MATCH(orders!J$1,products!$A$1:$G$1,0))</f>
        <v>0.2</v>
      </c>
      <c r="K811" s="6">
        <f>INDEX(products!$A$1:$G$49,MATCH(orders!$D811,products!$A$1:$A$49,0),MATCH(orders!K$1,products!$A$1:$G$1,0))</f>
        <v>2.6849999999999996</v>
      </c>
      <c r="L811" s="6">
        <f>K811*E811</f>
        <v>8.0549999999999997</v>
      </c>
      <c r="M811" t="str" cm="1">
        <f t="array" ref="M811">_xlfn.IFS(H811="Rob","Robusta",H811="Exc","Excelsa",H811="Ara","Arabica",H811="Lib","Liberica")</f>
        <v>Robusta</v>
      </c>
      <c r="N811" t="str" cm="1">
        <f t="array" ref="N811">_xlfn.IFS(I811="M","Medium",I811="L","Light",I811="D","Dark")</f>
        <v>Dark</v>
      </c>
      <c r="O811" t="str">
        <f>_xlfn.XLOOKUP(Orders[[#This Row],[Customer ID]],customers!$A$2:$A$1001,customers!$I$2:$I$1001,,0)</f>
        <v>Yes</v>
      </c>
    </row>
    <row r="812" spans="1:15" x14ac:dyDescent="0.3">
      <c r="A812" s="2" t="s">
        <v>5067</v>
      </c>
      <c r="B812" s="3">
        <v>44054</v>
      </c>
      <c r="C812" s="2" t="s">
        <v>5068</v>
      </c>
      <c r="D812" t="s">
        <v>6161</v>
      </c>
      <c r="E812" s="2">
        <v>3</v>
      </c>
      <c r="F812" s="2" t="str">
        <f>_xlfn.XLOOKUP(C812,customers!$A$2:$A$1001,customers!$B$2:$B$1001,,0)</f>
        <v>Alberta Balsdone</v>
      </c>
      <c r="G812" s="2" t="str">
        <f>_xlfn.XLOOKUP(C812,customers!$A$2:$A$1001,customers!$G$2:$G$1001,,0)</f>
        <v>United States</v>
      </c>
      <c r="H812" t="str">
        <f>INDEX(products!$A$1:$G$49,MATCH(orders!$D812,products!$A$1:$A$49,0),MATCH(orders!H$1,products!$A$1:$G$1,0))</f>
        <v>Lib</v>
      </c>
      <c r="I812" t="str">
        <f>INDEX(products!$A$1:$G$49,MATCH(orders!$D812,products!$A$1:$A$49,0),MATCH(orders!I$1,products!$A$1:$G$1,0))</f>
        <v>L</v>
      </c>
      <c r="J812" s="5">
        <f>INDEX(products!$A$1:$G$49,MATCH(orders!$D812,products!$A$1:$A$49,0),MATCH(orders!J$1,products!$A$1:$G$1,0))</f>
        <v>0.5</v>
      </c>
      <c r="K812" s="6">
        <f>INDEX(products!$A$1:$G$49,MATCH(orders!$D812,products!$A$1:$A$49,0),MATCH(orders!K$1,products!$A$1:$G$1,0))</f>
        <v>9.51</v>
      </c>
      <c r="L812" s="6">
        <f>K812*E812</f>
        <v>28.53</v>
      </c>
      <c r="M812" t="str" cm="1">
        <f t="array" ref="M812">_xlfn.IFS(H812="Rob","Robusta",H812="Exc","Excelsa",H812="Ara","Arabica",H812="Lib","Liberica")</f>
        <v>Liberica</v>
      </c>
      <c r="N812" t="str" cm="1">
        <f t="array" ref="N812">_xlfn.IFS(I812="M","Medium",I812="L","Light",I812="D","Dark")</f>
        <v>Light</v>
      </c>
      <c r="O812" t="str">
        <f>_xlfn.XLOOKUP(Orders[[#This Row],[Customer ID]],customers!$A$2:$A$1001,customers!$I$2:$I$1001,,0)</f>
        <v>No</v>
      </c>
    </row>
    <row r="813" spans="1:15" x14ac:dyDescent="0.3">
      <c r="A813" s="2" t="s">
        <v>5073</v>
      </c>
      <c r="B813" s="3">
        <v>44114</v>
      </c>
      <c r="C813" s="2" t="s">
        <v>5074</v>
      </c>
      <c r="D813" t="s">
        <v>6155</v>
      </c>
      <c r="E813" s="2">
        <v>6</v>
      </c>
      <c r="F813" s="2" t="str">
        <f>_xlfn.XLOOKUP(C813,customers!$A$2:$A$1001,customers!$B$2:$B$1001,,0)</f>
        <v>Brice Romera</v>
      </c>
      <c r="G813" s="2" t="str">
        <f>_xlfn.XLOOKUP(C813,customers!$A$2:$A$1001,customers!$G$2:$G$1001,,0)</f>
        <v>Ireland</v>
      </c>
      <c r="H813" t="str">
        <f>INDEX(products!$A$1:$G$49,MATCH(orders!$D813,products!$A$1:$A$49,0),MATCH(orders!H$1,products!$A$1:$G$1,0))</f>
        <v>Ara</v>
      </c>
      <c r="I813" t="str">
        <f>INDEX(products!$A$1:$G$49,MATCH(orders!$D813,products!$A$1:$A$49,0),MATCH(orders!I$1,products!$A$1:$G$1,0))</f>
        <v>M</v>
      </c>
      <c r="J813" s="5">
        <f>INDEX(products!$A$1:$G$49,MATCH(orders!$D813,products!$A$1:$A$49,0),MATCH(orders!J$1,products!$A$1:$G$1,0))</f>
        <v>1</v>
      </c>
      <c r="K813" s="6">
        <f>INDEX(products!$A$1:$G$49,MATCH(orders!$D813,products!$A$1:$A$49,0),MATCH(orders!K$1,products!$A$1:$G$1,0))</f>
        <v>11.25</v>
      </c>
      <c r="L813" s="6">
        <f>K813*E813</f>
        <v>67.5</v>
      </c>
      <c r="M813" t="str" cm="1">
        <f t="array" ref="M813">_xlfn.IFS(H813="Rob","Robusta",H813="Exc","Excelsa",H813="Ara","Arabica",H813="Lib","Liberica")</f>
        <v>Arabica</v>
      </c>
      <c r="N813" t="str" cm="1">
        <f t="array" ref="N813">_xlfn.IFS(I813="M","Medium",I813="L","Light",I813="D","Dark")</f>
        <v>Medium</v>
      </c>
      <c r="O813" t="str">
        <f>_xlfn.XLOOKUP(Orders[[#This Row],[Customer ID]],customers!$A$2:$A$1001,customers!$I$2:$I$1001,,0)</f>
        <v>Yes</v>
      </c>
    </row>
    <row r="814" spans="1:15" x14ac:dyDescent="0.3">
      <c r="A814" s="2" t="s">
        <v>5073</v>
      </c>
      <c r="B814" s="3">
        <v>44114</v>
      </c>
      <c r="C814" s="2" t="s">
        <v>5074</v>
      </c>
      <c r="D814" t="s">
        <v>6165</v>
      </c>
      <c r="E814" s="2">
        <v>6</v>
      </c>
      <c r="F814" s="2" t="str">
        <f>_xlfn.XLOOKUP(C814,customers!$A$2:$A$1001,customers!$B$2:$B$1001,,0)</f>
        <v>Brice Romera</v>
      </c>
      <c r="G814" s="2" t="str">
        <f>_xlfn.XLOOKUP(C814,customers!$A$2:$A$1001,customers!$G$2:$G$1001,,0)</f>
        <v>Ireland</v>
      </c>
      <c r="H814" t="str">
        <f>INDEX(products!$A$1:$G$49,MATCH(orders!$D814,products!$A$1:$A$49,0),MATCH(orders!H$1,products!$A$1:$G$1,0))</f>
        <v>Lib</v>
      </c>
      <c r="I814" t="str">
        <f>INDEX(products!$A$1:$G$49,MATCH(orders!$D814,products!$A$1:$A$49,0),MATCH(orders!I$1,products!$A$1:$G$1,0))</f>
        <v>D</v>
      </c>
      <c r="J814" s="5">
        <f>INDEX(products!$A$1:$G$49,MATCH(orders!$D814,products!$A$1:$A$49,0),MATCH(orders!J$1,products!$A$1:$G$1,0))</f>
        <v>2.5</v>
      </c>
      <c r="K814" s="6">
        <f>INDEX(products!$A$1:$G$49,MATCH(orders!$D814,products!$A$1:$A$49,0),MATCH(orders!K$1,products!$A$1:$G$1,0))</f>
        <v>29.784999999999997</v>
      </c>
      <c r="L814" s="6">
        <f>K814*E814</f>
        <v>178.70999999999998</v>
      </c>
      <c r="M814" t="str" cm="1">
        <f t="array" ref="M814">_xlfn.IFS(H814="Rob","Robusta",H814="Exc","Excelsa",H814="Ara","Arabica",H814="Lib","Liberica")</f>
        <v>Liberica</v>
      </c>
      <c r="N814" t="str" cm="1">
        <f t="array" ref="N814">_xlfn.IFS(I814="M","Medium",I814="L","Light",I814="D","Dark")</f>
        <v>Dark</v>
      </c>
      <c r="O814" t="str">
        <f>_xlfn.XLOOKUP(Orders[[#This Row],[Customer ID]],customers!$A$2:$A$1001,customers!$I$2:$I$1001,,0)</f>
        <v>Yes</v>
      </c>
    </row>
    <row r="815" spans="1:15" x14ac:dyDescent="0.3">
      <c r="A815" s="2" t="s">
        <v>5084</v>
      </c>
      <c r="B815" s="3">
        <v>44173</v>
      </c>
      <c r="C815" s="2" t="s">
        <v>5085</v>
      </c>
      <c r="D815" t="s">
        <v>6166</v>
      </c>
      <c r="E815" s="2">
        <v>1</v>
      </c>
      <c r="F815" s="2" t="str">
        <f>_xlfn.XLOOKUP(C815,customers!$A$2:$A$1001,customers!$B$2:$B$1001,,0)</f>
        <v>Conchita Bryde</v>
      </c>
      <c r="G815" s="2" t="str">
        <f>_xlfn.XLOOKUP(C815,customers!$A$2:$A$1001,customers!$G$2:$G$1001,,0)</f>
        <v>United States</v>
      </c>
      <c r="H815" t="str">
        <f>INDEX(products!$A$1:$G$49,MATCH(orders!$D815,products!$A$1:$A$49,0),MATCH(orders!H$1,products!$A$1:$G$1,0))</f>
        <v>Exc</v>
      </c>
      <c r="I815" t="str">
        <f>INDEX(products!$A$1:$G$49,MATCH(orders!$D815,products!$A$1:$A$49,0),MATCH(orders!I$1,products!$A$1:$G$1,0))</f>
        <v>M</v>
      </c>
      <c r="J815" s="5">
        <f>INDEX(products!$A$1:$G$49,MATCH(orders!$D815,products!$A$1:$A$49,0),MATCH(orders!J$1,products!$A$1:$G$1,0))</f>
        <v>2.5</v>
      </c>
      <c r="K815" s="6">
        <f>INDEX(products!$A$1:$G$49,MATCH(orders!$D815,products!$A$1:$A$49,0),MATCH(orders!K$1,products!$A$1:$G$1,0))</f>
        <v>31.624999999999996</v>
      </c>
      <c r="L815" s="6">
        <f>K815*E815</f>
        <v>31.624999999999996</v>
      </c>
      <c r="M815" t="str" cm="1">
        <f t="array" ref="M815">_xlfn.IFS(H815="Rob","Robusta",H815="Exc","Excelsa",H815="Ara","Arabica",H815="Lib","Liberica")</f>
        <v>Excelsa</v>
      </c>
      <c r="N815" t="str" cm="1">
        <f t="array" ref="N815">_xlfn.IFS(I815="M","Medium",I815="L","Light",I815="D","Dark")</f>
        <v>Medium</v>
      </c>
      <c r="O815" t="str">
        <f>_xlfn.XLOOKUP(Orders[[#This Row],[Customer ID]],customers!$A$2:$A$1001,customers!$I$2:$I$1001,,0)</f>
        <v>Yes</v>
      </c>
    </row>
    <row r="816" spans="1:15" x14ac:dyDescent="0.3">
      <c r="A816" s="2" t="s">
        <v>5090</v>
      </c>
      <c r="B816" s="3">
        <v>43573</v>
      </c>
      <c r="C816" s="2" t="s">
        <v>5091</v>
      </c>
      <c r="D816" t="s">
        <v>6184</v>
      </c>
      <c r="E816" s="2">
        <v>2</v>
      </c>
      <c r="F816" s="2" t="str">
        <f>_xlfn.XLOOKUP(C816,customers!$A$2:$A$1001,customers!$B$2:$B$1001,,0)</f>
        <v>Silvanus Enefer</v>
      </c>
      <c r="G816" s="2" t="str">
        <f>_xlfn.XLOOKUP(C816,customers!$A$2:$A$1001,customers!$G$2:$G$1001,,0)</f>
        <v>United States</v>
      </c>
      <c r="H816" t="str">
        <f>INDEX(products!$A$1:$G$49,MATCH(orders!$D816,products!$A$1:$A$49,0),MATCH(orders!H$1,products!$A$1:$G$1,0))</f>
        <v>Exc</v>
      </c>
      <c r="I816" t="str">
        <f>INDEX(products!$A$1:$G$49,MATCH(orders!$D816,products!$A$1:$A$49,0),MATCH(orders!I$1,products!$A$1:$G$1,0))</f>
        <v>L</v>
      </c>
      <c r="J816" s="5">
        <f>INDEX(products!$A$1:$G$49,MATCH(orders!$D816,products!$A$1:$A$49,0),MATCH(orders!J$1,products!$A$1:$G$1,0))</f>
        <v>0.2</v>
      </c>
      <c r="K816" s="6">
        <f>INDEX(products!$A$1:$G$49,MATCH(orders!$D816,products!$A$1:$A$49,0),MATCH(orders!K$1,products!$A$1:$G$1,0))</f>
        <v>4.4550000000000001</v>
      </c>
      <c r="L816" s="6">
        <f>K816*E816</f>
        <v>8.91</v>
      </c>
      <c r="M816" t="str" cm="1">
        <f t="array" ref="M816">_xlfn.IFS(H816="Rob","Robusta",H816="Exc","Excelsa",H816="Ara","Arabica",H816="Lib","Liberica")</f>
        <v>Excelsa</v>
      </c>
      <c r="N816" t="str" cm="1">
        <f t="array" ref="N816">_xlfn.IFS(I816="M","Medium",I816="L","Light",I816="D","Dark")</f>
        <v>Light</v>
      </c>
      <c r="O816" t="str">
        <f>_xlfn.XLOOKUP(Orders[[#This Row],[Customer ID]],customers!$A$2:$A$1001,customers!$I$2:$I$1001,,0)</f>
        <v>No</v>
      </c>
    </row>
    <row r="817" spans="1:15" x14ac:dyDescent="0.3">
      <c r="A817" s="2" t="s">
        <v>5096</v>
      </c>
      <c r="B817" s="3">
        <v>44200</v>
      </c>
      <c r="C817" s="2" t="s">
        <v>5097</v>
      </c>
      <c r="D817" t="s">
        <v>6146</v>
      </c>
      <c r="E817" s="2">
        <v>6</v>
      </c>
      <c r="F817" s="2" t="str">
        <f>_xlfn.XLOOKUP(C817,customers!$A$2:$A$1001,customers!$B$2:$B$1001,,0)</f>
        <v>Lenci Haggerstone</v>
      </c>
      <c r="G817" s="2" t="str">
        <f>_xlfn.XLOOKUP(C817,customers!$A$2:$A$1001,customers!$G$2:$G$1001,,0)</f>
        <v>United States</v>
      </c>
      <c r="H817" t="str">
        <f>INDEX(products!$A$1:$G$49,MATCH(orders!$D817,products!$A$1:$A$49,0),MATCH(orders!H$1,products!$A$1:$G$1,0))</f>
        <v>Rob</v>
      </c>
      <c r="I817" t="str">
        <f>INDEX(products!$A$1:$G$49,MATCH(orders!$D817,products!$A$1:$A$49,0),MATCH(orders!I$1,products!$A$1:$G$1,0))</f>
        <v>M</v>
      </c>
      <c r="J817" s="5">
        <f>INDEX(products!$A$1:$G$49,MATCH(orders!$D817,products!$A$1:$A$49,0),MATCH(orders!J$1,products!$A$1:$G$1,0))</f>
        <v>0.5</v>
      </c>
      <c r="K817" s="6">
        <f>INDEX(products!$A$1:$G$49,MATCH(orders!$D817,products!$A$1:$A$49,0),MATCH(orders!K$1,products!$A$1:$G$1,0))</f>
        <v>5.97</v>
      </c>
      <c r="L817" s="6">
        <f>K817*E817</f>
        <v>35.82</v>
      </c>
      <c r="M817" t="str" cm="1">
        <f t="array" ref="M817">_xlfn.IFS(H817="Rob","Robusta",H817="Exc","Excelsa",H817="Ara","Arabica",H817="Lib","Liberica")</f>
        <v>Robusta</v>
      </c>
      <c r="N817" t="str" cm="1">
        <f t="array" ref="N817">_xlfn.IFS(I817="M","Medium",I817="L","Light",I817="D","Dark")</f>
        <v>Medium</v>
      </c>
      <c r="O817" t="str">
        <f>_xlfn.XLOOKUP(Orders[[#This Row],[Customer ID]],customers!$A$2:$A$1001,customers!$I$2:$I$1001,,0)</f>
        <v>No</v>
      </c>
    </row>
    <row r="818" spans="1:15" x14ac:dyDescent="0.3">
      <c r="A818" s="2" t="s">
        <v>5102</v>
      </c>
      <c r="B818" s="3">
        <v>43534</v>
      </c>
      <c r="C818" s="2" t="s">
        <v>5103</v>
      </c>
      <c r="D818" t="s">
        <v>6161</v>
      </c>
      <c r="E818" s="2">
        <v>4</v>
      </c>
      <c r="F818" s="2" t="str">
        <f>_xlfn.XLOOKUP(C818,customers!$A$2:$A$1001,customers!$B$2:$B$1001,,0)</f>
        <v>Marvin Gundry</v>
      </c>
      <c r="G818" s="2" t="str">
        <f>_xlfn.XLOOKUP(C818,customers!$A$2:$A$1001,customers!$G$2:$G$1001,,0)</f>
        <v>Ireland</v>
      </c>
      <c r="H818" t="str">
        <f>INDEX(products!$A$1:$G$49,MATCH(orders!$D818,products!$A$1:$A$49,0),MATCH(orders!H$1,products!$A$1:$G$1,0))</f>
        <v>Lib</v>
      </c>
      <c r="I818" t="str">
        <f>INDEX(products!$A$1:$G$49,MATCH(orders!$D818,products!$A$1:$A$49,0),MATCH(orders!I$1,products!$A$1:$G$1,0))</f>
        <v>L</v>
      </c>
      <c r="J818" s="5">
        <f>INDEX(products!$A$1:$G$49,MATCH(orders!$D818,products!$A$1:$A$49,0),MATCH(orders!J$1,products!$A$1:$G$1,0))</f>
        <v>0.5</v>
      </c>
      <c r="K818" s="6">
        <f>INDEX(products!$A$1:$G$49,MATCH(orders!$D818,products!$A$1:$A$49,0),MATCH(orders!K$1,products!$A$1:$G$1,0))</f>
        <v>9.51</v>
      </c>
      <c r="L818" s="6">
        <f>K818*E818</f>
        <v>38.04</v>
      </c>
      <c r="M818" t="str" cm="1">
        <f t="array" ref="M818">_xlfn.IFS(H818="Rob","Robusta",H818="Exc","Excelsa",H818="Ara","Arabica",H818="Lib","Liberica")</f>
        <v>Liberica</v>
      </c>
      <c r="N818" t="str" cm="1">
        <f t="array" ref="N818">_xlfn.IFS(I818="M","Medium",I818="L","Light",I818="D","Dark")</f>
        <v>Light</v>
      </c>
      <c r="O818" t="str">
        <f>_xlfn.XLOOKUP(Orders[[#This Row],[Customer ID]],customers!$A$2:$A$1001,customers!$I$2:$I$1001,,0)</f>
        <v>No</v>
      </c>
    </row>
    <row r="819" spans="1:15" x14ac:dyDescent="0.3">
      <c r="A819" s="2" t="s">
        <v>5107</v>
      </c>
      <c r="B819" s="3">
        <v>43798</v>
      </c>
      <c r="C819" s="2" t="s">
        <v>5108</v>
      </c>
      <c r="D819" t="s">
        <v>6169</v>
      </c>
      <c r="E819" s="2">
        <v>2</v>
      </c>
      <c r="F819" s="2" t="str">
        <f>_xlfn.XLOOKUP(C819,customers!$A$2:$A$1001,customers!$B$2:$B$1001,,0)</f>
        <v>Bayard Wellan</v>
      </c>
      <c r="G819" s="2" t="str">
        <f>_xlfn.XLOOKUP(C819,customers!$A$2:$A$1001,customers!$G$2:$G$1001,,0)</f>
        <v>United States</v>
      </c>
      <c r="H819" t="str">
        <f>INDEX(products!$A$1:$G$49,MATCH(orders!$D819,products!$A$1:$A$49,0),MATCH(orders!H$1,products!$A$1:$G$1,0))</f>
        <v>Lib</v>
      </c>
      <c r="I819" t="str">
        <f>INDEX(products!$A$1:$G$49,MATCH(orders!$D819,products!$A$1:$A$49,0),MATCH(orders!I$1,products!$A$1:$G$1,0))</f>
        <v>D</v>
      </c>
      <c r="J819" s="5">
        <f>INDEX(products!$A$1:$G$49,MATCH(orders!$D819,products!$A$1:$A$49,0),MATCH(orders!J$1,products!$A$1:$G$1,0))</f>
        <v>0.5</v>
      </c>
      <c r="K819" s="6">
        <f>INDEX(products!$A$1:$G$49,MATCH(orders!$D819,products!$A$1:$A$49,0),MATCH(orders!K$1,products!$A$1:$G$1,0))</f>
        <v>7.77</v>
      </c>
      <c r="L819" s="6">
        <f>K819*E819</f>
        <v>15.54</v>
      </c>
      <c r="M819" t="str" cm="1">
        <f t="array" ref="M819">_xlfn.IFS(H819="Rob","Robusta",H819="Exc","Excelsa",H819="Ara","Arabica",H819="Lib","Liberica")</f>
        <v>Liberica</v>
      </c>
      <c r="N819" t="str" cm="1">
        <f t="array" ref="N819">_xlfn.IFS(I819="M","Medium",I819="L","Light",I819="D","Dark")</f>
        <v>Dark</v>
      </c>
      <c r="O819" t="str">
        <f>_xlfn.XLOOKUP(Orders[[#This Row],[Customer ID]],customers!$A$2:$A$1001,customers!$I$2:$I$1001,,0)</f>
        <v>No</v>
      </c>
    </row>
    <row r="820" spans="1:15" x14ac:dyDescent="0.3">
      <c r="A820" s="2" t="s">
        <v>5112</v>
      </c>
      <c r="B820" s="3">
        <v>44761</v>
      </c>
      <c r="C820" s="2" t="s">
        <v>5113</v>
      </c>
      <c r="D820" t="s">
        <v>6170</v>
      </c>
      <c r="E820" s="2">
        <v>5</v>
      </c>
      <c r="F820" s="2" t="str">
        <f>_xlfn.XLOOKUP(C820,customers!$A$2:$A$1001,customers!$B$2:$B$1001,,0)</f>
        <v>Allis Wilmore</v>
      </c>
      <c r="G820" s="2" t="str">
        <f>_xlfn.XLOOKUP(C820,customers!$A$2:$A$1001,customers!$G$2:$G$1001,,0)</f>
        <v>United States</v>
      </c>
      <c r="H820" t="str">
        <f>INDEX(products!$A$1:$G$49,MATCH(orders!$D820,products!$A$1:$A$49,0),MATCH(orders!H$1,products!$A$1:$G$1,0))</f>
        <v>Lib</v>
      </c>
      <c r="I820" t="str">
        <f>INDEX(products!$A$1:$G$49,MATCH(orders!$D820,products!$A$1:$A$49,0),MATCH(orders!I$1,products!$A$1:$G$1,0))</f>
        <v>L</v>
      </c>
      <c r="J820" s="5">
        <f>INDEX(products!$A$1:$G$49,MATCH(orders!$D820,products!$A$1:$A$49,0),MATCH(orders!J$1,products!$A$1:$G$1,0))</f>
        <v>1</v>
      </c>
      <c r="K820" s="6">
        <f>INDEX(products!$A$1:$G$49,MATCH(orders!$D820,products!$A$1:$A$49,0),MATCH(orders!K$1,products!$A$1:$G$1,0))</f>
        <v>15.85</v>
      </c>
      <c r="L820" s="6">
        <f>K820*E820</f>
        <v>79.25</v>
      </c>
      <c r="M820" t="str" cm="1">
        <f t="array" ref="M820">_xlfn.IFS(H820="Rob","Robusta",H820="Exc","Excelsa",H820="Ara","Arabica",H820="Lib","Liberica")</f>
        <v>Liberica</v>
      </c>
      <c r="N820" t="str" cm="1">
        <f t="array" ref="N820">_xlfn.IFS(I820="M","Medium",I820="L","Light",I820="D","Dark")</f>
        <v>Light</v>
      </c>
      <c r="O820" t="str">
        <f>_xlfn.XLOOKUP(Orders[[#This Row],[Customer ID]],customers!$A$2:$A$1001,customers!$I$2:$I$1001,,0)</f>
        <v>No</v>
      </c>
    </row>
    <row r="821" spans="1:15" x14ac:dyDescent="0.3">
      <c r="A821" s="2" t="s">
        <v>5117</v>
      </c>
      <c r="B821" s="3">
        <v>44008</v>
      </c>
      <c r="C821" s="2" t="s">
        <v>5118</v>
      </c>
      <c r="D821" t="s">
        <v>6145</v>
      </c>
      <c r="E821" s="2">
        <v>1</v>
      </c>
      <c r="F821" s="2" t="str">
        <f>_xlfn.XLOOKUP(C821,customers!$A$2:$A$1001,customers!$B$2:$B$1001,,0)</f>
        <v>Caddric Atcheson</v>
      </c>
      <c r="G821" s="2" t="str">
        <f>_xlfn.XLOOKUP(C821,customers!$A$2:$A$1001,customers!$G$2:$G$1001,,0)</f>
        <v>United States</v>
      </c>
      <c r="H821" t="str">
        <f>INDEX(products!$A$1:$G$49,MATCH(orders!$D821,products!$A$1:$A$49,0),MATCH(orders!H$1,products!$A$1:$G$1,0))</f>
        <v>Lib</v>
      </c>
      <c r="I821" t="str">
        <f>INDEX(products!$A$1:$G$49,MATCH(orders!$D821,products!$A$1:$A$49,0),MATCH(orders!I$1,products!$A$1:$G$1,0))</f>
        <v>L</v>
      </c>
      <c r="J821" s="5">
        <f>INDEX(products!$A$1:$G$49,MATCH(orders!$D821,products!$A$1:$A$49,0),MATCH(orders!J$1,products!$A$1:$G$1,0))</f>
        <v>0.2</v>
      </c>
      <c r="K821" s="6">
        <f>INDEX(products!$A$1:$G$49,MATCH(orders!$D821,products!$A$1:$A$49,0),MATCH(orders!K$1,products!$A$1:$G$1,0))</f>
        <v>4.7549999999999999</v>
      </c>
      <c r="L821" s="6">
        <f>K821*E821</f>
        <v>4.7549999999999999</v>
      </c>
      <c r="M821" t="str" cm="1">
        <f t="array" ref="M821">_xlfn.IFS(H821="Rob","Robusta",H821="Exc","Excelsa",H821="Ara","Arabica",H821="Lib","Liberica")</f>
        <v>Liberica</v>
      </c>
      <c r="N821" t="str" cm="1">
        <f t="array" ref="N821">_xlfn.IFS(I821="M","Medium",I821="L","Light",I821="D","Dark")</f>
        <v>Light</v>
      </c>
      <c r="O821" t="str">
        <f>_xlfn.XLOOKUP(Orders[[#This Row],[Customer ID]],customers!$A$2:$A$1001,customers!$I$2:$I$1001,,0)</f>
        <v>Yes</v>
      </c>
    </row>
    <row r="822" spans="1:15" x14ac:dyDescent="0.3">
      <c r="A822" s="2" t="s">
        <v>5123</v>
      </c>
      <c r="B822" s="3">
        <v>43510</v>
      </c>
      <c r="C822" s="2" t="s">
        <v>5124</v>
      </c>
      <c r="D822" t="s">
        <v>6141</v>
      </c>
      <c r="E822" s="2">
        <v>4</v>
      </c>
      <c r="F822" s="2" t="str">
        <f>_xlfn.XLOOKUP(C822,customers!$A$2:$A$1001,customers!$B$2:$B$1001,,0)</f>
        <v>Eustace Stenton</v>
      </c>
      <c r="G822" s="2" t="str">
        <f>_xlfn.XLOOKUP(C822,customers!$A$2:$A$1001,customers!$G$2:$G$1001,,0)</f>
        <v>United States</v>
      </c>
      <c r="H822" t="str">
        <f>INDEX(products!$A$1:$G$49,MATCH(orders!$D822,products!$A$1:$A$49,0),MATCH(orders!H$1,products!$A$1:$G$1,0))</f>
        <v>Exc</v>
      </c>
      <c r="I822" t="str">
        <f>INDEX(products!$A$1:$G$49,MATCH(orders!$D822,products!$A$1:$A$49,0),MATCH(orders!I$1,products!$A$1:$G$1,0))</f>
        <v>M</v>
      </c>
      <c r="J822" s="5">
        <f>INDEX(products!$A$1:$G$49,MATCH(orders!$D822,products!$A$1:$A$49,0),MATCH(orders!J$1,products!$A$1:$G$1,0))</f>
        <v>1</v>
      </c>
      <c r="K822" s="6">
        <f>INDEX(products!$A$1:$G$49,MATCH(orders!$D822,products!$A$1:$A$49,0),MATCH(orders!K$1,products!$A$1:$G$1,0))</f>
        <v>13.75</v>
      </c>
      <c r="L822" s="6">
        <f>K822*E822</f>
        <v>55</v>
      </c>
      <c r="M822" t="str" cm="1">
        <f t="array" ref="M822">_xlfn.IFS(H822="Rob","Robusta",H822="Exc","Excelsa",H822="Ara","Arabica",H822="Lib","Liberica")</f>
        <v>Excelsa</v>
      </c>
      <c r="N822" t="str" cm="1">
        <f t="array" ref="N822">_xlfn.IFS(I822="M","Medium",I822="L","Light",I822="D","Dark")</f>
        <v>Medium</v>
      </c>
      <c r="O822" t="str">
        <f>_xlfn.XLOOKUP(Orders[[#This Row],[Customer ID]],customers!$A$2:$A$1001,customers!$I$2:$I$1001,,0)</f>
        <v>Yes</v>
      </c>
    </row>
    <row r="823" spans="1:15" x14ac:dyDescent="0.3">
      <c r="A823" s="2" t="s">
        <v>5129</v>
      </c>
      <c r="B823" s="3">
        <v>44144</v>
      </c>
      <c r="C823" s="2" t="s">
        <v>5130</v>
      </c>
      <c r="D823" t="s">
        <v>6172</v>
      </c>
      <c r="E823" s="2">
        <v>5</v>
      </c>
      <c r="F823" s="2" t="str">
        <f>_xlfn.XLOOKUP(C823,customers!$A$2:$A$1001,customers!$B$2:$B$1001,,0)</f>
        <v>Ericka Tripp</v>
      </c>
      <c r="G823" s="2" t="str">
        <f>_xlfn.XLOOKUP(C823,customers!$A$2:$A$1001,customers!$G$2:$G$1001,,0)</f>
        <v>United States</v>
      </c>
      <c r="H823" t="str">
        <f>INDEX(products!$A$1:$G$49,MATCH(orders!$D823,products!$A$1:$A$49,0),MATCH(orders!H$1,products!$A$1:$G$1,0))</f>
        <v>Rob</v>
      </c>
      <c r="I823" t="str">
        <f>INDEX(products!$A$1:$G$49,MATCH(orders!$D823,products!$A$1:$A$49,0),MATCH(orders!I$1,products!$A$1:$G$1,0))</f>
        <v>D</v>
      </c>
      <c r="J823" s="5">
        <f>INDEX(products!$A$1:$G$49,MATCH(orders!$D823,products!$A$1:$A$49,0),MATCH(orders!J$1,products!$A$1:$G$1,0))</f>
        <v>0.5</v>
      </c>
      <c r="K823" s="6">
        <f>INDEX(products!$A$1:$G$49,MATCH(orders!$D823,products!$A$1:$A$49,0),MATCH(orders!K$1,products!$A$1:$G$1,0))</f>
        <v>5.3699999999999992</v>
      </c>
      <c r="L823" s="6">
        <f>K823*E823</f>
        <v>26.849999999999994</v>
      </c>
      <c r="M823" t="str" cm="1">
        <f t="array" ref="M823">_xlfn.IFS(H823="Rob","Robusta",H823="Exc","Excelsa",H823="Ara","Arabica",H823="Lib","Liberica")</f>
        <v>Robusta</v>
      </c>
      <c r="N823" t="str" cm="1">
        <f t="array" ref="N823">_xlfn.IFS(I823="M","Medium",I823="L","Light",I823="D","Dark")</f>
        <v>Dark</v>
      </c>
      <c r="O823" t="str">
        <f>_xlfn.XLOOKUP(Orders[[#This Row],[Customer ID]],customers!$A$2:$A$1001,customers!$I$2:$I$1001,,0)</f>
        <v>No</v>
      </c>
    </row>
    <row r="824" spans="1:15" x14ac:dyDescent="0.3">
      <c r="A824" s="2" t="s">
        <v>5135</v>
      </c>
      <c r="B824" s="3">
        <v>43585</v>
      </c>
      <c r="C824" s="2" t="s">
        <v>5136</v>
      </c>
      <c r="D824" t="s">
        <v>6148</v>
      </c>
      <c r="E824" s="2">
        <v>4</v>
      </c>
      <c r="F824" s="2" t="str">
        <f>_xlfn.XLOOKUP(C824,customers!$A$2:$A$1001,customers!$B$2:$B$1001,,0)</f>
        <v>Lyndsey MacManus</v>
      </c>
      <c r="G824" s="2" t="str">
        <f>_xlfn.XLOOKUP(C824,customers!$A$2:$A$1001,customers!$G$2:$G$1001,,0)</f>
        <v>United States</v>
      </c>
      <c r="H824" t="str">
        <f>INDEX(products!$A$1:$G$49,MATCH(orders!$D824,products!$A$1:$A$49,0),MATCH(orders!H$1,products!$A$1:$G$1,0))</f>
        <v>Exc</v>
      </c>
      <c r="I824" t="str">
        <f>INDEX(products!$A$1:$G$49,MATCH(orders!$D824,products!$A$1:$A$49,0),MATCH(orders!I$1,products!$A$1:$G$1,0))</f>
        <v>L</v>
      </c>
      <c r="J824" s="5">
        <f>INDEX(products!$A$1:$G$49,MATCH(orders!$D824,products!$A$1:$A$49,0),MATCH(orders!J$1,products!$A$1:$G$1,0))</f>
        <v>2.5</v>
      </c>
      <c r="K824" s="6">
        <f>INDEX(products!$A$1:$G$49,MATCH(orders!$D824,products!$A$1:$A$49,0),MATCH(orders!K$1,products!$A$1:$G$1,0))</f>
        <v>34.154999999999994</v>
      </c>
      <c r="L824" s="6">
        <f>K824*E824</f>
        <v>136.61999999999998</v>
      </c>
      <c r="M824" t="str" cm="1">
        <f t="array" ref="M824">_xlfn.IFS(H824="Rob","Robusta",H824="Exc","Excelsa",H824="Ara","Arabica",H824="Lib","Liberica")</f>
        <v>Excelsa</v>
      </c>
      <c r="N824" t="str" cm="1">
        <f t="array" ref="N824">_xlfn.IFS(I824="M","Medium",I824="L","Light",I824="D","Dark")</f>
        <v>Light</v>
      </c>
      <c r="O824" t="str">
        <f>_xlfn.XLOOKUP(Orders[[#This Row],[Customer ID]],customers!$A$2:$A$1001,customers!$I$2:$I$1001,,0)</f>
        <v>No</v>
      </c>
    </row>
    <row r="825" spans="1:15" x14ac:dyDescent="0.3">
      <c r="A825" s="2" t="s">
        <v>5141</v>
      </c>
      <c r="B825" s="3">
        <v>44134</v>
      </c>
      <c r="C825" s="2" t="s">
        <v>5142</v>
      </c>
      <c r="D825" t="s">
        <v>6170</v>
      </c>
      <c r="E825" s="2">
        <v>3</v>
      </c>
      <c r="F825" s="2" t="str">
        <f>_xlfn.XLOOKUP(C825,customers!$A$2:$A$1001,customers!$B$2:$B$1001,,0)</f>
        <v>Tess Benediktovich</v>
      </c>
      <c r="G825" s="2" t="str">
        <f>_xlfn.XLOOKUP(C825,customers!$A$2:$A$1001,customers!$G$2:$G$1001,,0)</f>
        <v>United States</v>
      </c>
      <c r="H825" t="str">
        <f>INDEX(products!$A$1:$G$49,MATCH(orders!$D825,products!$A$1:$A$49,0),MATCH(orders!H$1,products!$A$1:$G$1,0))</f>
        <v>Lib</v>
      </c>
      <c r="I825" t="str">
        <f>INDEX(products!$A$1:$G$49,MATCH(orders!$D825,products!$A$1:$A$49,0),MATCH(orders!I$1,products!$A$1:$G$1,0))</f>
        <v>L</v>
      </c>
      <c r="J825" s="5">
        <f>INDEX(products!$A$1:$G$49,MATCH(orders!$D825,products!$A$1:$A$49,0),MATCH(orders!J$1,products!$A$1:$G$1,0))</f>
        <v>1</v>
      </c>
      <c r="K825" s="6">
        <f>INDEX(products!$A$1:$G$49,MATCH(orders!$D825,products!$A$1:$A$49,0),MATCH(orders!K$1,products!$A$1:$G$1,0))</f>
        <v>15.85</v>
      </c>
      <c r="L825" s="6">
        <f>K825*E825</f>
        <v>47.55</v>
      </c>
      <c r="M825" t="str" cm="1">
        <f t="array" ref="M825">_xlfn.IFS(H825="Rob","Robusta",H825="Exc","Excelsa",H825="Ara","Arabica",H825="Lib","Liberica")</f>
        <v>Liberica</v>
      </c>
      <c r="N825" t="str" cm="1">
        <f t="array" ref="N825">_xlfn.IFS(I825="M","Medium",I825="L","Light",I825="D","Dark")</f>
        <v>Light</v>
      </c>
      <c r="O825" t="str">
        <f>_xlfn.XLOOKUP(Orders[[#This Row],[Customer ID]],customers!$A$2:$A$1001,customers!$I$2:$I$1001,,0)</f>
        <v>Yes</v>
      </c>
    </row>
    <row r="826" spans="1:15" x14ac:dyDescent="0.3">
      <c r="A826" s="2" t="s">
        <v>5147</v>
      </c>
      <c r="B826" s="3">
        <v>43781</v>
      </c>
      <c r="C826" s="2" t="s">
        <v>5148</v>
      </c>
      <c r="D826" t="s">
        <v>6152</v>
      </c>
      <c r="E826" s="2">
        <v>5</v>
      </c>
      <c r="F826" s="2" t="str">
        <f>_xlfn.XLOOKUP(C826,customers!$A$2:$A$1001,customers!$B$2:$B$1001,,0)</f>
        <v>Correy Bourner</v>
      </c>
      <c r="G826" s="2" t="str">
        <f>_xlfn.XLOOKUP(C826,customers!$A$2:$A$1001,customers!$G$2:$G$1001,,0)</f>
        <v>United States</v>
      </c>
      <c r="H826" t="str">
        <f>INDEX(products!$A$1:$G$49,MATCH(orders!$D826,products!$A$1:$A$49,0),MATCH(orders!H$1,products!$A$1:$G$1,0))</f>
        <v>Ara</v>
      </c>
      <c r="I826" t="str">
        <f>INDEX(products!$A$1:$G$49,MATCH(orders!$D826,products!$A$1:$A$49,0),MATCH(orders!I$1,products!$A$1:$G$1,0))</f>
        <v>M</v>
      </c>
      <c r="J826" s="5">
        <f>INDEX(products!$A$1:$G$49,MATCH(orders!$D826,products!$A$1:$A$49,0),MATCH(orders!J$1,products!$A$1:$G$1,0))</f>
        <v>0.2</v>
      </c>
      <c r="K826" s="6">
        <f>INDEX(products!$A$1:$G$49,MATCH(orders!$D826,products!$A$1:$A$49,0),MATCH(orders!K$1,products!$A$1:$G$1,0))</f>
        <v>3.375</v>
      </c>
      <c r="L826" s="6">
        <f>K826*E826</f>
        <v>16.875</v>
      </c>
      <c r="M826" t="str" cm="1">
        <f t="array" ref="M826">_xlfn.IFS(H826="Rob","Robusta",H826="Exc","Excelsa",H826="Ara","Arabica",H826="Lib","Liberica")</f>
        <v>Arabica</v>
      </c>
      <c r="N826" t="str" cm="1">
        <f t="array" ref="N826">_xlfn.IFS(I826="M","Medium",I826="L","Light",I826="D","Dark")</f>
        <v>Medium</v>
      </c>
      <c r="O826" t="str">
        <f>_xlfn.XLOOKUP(Orders[[#This Row],[Customer ID]],customers!$A$2:$A$1001,customers!$I$2:$I$1001,,0)</f>
        <v>Yes</v>
      </c>
    </row>
    <row r="827" spans="1:15" x14ac:dyDescent="0.3">
      <c r="A827" s="2" t="s">
        <v>5152</v>
      </c>
      <c r="B827" s="3">
        <v>44603</v>
      </c>
      <c r="C827" s="2" t="s">
        <v>5188</v>
      </c>
      <c r="D827" t="s">
        <v>6147</v>
      </c>
      <c r="E827" s="2">
        <v>3</v>
      </c>
      <c r="F827" s="2" t="str">
        <f>_xlfn.XLOOKUP(C827,customers!$A$2:$A$1001,customers!$B$2:$B$1001,,0)</f>
        <v>Odelia Skerme</v>
      </c>
      <c r="G827" s="2" t="str">
        <f>_xlfn.XLOOKUP(C827,customers!$A$2:$A$1001,customers!$G$2:$G$1001,,0)</f>
        <v>United States</v>
      </c>
      <c r="H827" t="str">
        <f>INDEX(products!$A$1:$G$49,MATCH(orders!$D827,products!$A$1:$A$49,0),MATCH(orders!H$1,products!$A$1:$G$1,0))</f>
        <v>Ara</v>
      </c>
      <c r="I827" t="str">
        <f>INDEX(products!$A$1:$G$49,MATCH(orders!$D827,products!$A$1:$A$49,0),MATCH(orders!I$1,products!$A$1:$G$1,0))</f>
        <v>D</v>
      </c>
      <c r="J827" s="5">
        <f>INDEX(products!$A$1:$G$49,MATCH(orders!$D827,products!$A$1:$A$49,0),MATCH(orders!J$1,products!$A$1:$G$1,0))</f>
        <v>1</v>
      </c>
      <c r="K827" s="6">
        <f>INDEX(products!$A$1:$G$49,MATCH(orders!$D827,products!$A$1:$A$49,0),MATCH(orders!K$1,products!$A$1:$G$1,0))</f>
        <v>9.9499999999999993</v>
      </c>
      <c r="L827" s="6">
        <f>K827*E827</f>
        <v>29.849999999999998</v>
      </c>
      <c r="M827" t="str" cm="1">
        <f t="array" ref="M827">_xlfn.IFS(H827="Rob","Robusta",H827="Exc","Excelsa",H827="Ara","Arabica",H827="Lib","Liberica")</f>
        <v>Arabica</v>
      </c>
      <c r="N827" t="str" cm="1">
        <f t="array" ref="N827">_xlfn.IFS(I827="M","Medium",I827="L","Light",I827="D","Dark")</f>
        <v>Dark</v>
      </c>
      <c r="O827" t="str">
        <f>_xlfn.XLOOKUP(Orders[[#This Row],[Customer ID]],customers!$A$2:$A$1001,customers!$I$2:$I$1001,,0)</f>
        <v>Yes</v>
      </c>
    </row>
    <row r="828" spans="1:15" x14ac:dyDescent="0.3">
      <c r="A828" s="2" t="s">
        <v>5158</v>
      </c>
      <c r="B828" s="3">
        <v>44283</v>
      </c>
      <c r="C828" s="2" t="s">
        <v>5159</v>
      </c>
      <c r="D828" t="s">
        <v>6139</v>
      </c>
      <c r="E828" s="2">
        <v>5</v>
      </c>
      <c r="F828" s="2" t="str">
        <f>_xlfn.XLOOKUP(C828,customers!$A$2:$A$1001,customers!$B$2:$B$1001,,0)</f>
        <v>Kandy Heddan</v>
      </c>
      <c r="G828" s="2" t="str">
        <f>_xlfn.XLOOKUP(C828,customers!$A$2:$A$1001,customers!$G$2:$G$1001,,0)</f>
        <v>United States</v>
      </c>
      <c r="H828" t="str">
        <f>INDEX(products!$A$1:$G$49,MATCH(orders!$D828,products!$A$1:$A$49,0),MATCH(orders!H$1,products!$A$1:$G$1,0))</f>
        <v>Exc</v>
      </c>
      <c r="I828" t="str">
        <f>INDEX(products!$A$1:$G$49,MATCH(orders!$D828,products!$A$1:$A$49,0),MATCH(orders!I$1,products!$A$1:$G$1,0))</f>
        <v>M</v>
      </c>
      <c r="J828" s="5">
        <f>INDEX(products!$A$1:$G$49,MATCH(orders!$D828,products!$A$1:$A$49,0),MATCH(orders!J$1,products!$A$1:$G$1,0))</f>
        <v>0.5</v>
      </c>
      <c r="K828" s="6">
        <f>INDEX(products!$A$1:$G$49,MATCH(orders!$D828,products!$A$1:$A$49,0),MATCH(orders!K$1,products!$A$1:$G$1,0))</f>
        <v>8.25</v>
      </c>
      <c r="L828" s="6">
        <f>K828*E828</f>
        <v>41.25</v>
      </c>
      <c r="M828" t="str" cm="1">
        <f t="array" ref="M828">_xlfn.IFS(H828="Rob","Robusta",H828="Exc","Excelsa",H828="Ara","Arabica",H828="Lib","Liberica")</f>
        <v>Excelsa</v>
      </c>
      <c r="N828" t="str" cm="1">
        <f t="array" ref="N828">_xlfn.IFS(I828="M","Medium",I828="L","Light",I828="D","Dark")</f>
        <v>Medium</v>
      </c>
      <c r="O828" t="str">
        <f>_xlfn.XLOOKUP(Orders[[#This Row],[Customer ID]],customers!$A$2:$A$1001,customers!$I$2:$I$1001,,0)</f>
        <v>Yes</v>
      </c>
    </row>
    <row r="829" spans="1:15" x14ac:dyDescent="0.3">
      <c r="A829" s="2" t="s">
        <v>5164</v>
      </c>
      <c r="B829" s="3">
        <v>44540</v>
      </c>
      <c r="C829" s="2" t="s">
        <v>5165</v>
      </c>
      <c r="D829" t="s">
        <v>6156</v>
      </c>
      <c r="E829" s="2">
        <v>5</v>
      </c>
      <c r="F829" s="2" t="str">
        <f>_xlfn.XLOOKUP(C829,customers!$A$2:$A$1001,customers!$B$2:$B$1001,,0)</f>
        <v>Ibby Charters</v>
      </c>
      <c r="G829" s="2" t="str">
        <f>_xlfn.XLOOKUP(C829,customers!$A$2:$A$1001,customers!$G$2:$G$1001,,0)</f>
        <v>United States</v>
      </c>
      <c r="H829" t="str">
        <f>INDEX(products!$A$1:$G$49,MATCH(orders!$D829,products!$A$1:$A$49,0),MATCH(orders!H$1,products!$A$1:$G$1,0))</f>
        <v>Exc</v>
      </c>
      <c r="I829" t="str">
        <f>INDEX(products!$A$1:$G$49,MATCH(orders!$D829,products!$A$1:$A$49,0),MATCH(orders!I$1,products!$A$1:$G$1,0))</f>
        <v>M</v>
      </c>
      <c r="J829" s="5">
        <f>INDEX(products!$A$1:$G$49,MATCH(orders!$D829,products!$A$1:$A$49,0),MATCH(orders!J$1,products!$A$1:$G$1,0))</f>
        <v>0.2</v>
      </c>
      <c r="K829" s="6">
        <f>INDEX(products!$A$1:$G$49,MATCH(orders!$D829,products!$A$1:$A$49,0),MATCH(orders!K$1,products!$A$1:$G$1,0))</f>
        <v>4.125</v>
      </c>
      <c r="L829" s="6">
        <f>K829*E829</f>
        <v>20.625</v>
      </c>
      <c r="M829" t="str" cm="1">
        <f t="array" ref="M829">_xlfn.IFS(H829="Rob","Robusta",H829="Exc","Excelsa",H829="Ara","Arabica",H829="Lib","Liberica")</f>
        <v>Excelsa</v>
      </c>
      <c r="N829" t="str" cm="1">
        <f t="array" ref="N829">_xlfn.IFS(I829="M","Medium",I829="L","Light",I829="D","Dark")</f>
        <v>Medium</v>
      </c>
      <c r="O829" t="str">
        <f>_xlfn.XLOOKUP(Orders[[#This Row],[Customer ID]],customers!$A$2:$A$1001,customers!$I$2:$I$1001,,0)</f>
        <v>No</v>
      </c>
    </row>
    <row r="830" spans="1:15" x14ac:dyDescent="0.3">
      <c r="A830" s="2" t="s">
        <v>5170</v>
      </c>
      <c r="B830" s="3">
        <v>44505</v>
      </c>
      <c r="C830" s="2" t="s">
        <v>5171</v>
      </c>
      <c r="D830" t="s">
        <v>6168</v>
      </c>
      <c r="E830" s="2">
        <v>6</v>
      </c>
      <c r="F830" s="2" t="str">
        <f>_xlfn.XLOOKUP(C830,customers!$A$2:$A$1001,customers!$B$2:$B$1001,,0)</f>
        <v>Adora Roubert</v>
      </c>
      <c r="G830" s="2" t="str">
        <f>_xlfn.XLOOKUP(C830,customers!$A$2:$A$1001,customers!$G$2:$G$1001,,0)</f>
        <v>United States</v>
      </c>
      <c r="H830" t="str">
        <f>INDEX(products!$A$1:$G$49,MATCH(orders!$D830,products!$A$1:$A$49,0),MATCH(orders!H$1,products!$A$1:$G$1,0))</f>
        <v>Ara</v>
      </c>
      <c r="I830" t="str">
        <f>INDEX(products!$A$1:$G$49,MATCH(orders!$D830,products!$A$1:$A$49,0),MATCH(orders!I$1,products!$A$1:$G$1,0))</f>
        <v>D</v>
      </c>
      <c r="J830" s="5">
        <f>INDEX(products!$A$1:$G$49,MATCH(orders!$D830,products!$A$1:$A$49,0),MATCH(orders!J$1,products!$A$1:$G$1,0))</f>
        <v>2.5</v>
      </c>
      <c r="K830" s="6">
        <f>INDEX(products!$A$1:$G$49,MATCH(orders!$D830,products!$A$1:$A$49,0),MATCH(orders!K$1,products!$A$1:$G$1,0))</f>
        <v>22.884999999999998</v>
      </c>
      <c r="L830" s="6">
        <f>K830*E830</f>
        <v>137.31</v>
      </c>
      <c r="M830" t="str" cm="1">
        <f t="array" ref="M830">_xlfn.IFS(H830="Rob","Robusta",H830="Exc","Excelsa",H830="Ara","Arabica",H830="Lib","Liberica")</f>
        <v>Arabica</v>
      </c>
      <c r="N830" t="str" cm="1">
        <f t="array" ref="N830">_xlfn.IFS(I830="M","Medium",I830="L","Light",I830="D","Dark")</f>
        <v>Dark</v>
      </c>
      <c r="O830" t="str">
        <f>_xlfn.XLOOKUP(Orders[[#This Row],[Customer ID]],customers!$A$2:$A$1001,customers!$I$2:$I$1001,,0)</f>
        <v>Yes</v>
      </c>
    </row>
    <row r="831" spans="1:15" x14ac:dyDescent="0.3">
      <c r="A831" s="2" t="s">
        <v>5176</v>
      </c>
      <c r="B831" s="3">
        <v>43890</v>
      </c>
      <c r="C831" s="2" t="s">
        <v>5177</v>
      </c>
      <c r="D831" t="s">
        <v>6154</v>
      </c>
      <c r="E831" s="2">
        <v>1</v>
      </c>
      <c r="F831" s="2" t="str">
        <f>_xlfn.XLOOKUP(C831,customers!$A$2:$A$1001,customers!$B$2:$B$1001,,0)</f>
        <v>Hillel Mairs</v>
      </c>
      <c r="G831" s="2" t="str">
        <f>_xlfn.XLOOKUP(C831,customers!$A$2:$A$1001,customers!$G$2:$G$1001,,0)</f>
        <v>United States</v>
      </c>
      <c r="H831" t="str">
        <f>INDEX(products!$A$1:$G$49,MATCH(orders!$D831,products!$A$1:$A$49,0),MATCH(orders!H$1,products!$A$1:$G$1,0))</f>
        <v>Ara</v>
      </c>
      <c r="I831" t="str">
        <f>INDEX(products!$A$1:$G$49,MATCH(orders!$D831,products!$A$1:$A$49,0),MATCH(orders!I$1,products!$A$1:$G$1,0))</f>
        <v>D</v>
      </c>
      <c r="J831" s="5">
        <f>INDEX(products!$A$1:$G$49,MATCH(orders!$D831,products!$A$1:$A$49,0),MATCH(orders!J$1,products!$A$1:$G$1,0))</f>
        <v>0.2</v>
      </c>
      <c r="K831" s="6">
        <f>INDEX(products!$A$1:$G$49,MATCH(orders!$D831,products!$A$1:$A$49,0),MATCH(orders!K$1,products!$A$1:$G$1,0))</f>
        <v>2.9849999999999999</v>
      </c>
      <c r="L831" s="6">
        <f>K831*E831</f>
        <v>2.9849999999999999</v>
      </c>
      <c r="M831" t="str" cm="1">
        <f t="array" ref="M831">_xlfn.IFS(H831="Rob","Robusta",H831="Exc","Excelsa",H831="Ara","Arabica",H831="Lib","Liberica")</f>
        <v>Arabica</v>
      </c>
      <c r="N831" t="str" cm="1">
        <f t="array" ref="N831">_xlfn.IFS(I831="M","Medium",I831="L","Light",I831="D","Dark")</f>
        <v>Dark</v>
      </c>
      <c r="O831" t="str">
        <f>_xlfn.XLOOKUP(Orders[[#This Row],[Customer ID]],customers!$A$2:$A$1001,customers!$I$2:$I$1001,,0)</f>
        <v>No</v>
      </c>
    </row>
    <row r="832" spans="1:15" x14ac:dyDescent="0.3">
      <c r="A832" s="2" t="s">
        <v>5182</v>
      </c>
      <c r="B832" s="3">
        <v>44414</v>
      </c>
      <c r="C832" s="2" t="s">
        <v>5183</v>
      </c>
      <c r="D832" t="s">
        <v>6141</v>
      </c>
      <c r="E832" s="2">
        <v>2</v>
      </c>
      <c r="F832" s="2" t="str">
        <f>_xlfn.XLOOKUP(C832,customers!$A$2:$A$1001,customers!$B$2:$B$1001,,0)</f>
        <v>Helaina Rainforth</v>
      </c>
      <c r="G832" s="2" t="str">
        <f>_xlfn.XLOOKUP(C832,customers!$A$2:$A$1001,customers!$G$2:$G$1001,,0)</f>
        <v>United States</v>
      </c>
      <c r="H832" t="str">
        <f>INDEX(products!$A$1:$G$49,MATCH(orders!$D832,products!$A$1:$A$49,0),MATCH(orders!H$1,products!$A$1:$G$1,0))</f>
        <v>Exc</v>
      </c>
      <c r="I832" t="str">
        <f>INDEX(products!$A$1:$G$49,MATCH(orders!$D832,products!$A$1:$A$49,0),MATCH(orders!I$1,products!$A$1:$G$1,0))</f>
        <v>M</v>
      </c>
      <c r="J832" s="5">
        <f>INDEX(products!$A$1:$G$49,MATCH(orders!$D832,products!$A$1:$A$49,0),MATCH(orders!J$1,products!$A$1:$G$1,0))</f>
        <v>1</v>
      </c>
      <c r="K832" s="6">
        <f>INDEX(products!$A$1:$G$49,MATCH(orders!$D832,products!$A$1:$A$49,0),MATCH(orders!K$1,products!$A$1:$G$1,0))</f>
        <v>13.75</v>
      </c>
      <c r="L832" s="6">
        <f>K832*E832</f>
        <v>27.5</v>
      </c>
      <c r="M832" t="str" cm="1">
        <f t="array" ref="M832">_xlfn.IFS(H832="Rob","Robusta",H832="Exc","Excelsa",H832="Ara","Arabica",H832="Lib","Liberica")</f>
        <v>Excelsa</v>
      </c>
      <c r="N832" t="str" cm="1">
        <f t="array" ref="N832">_xlfn.IFS(I832="M","Medium",I832="L","Light",I832="D","Dark")</f>
        <v>Medium</v>
      </c>
      <c r="O832" t="str">
        <f>_xlfn.XLOOKUP(Orders[[#This Row],[Customer ID]],customers!$A$2:$A$1001,customers!$I$2:$I$1001,,0)</f>
        <v>No</v>
      </c>
    </row>
    <row r="833" spans="1:15" x14ac:dyDescent="0.3">
      <c r="A833" s="2" t="s">
        <v>5182</v>
      </c>
      <c r="B833" s="3">
        <v>44414</v>
      </c>
      <c r="C833" s="2" t="s">
        <v>5183</v>
      </c>
      <c r="D833" t="s">
        <v>6154</v>
      </c>
      <c r="E833" s="2">
        <v>2</v>
      </c>
      <c r="F833" s="2" t="str">
        <f>_xlfn.XLOOKUP(C833,customers!$A$2:$A$1001,customers!$B$2:$B$1001,,0)</f>
        <v>Helaina Rainforth</v>
      </c>
      <c r="G833" s="2" t="str">
        <f>_xlfn.XLOOKUP(C833,customers!$A$2:$A$1001,customers!$G$2:$G$1001,,0)</f>
        <v>United States</v>
      </c>
      <c r="H833" t="str">
        <f>INDEX(products!$A$1:$G$49,MATCH(orders!$D833,products!$A$1:$A$49,0),MATCH(orders!H$1,products!$A$1:$G$1,0))</f>
        <v>Ara</v>
      </c>
      <c r="I833" t="str">
        <f>INDEX(products!$A$1:$G$49,MATCH(orders!$D833,products!$A$1:$A$49,0),MATCH(orders!I$1,products!$A$1:$G$1,0))</f>
        <v>D</v>
      </c>
      <c r="J833" s="5">
        <f>INDEX(products!$A$1:$G$49,MATCH(orders!$D833,products!$A$1:$A$49,0),MATCH(orders!J$1,products!$A$1:$G$1,0))</f>
        <v>0.2</v>
      </c>
      <c r="K833" s="6">
        <f>INDEX(products!$A$1:$G$49,MATCH(orders!$D833,products!$A$1:$A$49,0),MATCH(orders!K$1,products!$A$1:$G$1,0))</f>
        <v>2.9849999999999999</v>
      </c>
      <c r="L833" s="6">
        <f>K833*E833</f>
        <v>5.97</v>
      </c>
      <c r="M833" t="str" cm="1">
        <f t="array" ref="M833">_xlfn.IFS(H833="Rob","Robusta",H833="Exc","Excelsa",H833="Ara","Arabica",H833="Lib","Liberica")</f>
        <v>Arabica</v>
      </c>
      <c r="N833" t="str" cm="1">
        <f t="array" ref="N833">_xlfn.IFS(I833="M","Medium",I833="L","Light",I833="D","Dark")</f>
        <v>Dark</v>
      </c>
      <c r="O833" t="str">
        <f>_xlfn.XLOOKUP(Orders[[#This Row],[Customer ID]],customers!$A$2:$A$1001,customers!$I$2:$I$1001,,0)</f>
        <v>No</v>
      </c>
    </row>
    <row r="834" spans="1:15" x14ac:dyDescent="0.3">
      <c r="A834" s="2" t="s">
        <v>5193</v>
      </c>
      <c r="B834" s="3">
        <v>44274</v>
      </c>
      <c r="C834" s="2" t="s">
        <v>5194</v>
      </c>
      <c r="D834" t="s">
        <v>6138</v>
      </c>
      <c r="E834" s="2">
        <v>6</v>
      </c>
      <c r="F834" s="2" t="str">
        <f>_xlfn.XLOOKUP(C834,customers!$A$2:$A$1001,customers!$B$2:$B$1001,,0)</f>
        <v>Isac Jesper</v>
      </c>
      <c r="G834" s="2" t="str">
        <f>_xlfn.XLOOKUP(C834,customers!$A$2:$A$1001,customers!$G$2:$G$1001,,0)</f>
        <v>United States</v>
      </c>
      <c r="H834" t="str">
        <f>INDEX(products!$A$1:$G$49,MATCH(orders!$D834,products!$A$1:$A$49,0),MATCH(orders!H$1,products!$A$1:$G$1,0))</f>
        <v>Rob</v>
      </c>
      <c r="I834" t="str">
        <f>INDEX(products!$A$1:$G$49,MATCH(orders!$D834,products!$A$1:$A$49,0),MATCH(orders!I$1,products!$A$1:$G$1,0))</f>
        <v>M</v>
      </c>
      <c r="J834" s="5">
        <f>INDEX(products!$A$1:$G$49,MATCH(orders!$D834,products!$A$1:$A$49,0),MATCH(orders!J$1,products!$A$1:$G$1,0))</f>
        <v>1</v>
      </c>
      <c r="K834" s="6">
        <f>INDEX(products!$A$1:$G$49,MATCH(orders!$D834,products!$A$1:$A$49,0),MATCH(orders!K$1,products!$A$1:$G$1,0))</f>
        <v>9.9499999999999993</v>
      </c>
      <c r="L834" s="6">
        <f>K834*E834</f>
        <v>59.699999999999996</v>
      </c>
      <c r="M834" t="str" cm="1">
        <f t="array" ref="M834">_xlfn.IFS(H834="Rob","Robusta",H834="Exc","Excelsa",H834="Ara","Arabica",H834="Lib","Liberica")</f>
        <v>Robusta</v>
      </c>
      <c r="N834" t="str" cm="1">
        <f t="array" ref="N834">_xlfn.IFS(I834="M","Medium",I834="L","Light",I834="D","Dark")</f>
        <v>Medium</v>
      </c>
      <c r="O834" t="str">
        <f>_xlfn.XLOOKUP(Orders[[#This Row],[Customer ID]],customers!$A$2:$A$1001,customers!$I$2:$I$1001,,0)</f>
        <v>No</v>
      </c>
    </row>
    <row r="835" spans="1:15" x14ac:dyDescent="0.3">
      <c r="A835" s="2" t="s">
        <v>5199</v>
      </c>
      <c r="B835" s="3">
        <v>44302</v>
      </c>
      <c r="C835" s="2" t="s">
        <v>5200</v>
      </c>
      <c r="D835" t="s">
        <v>6149</v>
      </c>
      <c r="E835" s="2">
        <v>4</v>
      </c>
      <c r="F835" s="2" t="str">
        <f>_xlfn.XLOOKUP(C835,customers!$A$2:$A$1001,customers!$B$2:$B$1001,,0)</f>
        <v>Lenette Dwerryhouse</v>
      </c>
      <c r="G835" s="2" t="str">
        <f>_xlfn.XLOOKUP(C835,customers!$A$2:$A$1001,customers!$G$2:$G$1001,,0)</f>
        <v>United States</v>
      </c>
      <c r="H835" t="str">
        <f>INDEX(products!$A$1:$G$49,MATCH(orders!$D835,products!$A$1:$A$49,0),MATCH(orders!H$1,products!$A$1:$G$1,0))</f>
        <v>Rob</v>
      </c>
      <c r="I835" t="str">
        <f>INDEX(products!$A$1:$G$49,MATCH(orders!$D835,products!$A$1:$A$49,0),MATCH(orders!I$1,products!$A$1:$G$1,0))</f>
        <v>D</v>
      </c>
      <c r="J835" s="5">
        <f>INDEX(products!$A$1:$G$49,MATCH(orders!$D835,products!$A$1:$A$49,0),MATCH(orders!J$1,products!$A$1:$G$1,0))</f>
        <v>2.5</v>
      </c>
      <c r="K835" s="6">
        <f>INDEX(products!$A$1:$G$49,MATCH(orders!$D835,products!$A$1:$A$49,0),MATCH(orders!K$1,products!$A$1:$G$1,0))</f>
        <v>20.584999999999997</v>
      </c>
      <c r="L835" s="6">
        <f>K835*E835</f>
        <v>82.339999999999989</v>
      </c>
      <c r="M835" t="str" cm="1">
        <f t="array" ref="M835">_xlfn.IFS(H835="Rob","Robusta",H835="Exc","Excelsa",H835="Ara","Arabica",H835="Lib","Liberica")</f>
        <v>Robusta</v>
      </c>
      <c r="N835" t="str" cm="1">
        <f t="array" ref="N835">_xlfn.IFS(I835="M","Medium",I835="L","Light",I835="D","Dark")</f>
        <v>Dark</v>
      </c>
      <c r="O835" t="str">
        <f>_xlfn.XLOOKUP(Orders[[#This Row],[Customer ID]],customers!$A$2:$A$1001,customers!$I$2:$I$1001,,0)</f>
        <v>Yes</v>
      </c>
    </row>
    <row r="836" spans="1:15" x14ac:dyDescent="0.3">
      <c r="A836" s="2" t="s">
        <v>5205</v>
      </c>
      <c r="B836" s="3">
        <v>44141</v>
      </c>
      <c r="C836" s="2" t="s">
        <v>5206</v>
      </c>
      <c r="D836" t="s">
        <v>6168</v>
      </c>
      <c r="E836" s="2">
        <v>1</v>
      </c>
      <c r="F836" s="2" t="str">
        <f>_xlfn.XLOOKUP(C836,customers!$A$2:$A$1001,customers!$B$2:$B$1001,,0)</f>
        <v>Nadeen Broomer</v>
      </c>
      <c r="G836" s="2" t="str">
        <f>_xlfn.XLOOKUP(C836,customers!$A$2:$A$1001,customers!$G$2:$G$1001,,0)</f>
        <v>United States</v>
      </c>
      <c r="H836" t="str">
        <f>INDEX(products!$A$1:$G$49,MATCH(orders!$D836,products!$A$1:$A$49,0),MATCH(orders!H$1,products!$A$1:$G$1,0))</f>
        <v>Ara</v>
      </c>
      <c r="I836" t="str">
        <f>INDEX(products!$A$1:$G$49,MATCH(orders!$D836,products!$A$1:$A$49,0),MATCH(orders!I$1,products!$A$1:$G$1,0))</f>
        <v>D</v>
      </c>
      <c r="J836" s="5">
        <f>INDEX(products!$A$1:$G$49,MATCH(orders!$D836,products!$A$1:$A$49,0),MATCH(orders!J$1,products!$A$1:$G$1,0))</f>
        <v>2.5</v>
      </c>
      <c r="K836" s="6">
        <f>INDEX(products!$A$1:$G$49,MATCH(orders!$D836,products!$A$1:$A$49,0),MATCH(orders!K$1,products!$A$1:$G$1,0))</f>
        <v>22.884999999999998</v>
      </c>
      <c r="L836" s="6">
        <f>K836*E836</f>
        <v>22.884999999999998</v>
      </c>
      <c r="M836" t="str" cm="1">
        <f t="array" ref="M836">_xlfn.IFS(H836="Rob","Robusta",H836="Exc","Excelsa",H836="Ara","Arabica",H836="Lib","Liberica")</f>
        <v>Arabica</v>
      </c>
      <c r="N836" t="str" cm="1">
        <f t="array" ref="N836">_xlfn.IFS(I836="M","Medium",I836="L","Light",I836="D","Dark")</f>
        <v>Dark</v>
      </c>
      <c r="O836" t="str">
        <f>_xlfn.XLOOKUP(Orders[[#This Row],[Customer ID]],customers!$A$2:$A$1001,customers!$I$2:$I$1001,,0)</f>
        <v>No</v>
      </c>
    </row>
    <row r="837" spans="1:15" x14ac:dyDescent="0.3">
      <c r="A837" s="2" t="s">
        <v>5211</v>
      </c>
      <c r="B837" s="3">
        <v>44270</v>
      </c>
      <c r="C837" s="2" t="s">
        <v>5212</v>
      </c>
      <c r="D837" t="s">
        <v>6176</v>
      </c>
      <c r="E837" s="2">
        <v>1</v>
      </c>
      <c r="F837" s="2" t="str">
        <f>_xlfn.XLOOKUP(C837,customers!$A$2:$A$1001,customers!$B$2:$B$1001,,0)</f>
        <v>Konstantine Thoumasson</v>
      </c>
      <c r="G837" s="2" t="str">
        <f>_xlfn.XLOOKUP(C837,customers!$A$2:$A$1001,customers!$G$2:$G$1001,,0)</f>
        <v>United States</v>
      </c>
      <c r="H837" t="str">
        <f>INDEX(products!$A$1:$G$49,MATCH(orders!$D837,products!$A$1:$A$49,0),MATCH(orders!H$1,products!$A$1:$G$1,0))</f>
        <v>Exc</v>
      </c>
      <c r="I837" t="str">
        <f>INDEX(products!$A$1:$G$49,MATCH(orders!$D837,products!$A$1:$A$49,0),MATCH(orders!I$1,products!$A$1:$G$1,0))</f>
        <v>L</v>
      </c>
      <c r="J837" s="5">
        <f>INDEX(products!$A$1:$G$49,MATCH(orders!$D837,products!$A$1:$A$49,0),MATCH(orders!J$1,products!$A$1:$G$1,0))</f>
        <v>0.5</v>
      </c>
      <c r="K837" s="6">
        <f>INDEX(products!$A$1:$G$49,MATCH(orders!$D837,products!$A$1:$A$49,0),MATCH(orders!K$1,products!$A$1:$G$1,0))</f>
        <v>8.91</v>
      </c>
      <c r="L837" s="6">
        <f>K837*E837</f>
        <v>8.91</v>
      </c>
      <c r="M837" t="str" cm="1">
        <f t="array" ref="M837">_xlfn.IFS(H837="Rob","Robusta",H837="Exc","Excelsa",H837="Ara","Arabica",H837="Lib","Liberica")</f>
        <v>Excelsa</v>
      </c>
      <c r="N837" t="str" cm="1">
        <f t="array" ref="N837">_xlfn.IFS(I837="M","Medium",I837="L","Light",I837="D","Dark")</f>
        <v>Light</v>
      </c>
      <c r="O837" t="str">
        <f>_xlfn.XLOOKUP(Orders[[#This Row],[Customer ID]],customers!$A$2:$A$1001,customers!$I$2:$I$1001,,0)</f>
        <v>Yes</v>
      </c>
    </row>
    <row r="838" spans="1:15" x14ac:dyDescent="0.3">
      <c r="A838" s="2" t="s">
        <v>5216</v>
      </c>
      <c r="B838" s="3">
        <v>44486</v>
      </c>
      <c r="C838" s="2" t="s">
        <v>5217</v>
      </c>
      <c r="D838" t="s">
        <v>6154</v>
      </c>
      <c r="E838" s="2">
        <v>4</v>
      </c>
      <c r="F838" s="2" t="str">
        <f>_xlfn.XLOOKUP(C838,customers!$A$2:$A$1001,customers!$B$2:$B$1001,,0)</f>
        <v>Frans Habbergham</v>
      </c>
      <c r="G838" s="2" t="str">
        <f>_xlfn.XLOOKUP(C838,customers!$A$2:$A$1001,customers!$G$2:$G$1001,,0)</f>
        <v>United States</v>
      </c>
      <c r="H838" t="str">
        <f>INDEX(products!$A$1:$G$49,MATCH(orders!$D838,products!$A$1:$A$49,0),MATCH(orders!H$1,products!$A$1:$G$1,0))</f>
        <v>Ara</v>
      </c>
      <c r="I838" t="str">
        <f>INDEX(products!$A$1:$G$49,MATCH(orders!$D838,products!$A$1:$A$49,0),MATCH(orders!I$1,products!$A$1:$G$1,0))</f>
        <v>D</v>
      </c>
      <c r="J838" s="5">
        <f>INDEX(products!$A$1:$G$49,MATCH(orders!$D838,products!$A$1:$A$49,0),MATCH(orders!J$1,products!$A$1:$G$1,0))</f>
        <v>0.2</v>
      </c>
      <c r="K838" s="6">
        <f>INDEX(products!$A$1:$G$49,MATCH(orders!$D838,products!$A$1:$A$49,0),MATCH(orders!K$1,products!$A$1:$G$1,0))</f>
        <v>2.9849999999999999</v>
      </c>
      <c r="L838" s="6">
        <f>K838*E838</f>
        <v>11.94</v>
      </c>
      <c r="M838" t="str" cm="1">
        <f t="array" ref="M838">_xlfn.IFS(H838="Rob","Robusta",H838="Exc","Excelsa",H838="Ara","Arabica",H838="Lib","Liberica")</f>
        <v>Arabica</v>
      </c>
      <c r="N838" t="str" cm="1">
        <f t="array" ref="N838">_xlfn.IFS(I838="M","Medium",I838="L","Light",I838="D","Dark")</f>
        <v>Dark</v>
      </c>
      <c r="O838" t="str">
        <f>_xlfn.XLOOKUP(Orders[[#This Row],[Customer ID]],customers!$A$2:$A$1001,customers!$I$2:$I$1001,,0)</f>
        <v>No</v>
      </c>
    </row>
    <row r="839" spans="1:15" x14ac:dyDescent="0.3">
      <c r="A839" s="2" t="s">
        <v>5222</v>
      </c>
      <c r="B839" s="3">
        <v>43715</v>
      </c>
      <c r="C839" s="2" t="s">
        <v>5113</v>
      </c>
      <c r="D839" t="s">
        <v>6181</v>
      </c>
      <c r="E839" s="2">
        <v>3</v>
      </c>
      <c r="F839" s="2" t="str">
        <f>_xlfn.XLOOKUP(C839,customers!$A$2:$A$1001,customers!$B$2:$B$1001,,0)</f>
        <v>Allis Wilmore</v>
      </c>
      <c r="G839" s="2" t="str">
        <f>_xlfn.XLOOKUP(C839,customers!$A$2:$A$1001,customers!$G$2:$G$1001,,0)</f>
        <v>United States</v>
      </c>
      <c r="H839" t="str">
        <f>INDEX(products!$A$1:$G$49,MATCH(orders!$D839,products!$A$1:$A$49,0),MATCH(orders!H$1,products!$A$1:$G$1,0))</f>
        <v>Lib</v>
      </c>
      <c r="I839" t="str">
        <f>INDEX(products!$A$1:$G$49,MATCH(orders!$D839,products!$A$1:$A$49,0),MATCH(orders!I$1,products!$A$1:$G$1,0))</f>
        <v>M</v>
      </c>
      <c r="J839" s="5">
        <f>INDEX(products!$A$1:$G$49,MATCH(orders!$D839,products!$A$1:$A$49,0),MATCH(orders!J$1,products!$A$1:$G$1,0))</f>
        <v>2.5</v>
      </c>
      <c r="K839" s="6">
        <f>INDEX(products!$A$1:$G$49,MATCH(orders!$D839,products!$A$1:$A$49,0),MATCH(orders!K$1,products!$A$1:$G$1,0))</f>
        <v>33.464999999999996</v>
      </c>
      <c r="L839" s="6">
        <f>K839*E839</f>
        <v>100.39499999999998</v>
      </c>
      <c r="M839" t="str" cm="1">
        <f t="array" ref="M839">_xlfn.IFS(H839="Rob","Robusta",H839="Exc","Excelsa",H839="Ara","Arabica",H839="Lib","Liberica")</f>
        <v>Liberica</v>
      </c>
      <c r="N839" t="str" cm="1">
        <f t="array" ref="N839">_xlfn.IFS(I839="M","Medium",I839="L","Light",I839="D","Dark")</f>
        <v>Medium</v>
      </c>
      <c r="O839" t="str">
        <f>_xlfn.XLOOKUP(Orders[[#This Row],[Customer ID]],customers!$A$2:$A$1001,customers!$I$2:$I$1001,,0)</f>
        <v>No</v>
      </c>
    </row>
    <row r="840" spans="1:15" x14ac:dyDescent="0.3">
      <c r="A840" s="2" t="s">
        <v>5228</v>
      </c>
      <c r="B840" s="3">
        <v>44755</v>
      </c>
      <c r="C840" s="2" t="s">
        <v>5229</v>
      </c>
      <c r="D840" t="s">
        <v>6168</v>
      </c>
      <c r="E840" s="2">
        <v>5</v>
      </c>
      <c r="F840" s="2" t="str">
        <f>_xlfn.XLOOKUP(C840,customers!$A$2:$A$1001,customers!$B$2:$B$1001,,0)</f>
        <v>Romain Avrashin</v>
      </c>
      <c r="G840" s="2" t="str">
        <f>_xlfn.XLOOKUP(C840,customers!$A$2:$A$1001,customers!$G$2:$G$1001,,0)</f>
        <v>United States</v>
      </c>
      <c r="H840" t="str">
        <f>INDEX(products!$A$1:$G$49,MATCH(orders!$D840,products!$A$1:$A$49,0),MATCH(orders!H$1,products!$A$1:$G$1,0))</f>
        <v>Ara</v>
      </c>
      <c r="I840" t="str">
        <f>INDEX(products!$A$1:$G$49,MATCH(orders!$D840,products!$A$1:$A$49,0),MATCH(orders!I$1,products!$A$1:$G$1,0))</f>
        <v>D</v>
      </c>
      <c r="J840" s="5">
        <f>INDEX(products!$A$1:$G$49,MATCH(orders!$D840,products!$A$1:$A$49,0),MATCH(orders!J$1,products!$A$1:$G$1,0))</f>
        <v>2.5</v>
      </c>
      <c r="K840" s="6">
        <f>INDEX(products!$A$1:$G$49,MATCH(orders!$D840,products!$A$1:$A$49,0),MATCH(orders!K$1,products!$A$1:$G$1,0))</f>
        <v>22.884999999999998</v>
      </c>
      <c r="L840" s="6">
        <f>K840*E840</f>
        <v>114.42499999999998</v>
      </c>
      <c r="M840" t="str" cm="1">
        <f t="array" ref="M840">_xlfn.IFS(H840="Rob","Robusta",H840="Exc","Excelsa",H840="Ara","Arabica",H840="Lib","Liberica")</f>
        <v>Arabica</v>
      </c>
      <c r="N840" t="str" cm="1">
        <f t="array" ref="N840">_xlfn.IFS(I840="M","Medium",I840="L","Light",I840="D","Dark")</f>
        <v>Dark</v>
      </c>
      <c r="O840" t="str">
        <f>_xlfn.XLOOKUP(Orders[[#This Row],[Customer ID]],customers!$A$2:$A$1001,customers!$I$2:$I$1001,,0)</f>
        <v>No</v>
      </c>
    </row>
    <row r="841" spans="1:15" x14ac:dyDescent="0.3">
      <c r="A841" s="2" t="s">
        <v>5234</v>
      </c>
      <c r="B841" s="3">
        <v>44521</v>
      </c>
      <c r="C841" s="2" t="s">
        <v>5235</v>
      </c>
      <c r="D841" t="s">
        <v>6139</v>
      </c>
      <c r="E841" s="2">
        <v>5</v>
      </c>
      <c r="F841" s="2" t="str">
        <f>_xlfn.XLOOKUP(C841,customers!$A$2:$A$1001,customers!$B$2:$B$1001,,0)</f>
        <v>Miran Doidge</v>
      </c>
      <c r="G841" s="2" t="str">
        <f>_xlfn.XLOOKUP(C841,customers!$A$2:$A$1001,customers!$G$2:$G$1001,,0)</f>
        <v>United States</v>
      </c>
      <c r="H841" t="str">
        <f>INDEX(products!$A$1:$G$49,MATCH(orders!$D841,products!$A$1:$A$49,0),MATCH(orders!H$1,products!$A$1:$G$1,0))</f>
        <v>Exc</v>
      </c>
      <c r="I841" t="str">
        <f>INDEX(products!$A$1:$G$49,MATCH(orders!$D841,products!$A$1:$A$49,0),MATCH(orders!I$1,products!$A$1:$G$1,0))</f>
        <v>M</v>
      </c>
      <c r="J841" s="5">
        <f>INDEX(products!$A$1:$G$49,MATCH(orders!$D841,products!$A$1:$A$49,0),MATCH(orders!J$1,products!$A$1:$G$1,0))</f>
        <v>0.5</v>
      </c>
      <c r="K841" s="6">
        <f>INDEX(products!$A$1:$G$49,MATCH(orders!$D841,products!$A$1:$A$49,0),MATCH(orders!K$1,products!$A$1:$G$1,0))</f>
        <v>8.25</v>
      </c>
      <c r="L841" s="6">
        <f>K841*E841</f>
        <v>41.25</v>
      </c>
      <c r="M841" t="str" cm="1">
        <f t="array" ref="M841">_xlfn.IFS(H841="Rob","Robusta",H841="Exc","Excelsa",H841="Ara","Arabica",H841="Lib","Liberica")</f>
        <v>Excelsa</v>
      </c>
      <c r="N841" t="str" cm="1">
        <f t="array" ref="N841">_xlfn.IFS(I841="M","Medium",I841="L","Light",I841="D","Dark")</f>
        <v>Medium</v>
      </c>
      <c r="O841" t="str">
        <f>_xlfn.XLOOKUP(Orders[[#This Row],[Customer ID]],customers!$A$2:$A$1001,customers!$I$2:$I$1001,,0)</f>
        <v>No</v>
      </c>
    </row>
    <row r="842" spans="1:15" x14ac:dyDescent="0.3">
      <c r="A842" s="2" t="s">
        <v>5240</v>
      </c>
      <c r="B842" s="3">
        <v>44574</v>
      </c>
      <c r="C842" s="2" t="s">
        <v>5241</v>
      </c>
      <c r="D842" t="s">
        <v>6173</v>
      </c>
      <c r="E842" s="2">
        <v>4</v>
      </c>
      <c r="F842" s="2" t="str">
        <f>_xlfn.XLOOKUP(C842,customers!$A$2:$A$1001,customers!$B$2:$B$1001,,0)</f>
        <v>Janeva Edinboro</v>
      </c>
      <c r="G842" s="2" t="str">
        <f>_xlfn.XLOOKUP(C842,customers!$A$2:$A$1001,customers!$G$2:$G$1001,,0)</f>
        <v>United States</v>
      </c>
      <c r="H842" t="str">
        <f>INDEX(products!$A$1:$G$49,MATCH(orders!$D842,products!$A$1:$A$49,0),MATCH(orders!H$1,products!$A$1:$G$1,0))</f>
        <v>Rob</v>
      </c>
      <c r="I842" t="str">
        <f>INDEX(products!$A$1:$G$49,MATCH(orders!$D842,products!$A$1:$A$49,0),MATCH(orders!I$1,products!$A$1:$G$1,0))</f>
        <v>L</v>
      </c>
      <c r="J842" s="5">
        <f>INDEX(products!$A$1:$G$49,MATCH(orders!$D842,products!$A$1:$A$49,0),MATCH(orders!J$1,products!$A$1:$G$1,0))</f>
        <v>0.5</v>
      </c>
      <c r="K842" s="6">
        <f>INDEX(products!$A$1:$G$49,MATCH(orders!$D842,products!$A$1:$A$49,0),MATCH(orders!K$1,products!$A$1:$G$1,0))</f>
        <v>7.169999999999999</v>
      </c>
      <c r="L842" s="6">
        <f>K842*E842</f>
        <v>28.679999999999996</v>
      </c>
      <c r="M842" t="str" cm="1">
        <f t="array" ref="M842">_xlfn.IFS(H842="Rob","Robusta",H842="Exc","Excelsa",H842="Ara","Arabica",H842="Lib","Liberica")</f>
        <v>Robusta</v>
      </c>
      <c r="N842" t="str" cm="1">
        <f t="array" ref="N842">_xlfn.IFS(I842="M","Medium",I842="L","Light",I842="D","Dark")</f>
        <v>Light</v>
      </c>
      <c r="O842" t="str">
        <f>_xlfn.XLOOKUP(Orders[[#This Row],[Customer ID]],customers!$A$2:$A$1001,customers!$I$2:$I$1001,,0)</f>
        <v>Yes</v>
      </c>
    </row>
    <row r="843" spans="1:15" x14ac:dyDescent="0.3">
      <c r="A843" s="2" t="s">
        <v>5246</v>
      </c>
      <c r="B843" s="3">
        <v>44755</v>
      </c>
      <c r="C843" s="2" t="s">
        <v>5247</v>
      </c>
      <c r="D843" t="s">
        <v>6159</v>
      </c>
      <c r="E843" s="2">
        <v>1</v>
      </c>
      <c r="F843" s="2" t="str">
        <f>_xlfn.XLOOKUP(C843,customers!$A$2:$A$1001,customers!$B$2:$B$1001,,0)</f>
        <v>Trumaine Tewelson</v>
      </c>
      <c r="G843" s="2" t="str">
        <f>_xlfn.XLOOKUP(C843,customers!$A$2:$A$1001,customers!$G$2:$G$1001,,0)</f>
        <v>United States</v>
      </c>
      <c r="H843" t="str">
        <f>INDEX(products!$A$1:$G$49,MATCH(orders!$D843,products!$A$1:$A$49,0),MATCH(orders!H$1,products!$A$1:$G$1,0))</f>
        <v>Lib</v>
      </c>
      <c r="I843" t="str">
        <f>INDEX(products!$A$1:$G$49,MATCH(orders!$D843,products!$A$1:$A$49,0),MATCH(orders!I$1,products!$A$1:$G$1,0))</f>
        <v>M</v>
      </c>
      <c r="J843" s="5">
        <f>INDEX(products!$A$1:$G$49,MATCH(orders!$D843,products!$A$1:$A$49,0),MATCH(orders!J$1,products!$A$1:$G$1,0))</f>
        <v>0.2</v>
      </c>
      <c r="K843" s="6">
        <f>INDEX(products!$A$1:$G$49,MATCH(orders!$D843,products!$A$1:$A$49,0),MATCH(orders!K$1,products!$A$1:$G$1,0))</f>
        <v>4.3650000000000002</v>
      </c>
      <c r="L843" s="6">
        <f>K843*E843</f>
        <v>4.3650000000000002</v>
      </c>
      <c r="M843" t="str" cm="1">
        <f t="array" ref="M843">_xlfn.IFS(H843="Rob","Robusta",H843="Exc","Excelsa",H843="Ara","Arabica",H843="Lib","Liberica")</f>
        <v>Liberica</v>
      </c>
      <c r="N843" t="str" cm="1">
        <f t="array" ref="N843">_xlfn.IFS(I843="M","Medium",I843="L","Light",I843="D","Dark")</f>
        <v>Medium</v>
      </c>
      <c r="O843" t="str">
        <f>_xlfn.XLOOKUP(Orders[[#This Row],[Customer ID]],customers!$A$2:$A$1001,customers!$I$2:$I$1001,,0)</f>
        <v>No</v>
      </c>
    </row>
    <row r="844" spans="1:15" x14ac:dyDescent="0.3">
      <c r="A844" s="2" t="s">
        <v>5251</v>
      </c>
      <c r="B844" s="3">
        <v>44502</v>
      </c>
      <c r="C844" s="2" t="s">
        <v>5188</v>
      </c>
      <c r="D844" t="s">
        <v>6156</v>
      </c>
      <c r="E844" s="2">
        <v>2</v>
      </c>
      <c r="F844" s="2" t="str">
        <f>_xlfn.XLOOKUP(C844,customers!$A$2:$A$1001,customers!$B$2:$B$1001,,0)</f>
        <v>Odelia Skerme</v>
      </c>
      <c r="G844" s="2" t="str">
        <f>_xlfn.XLOOKUP(C844,customers!$A$2:$A$1001,customers!$G$2:$G$1001,,0)</f>
        <v>United States</v>
      </c>
      <c r="H844" t="str">
        <f>INDEX(products!$A$1:$G$49,MATCH(orders!$D844,products!$A$1:$A$49,0),MATCH(orders!H$1,products!$A$1:$G$1,0))</f>
        <v>Exc</v>
      </c>
      <c r="I844" t="str">
        <f>INDEX(products!$A$1:$G$49,MATCH(orders!$D844,products!$A$1:$A$49,0),MATCH(orders!I$1,products!$A$1:$G$1,0))</f>
        <v>M</v>
      </c>
      <c r="J844" s="5">
        <f>INDEX(products!$A$1:$G$49,MATCH(orders!$D844,products!$A$1:$A$49,0),MATCH(orders!J$1,products!$A$1:$G$1,0))</f>
        <v>0.2</v>
      </c>
      <c r="K844" s="6">
        <f>INDEX(products!$A$1:$G$49,MATCH(orders!$D844,products!$A$1:$A$49,0),MATCH(orders!K$1,products!$A$1:$G$1,0))</f>
        <v>4.125</v>
      </c>
      <c r="L844" s="6">
        <f>K844*E844</f>
        <v>8.25</v>
      </c>
      <c r="M844" t="str" cm="1">
        <f t="array" ref="M844">_xlfn.IFS(H844="Rob","Robusta",H844="Exc","Excelsa",H844="Ara","Arabica",H844="Lib","Liberica")</f>
        <v>Excelsa</v>
      </c>
      <c r="N844" t="str" cm="1">
        <f t="array" ref="N844">_xlfn.IFS(I844="M","Medium",I844="L","Light",I844="D","Dark")</f>
        <v>Medium</v>
      </c>
      <c r="O844" t="str">
        <f>_xlfn.XLOOKUP(Orders[[#This Row],[Customer ID]],customers!$A$2:$A$1001,customers!$I$2:$I$1001,,0)</f>
        <v>Yes</v>
      </c>
    </row>
    <row r="845" spans="1:15" x14ac:dyDescent="0.3">
      <c r="A845" s="2" t="s">
        <v>5256</v>
      </c>
      <c r="B845" s="3">
        <v>44387</v>
      </c>
      <c r="C845" s="2" t="s">
        <v>5257</v>
      </c>
      <c r="D845" t="s">
        <v>6156</v>
      </c>
      <c r="E845" s="2">
        <v>2</v>
      </c>
      <c r="F845" s="2" t="str">
        <f>_xlfn.XLOOKUP(C845,customers!$A$2:$A$1001,customers!$B$2:$B$1001,,0)</f>
        <v>De Drewitt</v>
      </c>
      <c r="G845" s="2" t="str">
        <f>_xlfn.XLOOKUP(C845,customers!$A$2:$A$1001,customers!$G$2:$G$1001,,0)</f>
        <v>United States</v>
      </c>
      <c r="H845" t="str">
        <f>INDEX(products!$A$1:$G$49,MATCH(orders!$D845,products!$A$1:$A$49,0),MATCH(orders!H$1,products!$A$1:$G$1,0))</f>
        <v>Exc</v>
      </c>
      <c r="I845" t="str">
        <f>INDEX(products!$A$1:$G$49,MATCH(orders!$D845,products!$A$1:$A$49,0),MATCH(orders!I$1,products!$A$1:$G$1,0))</f>
        <v>M</v>
      </c>
      <c r="J845" s="5">
        <f>INDEX(products!$A$1:$G$49,MATCH(orders!$D845,products!$A$1:$A$49,0),MATCH(orders!J$1,products!$A$1:$G$1,0))</f>
        <v>0.2</v>
      </c>
      <c r="K845" s="6">
        <f>INDEX(products!$A$1:$G$49,MATCH(orders!$D845,products!$A$1:$A$49,0),MATCH(orders!K$1,products!$A$1:$G$1,0))</f>
        <v>4.125</v>
      </c>
      <c r="L845" s="6">
        <f>K845*E845</f>
        <v>8.25</v>
      </c>
      <c r="M845" t="str" cm="1">
        <f t="array" ref="M845">_xlfn.IFS(H845="Rob","Robusta",H845="Exc","Excelsa",H845="Ara","Arabica",H845="Lib","Liberica")</f>
        <v>Excelsa</v>
      </c>
      <c r="N845" t="str" cm="1">
        <f t="array" ref="N845">_xlfn.IFS(I845="M","Medium",I845="L","Light",I845="D","Dark")</f>
        <v>Medium</v>
      </c>
      <c r="O845" t="str">
        <f>_xlfn.XLOOKUP(Orders[[#This Row],[Customer ID]],customers!$A$2:$A$1001,customers!$I$2:$I$1001,,0)</f>
        <v>Yes</v>
      </c>
    </row>
    <row r="846" spans="1:15" x14ac:dyDescent="0.3">
      <c r="A846" s="2" t="s">
        <v>5262</v>
      </c>
      <c r="B846" s="3">
        <v>44476</v>
      </c>
      <c r="C846" s="2" t="s">
        <v>5263</v>
      </c>
      <c r="D846" t="s">
        <v>6158</v>
      </c>
      <c r="E846" s="2">
        <v>6</v>
      </c>
      <c r="F846" s="2" t="str">
        <f>_xlfn.XLOOKUP(C846,customers!$A$2:$A$1001,customers!$B$2:$B$1001,,0)</f>
        <v>Adelheid Gladhill</v>
      </c>
      <c r="G846" s="2" t="str">
        <f>_xlfn.XLOOKUP(C846,customers!$A$2:$A$1001,customers!$G$2:$G$1001,,0)</f>
        <v>United States</v>
      </c>
      <c r="H846" t="str">
        <f>INDEX(products!$A$1:$G$49,MATCH(orders!$D846,products!$A$1:$A$49,0),MATCH(orders!H$1,products!$A$1:$G$1,0))</f>
        <v>Ara</v>
      </c>
      <c r="I846" t="str">
        <f>INDEX(products!$A$1:$G$49,MATCH(orders!$D846,products!$A$1:$A$49,0),MATCH(orders!I$1,products!$A$1:$G$1,0))</f>
        <v>D</v>
      </c>
      <c r="J846" s="5">
        <f>INDEX(products!$A$1:$G$49,MATCH(orders!$D846,products!$A$1:$A$49,0),MATCH(orders!J$1,products!$A$1:$G$1,0))</f>
        <v>0.5</v>
      </c>
      <c r="K846" s="6">
        <f>INDEX(products!$A$1:$G$49,MATCH(orders!$D846,products!$A$1:$A$49,0),MATCH(orders!K$1,products!$A$1:$G$1,0))</f>
        <v>5.97</v>
      </c>
      <c r="L846" s="6">
        <f>K846*E846</f>
        <v>35.82</v>
      </c>
      <c r="M846" t="str" cm="1">
        <f t="array" ref="M846">_xlfn.IFS(H846="Rob","Robusta",H846="Exc","Excelsa",H846="Ara","Arabica",H846="Lib","Liberica")</f>
        <v>Arabica</v>
      </c>
      <c r="N846" t="str" cm="1">
        <f t="array" ref="N846">_xlfn.IFS(I846="M","Medium",I846="L","Light",I846="D","Dark")</f>
        <v>Dark</v>
      </c>
      <c r="O846" t="str">
        <f>_xlfn.XLOOKUP(Orders[[#This Row],[Customer ID]],customers!$A$2:$A$1001,customers!$I$2:$I$1001,,0)</f>
        <v>Yes</v>
      </c>
    </row>
    <row r="847" spans="1:15" x14ac:dyDescent="0.3">
      <c r="A847" s="2" t="s">
        <v>5268</v>
      </c>
      <c r="B847" s="3">
        <v>43889</v>
      </c>
      <c r="C847" s="2" t="s">
        <v>5269</v>
      </c>
      <c r="D847" t="s">
        <v>6185</v>
      </c>
      <c r="E847" s="2">
        <v>6</v>
      </c>
      <c r="F847" s="2" t="str">
        <f>_xlfn.XLOOKUP(C847,customers!$A$2:$A$1001,customers!$B$2:$B$1001,,0)</f>
        <v>Murielle Lorinez</v>
      </c>
      <c r="G847" s="2" t="str">
        <f>_xlfn.XLOOKUP(C847,customers!$A$2:$A$1001,customers!$G$2:$G$1001,,0)</f>
        <v>United States</v>
      </c>
      <c r="H847" t="str">
        <f>INDEX(products!$A$1:$G$49,MATCH(orders!$D847,products!$A$1:$A$49,0),MATCH(orders!H$1,products!$A$1:$G$1,0))</f>
        <v>Exc</v>
      </c>
      <c r="I847" t="str">
        <f>INDEX(products!$A$1:$G$49,MATCH(orders!$D847,products!$A$1:$A$49,0),MATCH(orders!I$1,products!$A$1:$G$1,0))</f>
        <v>D</v>
      </c>
      <c r="J847" s="5">
        <f>INDEX(products!$A$1:$G$49,MATCH(orders!$D847,products!$A$1:$A$49,0),MATCH(orders!J$1,products!$A$1:$G$1,0))</f>
        <v>2.5</v>
      </c>
      <c r="K847" s="6">
        <f>INDEX(products!$A$1:$G$49,MATCH(orders!$D847,products!$A$1:$A$49,0),MATCH(orders!K$1,products!$A$1:$G$1,0))</f>
        <v>27.945</v>
      </c>
      <c r="L847" s="6">
        <f>K847*E847</f>
        <v>167.67000000000002</v>
      </c>
      <c r="M847" t="str" cm="1">
        <f t="array" ref="M847">_xlfn.IFS(H847="Rob","Robusta",H847="Exc","Excelsa",H847="Ara","Arabica",H847="Lib","Liberica")</f>
        <v>Excelsa</v>
      </c>
      <c r="N847" t="str" cm="1">
        <f t="array" ref="N847">_xlfn.IFS(I847="M","Medium",I847="L","Light",I847="D","Dark")</f>
        <v>Dark</v>
      </c>
      <c r="O847" t="str">
        <f>_xlfn.XLOOKUP(Orders[[#This Row],[Customer ID]],customers!$A$2:$A$1001,customers!$I$2:$I$1001,,0)</f>
        <v>No</v>
      </c>
    </row>
    <row r="848" spans="1:15" x14ac:dyDescent="0.3">
      <c r="A848" s="2" t="s">
        <v>5273</v>
      </c>
      <c r="B848" s="3">
        <v>44747</v>
      </c>
      <c r="C848" s="2" t="s">
        <v>5274</v>
      </c>
      <c r="D848" t="s">
        <v>6175</v>
      </c>
      <c r="E848" s="2">
        <v>2</v>
      </c>
      <c r="F848" s="2" t="str">
        <f>_xlfn.XLOOKUP(C848,customers!$A$2:$A$1001,customers!$B$2:$B$1001,,0)</f>
        <v>Edin Mathe</v>
      </c>
      <c r="G848" s="2" t="str">
        <f>_xlfn.XLOOKUP(C848,customers!$A$2:$A$1001,customers!$G$2:$G$1001,,0)</f>
        <v>United States</v>
      </c>
      <c r="H848" t="str">
        <f>INDEX(products!$A$1:$G$49,MATCH(orders!$D848,products!$A$1:$A$49,0),MATCH(orders!H$1,products!$A$1:$G$1,0))</f>
        <v>Ara</v>
      </c>
      <c r="I848" t="str">
        <f>INDEX(products!$A$1:$G$49,MATCH(orders!$D848,products!$A$1:$A$49,0),MATCH(orders!I$1,products!$A$1:$G$1,0))</f>
        <v>M</v>
      </c>
      <c r="J848" s="5">
        <f>INDEX(products!$A$1:$G$49,MATCH(orders!$D848,products!$A$1:$A$49,0),MATCH(orders!J$1,products!$A$1:$G$1,0))</f>
        <v>2.5</v>
      </c>
      <c r="K848" s="6">
        <f>INDEX(products!$A$1:$G$49,MATCH(orders!$D848,products!$A$1:$A$49,0),MATCH(orders!K$1,products!$A$1:$G$1,0))</f>
        <v>25.874999999999996</v>
      </c>
      <c r="L848" s="6">
        <f>K848*E848</f>
        <v>51.749999999999993</v>
      </c>
      <c r="M848" t="str" cm="1">
        <f t="array" ref="M848">_xlfn.IFS(H848="Rob","Robusta",H848="Exc","Excelsa",H848="Ara","Arabica",H848="Lib","Liberica")</f>
        <v>Arabica</v>
      </c>
      <c r="N848" t="str" cm="1">
        <f t="array" ref="N848">_xlfn.IFS(I848="M","Medium",I848="L","Light",I848="D","Dark")</f>
        <v>Medium</v>
      </c>
      <c r="O848" t="str">
        <f>_xlfn.XLOOKUP(Orders[[#This Row],[Customer ID]],customers!$A$2:$A$1001,customers!$I$2:$I$1001,,0)</f>
        <v>Yes</v>
      </c>
    </row>
    <row r="849" spans="1:15" x14ac:dyDescent="0.3">
      <c r="A849" s="2" t="s">
        <v>5278</v>
      </c>
      <c r="B849" s="3">
        <v>44460</v>
      </c>
      <c r="C849" s="2" t="s">
        <v>5279</v>
      </c>
      <c r="D849" t="s">
        <v>6154</v>
      </c>
      <c r="E849" s="2">
        <v>3</v>
      </c>
      <c r="F849" s="2" t="str">
        <f>_xlfn.XLOOKUP(C849,customers!$A$2:$A$1001,customers!$B$2:$B$1001,,0)</f>
        <v>Mordy Van Der Vlies</v>
      </c>
      <c r="G849" s="2" t="str">
        <f>_xlfn.XLOOKUP(C849,customers!$A$2:$A$1001,customers!$G$2:$G$1001,,0)</f>
        <v>United States</v>
      </c>
      <c r="H849" t="str">
        <f>INDEX(products!$A$1:$G$49,MATCH(orders!$D849,products!$A$1:$A$49,0),MATCH(orders!H$1,products!$A$1:$G$1,0))</f>
        <v>Ara</v>
      </c>
      <c r="I849" t="str">
        <f>INDEX(products!$A$1:$G$49,MATCH(orders!$D849,products!$A$1:$A$49,0),MATCH(orders!I$1,products!$A$1:$G$1,0))</f>
        <v>D</v>
      </c>
      <c r="J849" s="5">
        <f>INDEX(products!$A$1:$G$49,MATCH(orders!$D849,products!$A$1:$A$49,0),MATCH(orders!J$1,products!$A$1:$G$1,0))</f>
        <v>0.2</v>
      </c>
      <c r="K849" s="6">
        <f>INDEX(products!$A$1:$G$49,MATCH(orders!$D849,products!$A$1:$A$49,0),MATCH(orders!K$1,products!$A$1:$G$1,0))</f>
        <v>2.9849999999999999</v>
      </c>
      <c r="L849" s="6">
        <f>K849*E849</f>
        <v>8.9550000000000001</v>
      </c>
      <c r="M849" t="str" cm="1">
        <f t="array" ref="M849">_xlfn.IFS(H849="Rob","Robusta",H849="Exc","Excelsa",H849="Ara","Arabica",H849="Lib","Liberica")</f>
        <v>Arabica</v>
      </c>
      <c r="N849" t="str" cm="1">
        <f t="array" ref="N849">_xlfn.IFS(I849="M","Medium",I849="L","Light",I849="D","Dark")</f>
        <v>Dark</v>
      </c>
      <c r="O849" t="str">
        <f>_xlfn.XLOOKUP(Orders[[#This Row],[Customer ID]],customers!$A$2:$A$1001,customers!$I$2:$I$1001,,0)</f>
        <v>Yes</v>
      </c>
    </row>
    <row r="850" spans="1:15" x14ac:dyDescent="0.3">
      <c r="A850" s="2" t="s">
        <v>5283</v>
      </c>
      <c r="B850" s="3">
        <v>43468</v>
      </c>
      <c r="C850" s="2" t="s">
        <v>5284</v>
      </c>
      <c r="D850" t="s">
        <v>6176</v>
      </c>
      <c r="E850" s="2">
        <v>6</v>
      </c>
      <c r="F850" s="2" t="str">
        <f>_xlfn.XLOOKUP(C850,customers!$A$2:$A$1001,customers!$B$2:$B$1001,,0)</f>
        <v>Spencer Wastell</v>
      </c>
      <c r="G850" s="2" t="str">
        <f>_xlfn.XLOOKUP(C850,customers!$A$2:$A$1001,customers!$G$2:$G$1001,,0)</f>
        <v>United States</v>
      </c>
      <c r="H850" t="str">
        <f>INDEX(products!$A$1:$G$49,MATCH(orders!$D850,products!$A$1:$A$49,0),MATCH(orders!H$1,products!$A$1:$G$1,0))</f>
        <v>Exc</v>
      </c>
      <c r="I850" t="str">
        <f>INDEX(products!$A$1:$G$49,MATCH(orders!$D850,products!$A$1:$A$49,0),MATCH(orders!I$1,products!$A$1:$G$1,0))</f>
        <v>L</v>
      </c>
      <c r="J850" s="5">
        <f>INDEX(products!$A$1:$G$49,MATCH(orders!$D850,products!$A$1:$A$49,0),MATCH(orders!J$1,products!$A$1:$G$1,0))</f>
        <v>0.5</v>
      </c>
      <c r="K850" s="6">
        <f>INDEX(products!$A$1:$G$49,MATCH(orders!$D850,products!$A$1:$A$49,0),MATCH(orders!K$1,products!$A$1:$G$1,0))</f>
        <v>8.91</v>
      </c>
      <c r="L850" s="6">
        <f>K850*E850</f>
        <v>53.46</v>
      </c>
      <c r="M850" t="str" cm="1">
        <f t="array" ref="M850">_xlfn.IFS(H850="Rob","Robusta",H850="Exc","Excelsa",H850="Ara","Arabica",H850="Lib","Liberica")</f>
        <v>Excelsa</v>
      </c>
      <c r="N850" t="str" cm="1">
        <f t="array" ref="N850">_xlfn.IFS(I850="M","Medium",I850="L","Light",I850="D","Dark")</f>
        <v>Light</v>
      </c>
      <c r="O850" t="str">
        <f>_xlfn.XLOOKUP(Orders[[#This Row],[Customer ID]],customers!$A$2:$A$1001,customers!$I$2:$I$1001,,0)</f>
        <v>No</v>
      </c>
    </row>
    <row r="851" spans="1:15" x14ac:dyDescent="0.3">
      <c r="A851" s="2" t="s">
        <v>5288</v>
      </c>
      <c r="B851" s="3">
        <v>44628</v>
      </c>
      <c r="C851" s="2" t="s">
        <v>5289</v>
      </c>
      <c r="D851" t="s">
        <v>6167</v>
      </c>
      <c r="E851" s="2">
        <v>6</v>
      </c>
      <c r="F851" s="2" t="str">
        <f>_xlfn.XLOOKUP(C851,customers!$A$2:$A$1001,customers!$B$2:$B$1001,,0)</f>
        <v>Jemimah Ethelston</v>
      </c>
      <c r="G851" s="2" t="str">
        <f>_xlfn.XLOOKUP(C851,customers!$A$2:$A$1001,customers!$G$2:$G$1001,,0)</f>
        <v>United States</v>
      </c>
      <c r="H851" t="str">
        <f>INDEX(products!$A$1:$G$49,MATCH(orders!$D851,products!$A$1:$A$49,0),MATCH(orders!H$1,products!$A$1:$G$1,0))</f>
        <v>Ara</v>
      </c>
      <c r="I851" t="str">
        <f>INDEX(products!$A$1:$G$49,MATCH(orders!$D851,products!$A$1:$A$49,0),MATCH(orders!I$1,products!$A$1:$G$1,0))</f>
        <v>L</v>
      </c>
      <c r="J851" s="5">
        <f>INDEX(products!$A$1:$G$49,MATCH(orders!$D851,products!$A$1:$A$49,0),MATCH(orders!J$1,products!$A$1:$G$1,0))</f>
        <v>0.2</v>
      </c>
      <c r="K851" s="6">
        <f>INDEX(products!$A$1:$G$49,MATCH(orders!$D851,products!$A$1:$A$49,0),MATCH(orders!K$1,products!$A$1:$G$1,0))</f>
        <v>3.8849999999999998</v>
      </c>
      <c r="L851" s="6">
        <f>K851*E851</f>
        <v>23.31</v>
      </c>
      <c r="M851" t="str" cm="1">
        <f t="array" ref="M851">_xlfn.IFS(H851="Rob","Robusta",H851="Exc","Excelsa",H851="Ara","Arabica",H851="Lib","Liberica")</f>
        <v>Arabica</v>
      </c>
      <c r="N851" t="str" cm="1">
        <f t="array" ref="N851">_xlfn.IFS(I851="M","Medium",I851="L","Light",I851="D","Dark")</f>
        <v>Light</v>
      </c>
      <c r="O851" t="str">
        <f>_xlfn.XLOOKUP(Orders[[#This Row],[Customer ID]],customers!$A$2:$A$1001,customers!$I$2:$I$1001,,0)</f>
        <v>Yes</v>
      </c>
    </row>
    <row r="852" spans="1:15" x14ac:dyDescent="0.3">
      <c r="A852" s="2" t="s">
        <v>5288</v>
      </c>
      <c r="B852" s="3">
        <v>44628</v>
      </c>
      <c r="C852" s="2" t="s">
        <v>5289</v>
      </c>
      <c r="D852" t="s">
        <v>6152</v>
      </c>
      <c r="E852" s="2">
        <v>2</v>
      </c>
      <c r="F852" s="2" t="str">
        <f>_xlfn.XLOOKUP(C852,customers!$A$2:$A$1001,customers!$B$2:$B$1001,,0)</f>
        <v>Jemimah Ethelston</v>
      </c>
      <c r="G852" s="2" t="str">
        <f>_xlfn.XLOOKUP(C852,customers!$A$2:$A$1001,customers!$G$2:$G$1001,,0)</f>
        <v>United States</v>
      </c>
      <c r="H852" t="str">
        <f>INDEX(products!$A$1:$G$49,MATCH(orders!$D852,products!$A$1:$A$49,0),MATCH(orders!H$1,products!$A$1:$G$1,0))</f>
        <v>Ara</v>
      </c>
      <c r="I852" t="str">
        <f>INDEX(products!$A$1:$G$49,MATCH(orders!$D852,products!$A$1:$A$49,0),MATCH(orders!I$1,products!$A$1:$G$1,0))</f>
        <v>M</v>
      </c>
      <c r="J852" s="5">
        <f>INDEX(products!$A$1:$G$49,MATCH(orders!$D852,products!$A$1:$A$49,0),MATCH(orders!J$1,products!$A$1:$G$1,0))</f>
        <v>0.2</v>
      </c>
      <c r="K852" s="6">
        <f>INDEX(products!$A$1:$G$49,MATCH(orders!$D852,products!$A$1:$A$49,0),MATCH(orders!K$1,products!$A$1:$G$1,0))</f>
        <v>3.375</v>
      </c>
      <c r="L852" s="6">
        <f>K852*E852</f>
        <v>6.75</v>
      </c>
      <c r="M852" t="str" cm="1">
        <f t="array" ref="M852">_xlfn.IFS(H852="Rob","Robusta",H852="Exc","Excelsa",H852="Ara","Arabica",H852="Lib","Liberica")</f>
        <v>Arabica</v>
      </c>
      <c r="N852" t="str" cm="1">
        <f t="array" ref="N852">_xlfn.IFS(I852="M","Medium",I852="L","Light",I852="D","Dark")</f>
        <v>Medium</v>
      </c>
      <c r="O852" t="str">
        <f>_xlfn.XLOOKUP(Orders[[#This Row],[Customer ID]],customers!$A$2:$A$1001,customers!$I$2:$I$1001,,0)</f>
        <v>Yes</v>
      </c>
    </row>
    <row r="853" spans="1:15" x14ac:dyDescent="0.3">
      <c r="A853" s="2" t="s">
        <v>5299</v>
      </c>
      <c r="B853" s="3">
        <v>43900</v>
      </c>
      <c r="C853" s="2" t="s">
        <v>5300</v>
      </c>
      <c r="D853" t="s">
        <v>6169</v>
      </c>
      <c r="E853" s="2">
        <v>1</v>
      </c>
      <c r="F853" s="2" t="str">
        <f>_xlfn.XLOOKUP(C853,customers!$A$2:$A$1001,customers!$B$2:$B$1001,,0)</f>
        <v>Perice Eberz</v>
      </c>
      <c r="G853" s="2" t="str">
        <f>_xlfn.XLOOKUP(C853,customers!$A$2:$A$1001,customers!$G$2:$G$1001,,0)</f>
        <v>United States</v>
      </c>
      <c r="H853" t="str">
        <f>INDEX(products!$A$1:$G$49,MATCH(orders!$D853,products!$A$1:$A$49,0),MATCH(orders!H$1,products!$A$1:$G$1,0))</f>
        <v>Lib</v>
      </c>
      <c r="I853" t="str">
        <f>INDEX(products!$A$1:$G$49,MATCH(orders!$D853,products!$A$1:$A$49,0),MATCH(orders!I$1,products!$A$1:$G$1,0))</f>
        <v>D</v>
      </c>
      <c r="J853" s="5">
        <f>INDEX(products!$A$1:$G$49,MATCH(orders!$D853,products!$A$1:$A$49,0),MATCH(orders!J$1,products!$A$1:$G$1,0))</f>
        <v>0.5</v>
      </c>
      <c r="K853" s="6">
        <f>INDEX(products!$A$1:$G$49,MATCH(orders!$D853,products!$A$1:$A$49,0),MATCH(orders!K$1,products!$A$1:$G$1,0))</f>
        <v>7.77</v>
      </c>
      <c r="L853" s="6">
        <f>K853*E853</f>
        <v>7.77</v>
      </c>
      <c r="M853" t="str" cm="1">
        <f t="array" ref="M853">_xlfn.IFS(H853="Rob","Robusta",H853="Exc","Excelsa",H853="Ara","Arabica",H853="Lib","Liberica")</f>
        <v>Liberica</v>
      </c>
      <c r="N853" t="str" cm="1">
        <f t="array" ref="N853">_xlfn.IFS(I853="M","Medium",I853="L","Light",I853="D","Dark")</f>
        <v>Dark</v>
      </c>
      <c r="O853" t="str">
        <f>_xlfn.XLOOKUP(Orders[[#This Row],[Customer ID]],customers!$A$2:$A$1001,customers!$I$2:$I$1001,,0)</f>
        <v>Yes</v>
      </c>
    </row>
    <row r="854" spans="1:15" x14ac:dyDescent="0.3">
      <c r="A854" s="2" t="s">
        <v>5305</v>
      </c>
      <c r="B854" s="3">
        <v>44527</v>
      </c>
      <c r="C854" s="2" t="s">
        <v>5306</v>
      </c>
      <c r="D854" t="s">
        <v>6165</v>
      </c>
      <c r="E854" s="2">
        <v>4</v>
      </c>
      <c r="F854" s="2" t="str">
        <f>_xlfn.XLOOKUP(C854,customers!$A$2:$A$1001,customers!$B$2:$B$1001,,0)</f>
        <v>Bear Gaish</v>
      </c>
      <c r="G854" s="2" t="str">
        <f>_xlfn.XLOOKUP(C854,customers!$A$2:$A$1001,customers!$G$2:$G$1001,,0)</f>
        <v>United States</v>
      </c>
      <c r="H854" t="str">
        <f>INDEX(products!$A$1:$G$49,MATCH(orders!$D854,products!$A$1:$A$49,0),MATCH(orders!H$1,products!$A$1:$G$1,0))</f>
        <v>Lib</v>
      </c>
      <c r="I854" t="str">
        <f>INDEX(products!$A$1:$G$49,MATCH(orders!$D854,products!$A$1:$A$49,0),MATCH(orders!I$1,products!$A$1:$G$1,0))</f>
        <v>D</v>
      </c>
      <c r="J854" s="5">
        <f>INDEX(products!$A$1:$G$49,MATCH(orders!$D854,products!$A$1:$A$49,0),MATCH(orders!J$1,products!$A$1:$G$1,0))</f>
        <v>2.5</v>
      </c>
      <c r="K854" s="6">
        <f>INDEX(products!$A$1:$G$49,MATCH(orders!$D854,products!$A$1:$A$49,0),MATCH(orders!K$1,products!$A$1:$G$1,0))</f>
        <v>29.784999999999997</v>
      </c>
      <c r="L854" s="6">
        <f>K854*E854</f>
        <v>119.13999999999999</v>
      </c>
      <c r="M854" t="str" cm="1">
        <f t="array" ref="M854">_xlfn.IFS(H854="Rob","Robusta",H854="Exc","Excelsa",H854="Ara","Arabica",H854="Lib","Liberica")</f>
        <v>Liberica</v>
      </c>
      <c r="N854" t="str" cm="1">
        <f t="array" ref="N854">_xlfn.IFS(I854="M","Medium",I854="L","Light",I854="D","Dark")</f>
        <v>Dark</v>
      </c>
      <c r="O854" t="str">
        <f>_xlfn.XLOOKUP(Orders[[#This Row],[Customer ID]],customers!$A$2:$A$1001,customers!$I$2:$I$1001,,0)</f>
        <v>Yes</v>
      </c>
    </row>
    <row r="855" spans="1:15" x14ac:dyDescent="0.3">
      <c r="A855" s="2" t="s">
        <v>5310</v>
      </c>
      <c r="B855" s="3">
        <v>44259</v>
      </c>
      <c r="C855" s="2" t="s">
        <v>5311</v>
      </c>
      <c r="D855" t="s">
        <v>6147</v>
      </c>
      <c r="E855" s="2">
        <v>2</v>
      </c>
      <c r="F855" s="2" t="str">
        <f>_xlfn.XLOOKUP(C855,customers!$A$2:$A$1001,customers!$B$2:$B$1001,,0)</f>
        <v>Lynnea Danton</v>
      </c>
      <c r="G855" s="2" t="str">
        <f>_xlfn.XLOOKUP(C855,customers!$A$2:$A$1001,customers!$G$2:$G$1001,,0)</f>
        <v>United States</v>
      </c>
      <c r="H855" t="str">
        <f>INDEX(products!$A$1:$G$49,MATCH(orders!$D855,products!$A$1:$A$49,0),MATCH(orders!H$1,products!$A$1:$G$1,0))</f>
        <v>Ara</v>
      </c>
      <c r="I855" t="str">
        <f>INDEX(products!$A$1:$G$49,MATCH(orders!$D855,products!$A$1:$A$49,0),MATCH(orders!I$1,products!$A$1:$G$1,0))</f>
        <v>D</v>
      </c>
      <c r="J855" s="5">
        <f>INDEX(products!$A$1:$G$49,MATCH(orders!$D855,products!$A$1:$A$49,0),MATCH(orders!J$1,products!$A$1:$G$1,0))</f>
        <v>1</v>
      </c>
      <c r="K855" s="6">
        <f>INDEX(products!$A$1:$G$49,MATCH(orders!$D855,products!$A$1:$A$49,0),MATCH(orders!K$1,products!$A$1:$G$1,0))</f>
        <v>9.9499999999999993</v>
      </c>
      <c r="L855" s="6">
        <f>K855*E855</f>
        <v>19.899999999999999</v>
      </c>
      <c r="M855" t="str" cm="1">
        <f t="array" ref="M855">_xlfn.IFS(H855="Rob","Robusta",H855="Exc","Excelsa",H855="Ara","Arabica",H855="Lib","Liberica")</f>
        <v>Arabica</v>
      </c>
      <c r="N855" t="str" cm="1">
        <f t="array" ref="N855">_xlfn.IFS(I855="M","Medium",I855="L","Light",I855="D","Dark")</f>
        <v>Dark</v>
      </c>
      <c r="O855" t="str">
        <f>_xlfn.XLOOKUP(Orders[[#This Row],[Customer ID]],customers!$A$2:$A$1001,customers!$I$2:$I$1001,,0)</f>
        <v>No</v>
      </c>
    </row>
    <row r="856" spans="1:15" x14ac:dyDescent="0.3">
      <c r="A856" s="2" t="s">
        <v>5315</v>
      </c>
      <c r="B856" s="3">
        <v>44516</v>
      </c>
      <c r="C856" s="2" t="s">
        <v>5316</v>
      </c>
      <c r="D856" t="s">
        <v>6173</v>
      </c>
      <c r="E856" s="2">
        <v>5</v>
      </c>
      <c r="F856" s="2" t="str">
        <f>_xlfn.XLOOKUP(C856,customers!$A$2:$A$1001,customers!$B$2:$B$1001,,0)</f>
        <v>Skipton Morrall</v>
      </c>
      <c r="G856" s="2" t="str">
        <f>_xlfn.XLOOKUP(C856,customers!$A$2:$A$1001,customers!$G$2:$G$1001,,0)</f>
        <v>United States</v>
      </c>
      <c r="H856" t="str">
        <f>INDEX(products!$A$1:$G$49,MATCH(orders!$D856,products!$A$1:$A$49,0),MATCH(orders!H$1,products!$A$1:$G$1,0))</f>
        <v>Rob</v>
      </c>
      <c r="I856" t="str">
        <f>INDEX(products!$A$1:$G$49,MATCH(orders!$D856,products!$A$1:$A$49,0),MATCH(orders!I$1,products!$A$1:$G$1,0))</f>
        <v>L</v>
      </c>
      <c r="J856" s="5">
        <f>INDEX(products!$A$1:$G$49,MATCH(orders!$D856,products!$A$1:$A$49,0),MATCH(orders!J$1,products!$A$1:$G$1,0))</f>
        <v>0.5</v>
      </c>
      <c r="K856" s="6">
        <f>INDEX(products!$A$1:$G$49,MATCH(orders!$D856,products!$A$1:$A$49,0),MATCH(orders!K$1,products!$A$1:$G$1,0))</f>
        <v>7.169999999999999</v>
      </c>
      <c r="L856" s="6">
        <f>K856*E856</f>
        <v>35.849999999999994</v>
      </c>
      <c r="M856" t="str" cm="1">
        <f t="array" ref="M856">_xlfn.IFS(H856="Rob","Robusta",H856="Exc","Excelsa",H856="Ara","Arabica",H856="Lib","Liberica")</f>
        <v>Robusta</v>
      </c>
      <c r="N856" t="str" cm="1">
        <f t="array" ref="N856">_xlfn.IFS(I856="M","Medium",I856="L","Light",I856="D","Dark")</f>
        <v>Light</v>
      </c>
      <c r="O856" t="str">
        <f>_xlfn.XLOOKUP(Orders[[#This Row],[Customer ID]],customers!$A$2:$A$1001,customers!$I$2:$I$1001,,0)</f>
        <v>Yes</v>
      </c>
    </row>
    <row r="857" spans="1:15" x14ac:dyDescent="0.3">
      <c r="A857" s="2" t="s">
        <v>5321</v>
      </c>
      <c r="B857" s="3">
        <v>43632</v>
      </c>
      <c r="C857" s="2" t="s">
        <v>5322</v>
      </c>
      <c r="D857" t="s">
        <v>6165</v>
      </c>
      <c r="E857" s="2">
        <v>3</v>
      </c>
      <c r="F857" s="2" t="str">
        <f>_xlfn.XLOOKUP(C857,customers!$A$2:$A$1001,customers!$B$2:$B$1001,,0)</f>
        <v>Devan Crownshaw</v>
      </c>
      <c r="G857" s="2" t="str">
        <f>_xlfn.XLOOKUP(C857,customers!$A$2:$A$1001,customers!$G$2:$G$1001,,0)</f>
        <v>United States</v>
      </c>
      <c r="H857" t="str">
        <f>INDEX(products!$A$1:$G$49,MATCH(orders!$D857,products!$A$1:$A$49,0),MATCH(orders!H$1,products!$A$1:$G$1,0))</f>
        <v>Lib</v>
      </c>
      <c r="I857" t="str">
        <f>INDEX(products!$A$1:$G$49,MATCH(orders!$D857,products!$A$1:$A$49,0),MATCH(orders!I$1,products!$A$1:$G$1,0))</f>
        <v>D</v>
      </c>
      <c r="J857" s="5">
        <f>INDEX(products!$A$1:$G$49,MATCH(orders!$D857,products!$A$1:$A$49,0),MATCH(orders!J$1,products!$A$1:$G$1,0))</f>
        <v>2.5</v>
      </c>
      <c r="K857" s="6">
        <f>INDEX(products!$A$1:$G$49,MATCH(orders!$D857,products!$A$1:$A$49,0),MATCH(orders!K$1,products!$A$1:$G$1,0))</f>
        <v>29.784999999999997</v>
      </c>
      <c r="L857" s="6">
        <f>K857*E857</f>
        <v>89.35499999999999</v>
      </c>
      <c r="M857" t="str" cm="1">
        <f t="array" ref="M857">_xlfn.IFS(H857="Rob","Robusta",H857="Exc","Excelsa",H857="Ara","Arabica",H857="Lib","Liberica")</f>
        <v>Liberica</v>
      </c>
      <c r="N857" t="str" cm="1">
        <f t="array" ref="N857">_xlfn.IFS(I857="M","Medium",I857="L","Light",I857="D","Dark")</f>
        <v>Dark</v>
      </c>
      <c r="O857" t="str">
        <f>_xlfn.XLOOKUP(Orders[[#This Row],[Customer ID]],customers!$A$2:$A$1001,customers!$I$2:$I$1001,,0)</f>
        <v>No</v>
      </c>
    </row>
    <row r="858" spans="1:15" x14ac:dyDescent="0.3">
      <c r="A858" s="2" t="s">
        <v>5327</v>
      </c>
      <c r="B858" s="3">
        <v>44031</v>
      </c>
      <c r="C858" s="2" t="s">
        <v>5188</v>
      </c>
      <c r="D858" t="s">
        <v>6159</v>
      </c>
      <c r="E858" s="2">
        <v>2</v>
      </c>
      <c r="F858" s="2" t="str">
        <f>_xlfn.XLOOKUP(C858,customers!$A$2:$A$1001,customers!$B$2:$B$1001,,0)</f>
        <v>Odelia Skerme</v>
      </c>
      <c r="G858" s="2" t="str">
        <f>_xlfn.XLOOKUP(C858,customers!$A$2:$A$1001,customers!$G$2:$G$1001,,0)</f>
        <v>United States</v>
      </c>
      <c r="H858" t="str">
        <f>INDEX(products!$A$1:$G$49,MATCH(orders!$D858,products!$A$1:$A$49,0),MATCH(orders!H$1,products!$A$1:$G$1,0))</f>
        <v>Lib</v>
      </c>
      <c r="I858" t="str">
        <f>INDEX(products!$A$1:$G$49,MATCH(orders!$D858,products!$A$1:$A$49,0),MATCH(orders!I$1,products!$A$1:$G$1,0))</f>
        <v>M</v>
      </c>
      <c r="J858" s="5">
        <f>INDEX(products!$A$1:$G$49,MATCH(orders!$D858,products!$A$1:$A$49,0),MATCH(orders!J$1,products!$A$1:$G$1,0))</f>
        <v>0.2</v>
      </c>
      <c r="K858" s="6">
        <f>INDEX(products!$A$1:$G$49,MATCH(orders!$D858,products!$A$1:$A$49,0),MATCH(orders!K$1,products!$A$1:$G$1,0))</f>
        <v>4.3650000000000002</v>
      </c>
      <c r="L858" s="6">
        <f>K858*E858</f>
        <v>8.73</v>
      </c>
      <c r="M858" t="str" cm="1">
        <f t="array" ref="M858">_xlfn.IFS(H858="Rob","Robusta",H858="Exc","Excelsa",H858="Ara","Arabica",H858="Lib","Liberica")</f>
        <v>Liberica</v>
      </c>
      <c r="N858" t="str" cm="1">
        <f t="array" ref="N858">_xlfn.IFS(I858="M","Medium",I858="L","Light",I858="D","Dark")</f>
        <v>Medium</v>
      </c>
      <c r="O858" t="str">
        <f>_xlfn.XLOOKUP(Orders[[#This Row],[Customer ID]],customers!$A$2:$A$1001,customers!$I$2:$I$1001,,0)</f>
        <v>Yes</v>
      </c>
    </row>
    <row r="859" spans="1:15" x14ac:dyDescent="0.3">
      <c r="A859" s="2" t="s">
        <v>5333</v>
      </c>
      <c r="B859" s="3">
        <v>43889</v>
      </c>
      <c r="C859" s="2" t="s">
        <v>5334</v>
      </c>
      <c r="D859" t="s">
        <v>6142</v>
      </c>
      <c r="E859" s="2">
        <v>5</v>
      </c>
      <c r="F859" s="2" t="str">
        <f>_xlfn.XLOOKUP(C859,customers!$A$2:$A$1001,customers!$B$2:$B$1001,,0)</f>
        <v>Joceline Reddoch</v>
      </c>
      <c r="G859" s="2" t="str">
        <f>_xlfn.XLOOKUP(C859,customers!$A$2:$A$1001,customers!$G$2:$G$1001,,0)</f>
        <v>United States</v>
      </c>
      <c r="H859" t="str">
        <f>INDEX(products!$A$1:$G$49,MATCH(orders!$D859,products!$A$1:$A$49,0),MATCH(orders!H$1,products!$A$1:$G$1,0))</f>
        <v>Rob</v>
      </c>
      <c r="I859" t="str">
        <f>INDEX(products!$A$1:$G$49,MATCH(orders!$D859,products!$A$1:$A$49,0),MATCH(orders!I$1,products!$A$1:$G$1,0))</f>
        <v>L</v>
      </c>
      <c r="J859" s="5">
        <f>INDEX(products!$A$1:$G$49,MATCH(orders!$D859,products!$A$1:$A$49,0),MATCH(orders!J$1,products!$A$1:$G$1,0))</f>
        <v>2.5</v>
      </c>
      <c r="K859" s="6">
        <f>INDEX(products!$A$1:$G$49,MATCH(orders!$D859,products!$A$1:$A$49,0),MATCH(orders!K$1,products!$A$1:$G$1,0))</f>
        <v>27.484999999999996</v>
      </c>
      <c r="L859" s="6">
        <f>K859*E859</f>
        <v>137.42499999999998</v>
      </c>
      <c r="M859" t="str" cm="1">
        <f t="array" ref="M859">_xlfn.IFS(H859="Rob","Robusta",H859="Exc","Excelsa",H859="Ara","Arabica",H859="Lib","Liberica")</f>
        <v>Robusta</v>
      </c>
      <c r="N859" t="str" cm="1">
        <f t="array" ref="N859">_xlfn.IFS(I859="M","Medium",I859="L","Light",I859="D","Dark")</f>
        <v>Light</v>
      </c>
      <c r="O859" t="str">
        <f>_xlfn.XLOOKUP(Orders[[#This Row],[Customer ID]],customers!$A$2:$A$1001,customers!$I$2:$I$1001,,0)</f>
        <v>No</v>
      </c>
    </row>
    <row r="860" spans="1:15" x14ac:dyDescent="0.3">
      <c r="A860" s="2" t="s">
        <v>5339</v>
      </c>
      <c r="B860" s="3">
        <v>43638</v>
      </c>
      <c r="C860" s="2" t="s">
        <v>5340</v>
      </c>
      <c r="D860" t="s">
        <v>6160</v>
      </c>
      <c r="E860" s="2">
        <v>4</v>
      </c>
      <c r="F860" s="2" t="str">
        <f>_xlfn.XLOOKUP(C860,customers!$A$2:$A$1001,customers!$B$2:$B$1001,,0)</f>
        <v>Shelley Titley</v>
      </c>
      <c r="G860" s="2" t="str">
        <f>_xlfn.XLOOKUP(C860,customers!$A$2:$A$1001,customers!$G$2:$G$1001,,0)</f>
        <v>United States</v>
      </c>
      <c r="H860" t="str">
        <f>INDEX(products!$A$1:$G$49,MATCH(orders!$D860,products!$A$1:$A$49,0),MATCH(orders!H$1,products!$A$1:$G$1,0))</f>
        <v>Lib</v>
      </c>
      <c r="I860" t="str">
        <f>INDEX(products!$A$1:$G$49,MATCH(orders!$D860,products!$A$1:$A$49,0),MATCH(orders!I$1,products!$A$1:$G$1,0))</f>
        <v>M</v>
      </c>
      <c r="J860" s="5">
        <f>INDEX(products!$A$1:$G$49,MATCH(orders!$D860,products!$A$1:$A$49,0),MATCH(orders!J$1,products!$A$1:$G$1,0))</f>
        <v>0.5</v>
      </c>
      <c r="K860" s="6">
        <f>INDEX(products!$A$1:$G$49,MATCH(orders!$D860,products!$A$1:$A$49,0),MATCH(orders!K$1,products!$A$1:$G$1,0))</f>
        <v>8.73</v>
      </c>
      <c r="L860" s="6">
        <f>K860*E860</f>
        <v>34.92</v>
      </c>
      <c r="M860" t="str" cm="1">
        <f t="array" ref="M860">_xlfn.IFS(H860="Rob","Robusta",H860="Exc","Excelsa",H860="Ara","Arabica",H860="Lib","Liberica")</f>
        <v>Liberica</v>
      </c>
      <c r="N860" t="str" cm="1">
        <f t="array" ref="N860">_xlfn.IFS(I860="M","Medium",I860="L","Light",I860="D","Dark")</f>
        <v>Medium</v>
      </c>
      <c r="O860" t="str">
        <f>_xlfn.XLOOKUP(Orders[[#This Row],[Customer ID]],customers!$A$2:$A$1001,customers!$I$2:$I$1001,,0)</f>
        <v>No</v>
      </c>
    </row>
    <row r="861" spans="1:15" x14ac:dyDescent="0.3">
      <c r="A861" s="2" t="s">
        <v>5345</v>
      </c>
      <c r="B861" s="3">
        <v>43716</v>
      </c>
      <c r="C861" s="2" t="s">
        <v>5346</v>
      </c>
      <c r="D861" t="s">
        <v>6182</v>
      </c>
      <c r="E861" s="2">
        <v>6</v>
      </c>
      <c r="F861" s="2" t="str">
        <f>_xlfn.XLOOKUP(C861,customers!$A$2:$A$1001,customers!$B$2:$B$1001,,0)</f>
        <v>Redd Simao</v>
      </c>
      <c r="G861" s="2" t="str">
        <f>_xlfn.XLOOKUP(C861,customers!$A$2:$A$1001,customers!$G$2:$G$1001,,0)</f>
        <v>United States</v>
      </c>
      <c r="H861" t="str">
        <f>INDEX(products!$A$1:$G$49,MATCH(orders!$D861,products!$A$1:$A$49,0),MATCH(orders!H$1,products!$A$1:$G$1,0))</f>
        <v>Ara</v>
      </c>
      <c r="I861" t="str">
        <f>INDEX(products!$A$1:$G$49,MATCH(orders!$D861,products!$A$1:$A$49,0),MATCH(orders!I$1,products!$A$1:$G$1,0))</f>
        <v>L</v>
      </c>
      <c r="J861" s="5">
        <f>INDEX(products!$A$1:$G$49,MATCH(orders!$D861,products!$A$1:$A$49,0),MATCH(orders!J$1,products!$A$1:$G$1,0))</f>
        <v>2.5</v>
      </c>
      <c r="K861" s="6">
        <f>INDEX(products!$A$1:$G$49,MATCH(orders!$D861,products!$A$1:$A$49,0),MATCH(orders!K$1,products!$A$1:$G$1,0))</f>
        <v>29.784999999999997</v>
      </c>
      <c r="L861" s="6">
        <f>K861*E861</f>
        <v>178.70999999999998</v>
      </c>
      <c r="M861" t="str" cm="1">
        <f t="array" ref="M861">_xlfn.IFS(H861="Rob","Robusta",H861="Exc","Excelsa",H861="Ara","Arabica",H861="Lib","Liberica")</f>
        <v>Arabica</v>
      </c>
      <c r="N861" t="str" cm="1">
        <f t="array" ref="N861">_xlfn.IFS(I861="M","Medium",I861="L","Light",I861="D","Dark")</f>
        <v>Light</v>
      </c>
      <c r="O861" t="str">
        <f>_xlfn.XLOOKUP(Orders[[#This Row],[Customer ID]],customers!$A$2:$A$1001,customers!$I$2:$I$1001,,0)</f>
        <v>No</v>
      </c>
    </row>
    <row r="862" spans="1:15" x14ac:dyDescent="0.3">
      <c r="A862" s="2" t="s">
        <v>5351</v>
      </c>
      <c r="B862" s="3">
        <v>44707</v>
      </c>
      <c r="C862" s="2" t="s">
        <v>5352</v>
      </c>
      <c r="D862" t="s">
        <v>6175</v>
      </c>
      <c r="E862" s="2">
        <v>1</v>
      </c>
      <c r="F862" s="2" t="str">
        <f>_xlfn.XLOOKUP(C862,customers!$A$2:$A$1001,customers!$B$2:$B$1001,,0)</f>
        <v>Cece Inker</v>
      </c>
      <c r="G862" s="2" t="str">
        <f>_xlfn.XLOOKUP(C862,customers!$A$2:$A$1001,customers!$G$2:$G$1001,,0)</f>
        <v>United States</v>
      </c>
      <c r="H862" t="str">
        <f>INDEX(products!$A$1:$G$49,MATCH(orders!$D862,products!$A$1:$A$49,0),MATCH(orders!H$1,products!$A$1:$G$1,0))</f>
        <v>Ara</v>
      </c>
      <c r="I862" t="str">
        <f>INDEX(products!$A$1:$G$49,MATCH(orders!$D862,products!$A$1:$A$49,0),MATCH(orders!I$1,products!$A$1:$G$1,0))</f>
        <v>M</v>
      </c>
      <c r="J862" s="5">
        <f>INDEX(products!$A$1:$G$49,MATCH(orders!$D862,products!$A$1:$A$49,0),MATCH(orders!J$1,products!$A$1:$G$1,0))</f>
        <v>2.5</v>
      </c>
      <c r="K862" s="6">
        <f>INDEX(products!$A$1:$G$49,MATCH(orders!$D862,products!$A$1:$A$49,0),MATCH(orders!K$1,products!$A$1:$G$1,0))</f>
        <v>25.874999999999996</v>
      </c>
      <c r="L862" s="6">
        <f>K862*E862</f>
        <v>25.874999999999996</v>
      </c>
      <c r="M862" t="str" cm="1">
        <f t="array" ref="M862">_xlfn.IFS(H862="Rob","Robusta",H862="Exc","Excelsa",H862="Ara","Arabica",H862="Lib","Liberica")</f>
        <v>Arabica</v>
      </c>
      <c r="N862" t="str" cm="1">
        <f t="array" ref="N862">_xlfn.IFS(I862="M","Medium",I862="L","Light",I862="D","Dark")</f>
        <v>Medium</v>
      </c>
      <c r="O862" t="str">
        <f>_xlfn.XLOOKUP(Orders[[#This Row],[Customer ID]],customers!$A$2:$A$1001,customers!$I$2:$I$1001,,0)</f>
        <v>No</v>
      </c>
    </row>
    <row r="863" spans="1:15" x14ac:dyDescent="0.3">
      <c r="A863" s="2" t="s">
        <v>5356</v>
      </c>
      <c r="B863" s="3">
        <v>43802</v>
      </c>
      <c r="C863" s="2" t="s">
        <v>5357</v>
      </c>
      <c r="D863" t="s">
        <v>6143</v>
      </c>
      <c r="E863" s="2">
        <v>6</v>
      </c>
      <c r="F863" s="2" t="str">
        <f>_xlfn.XLOOKUP(C863,customers!$A$2:$A$1001,customers!$B$2:$B$1001,,0)</f>
        <v>Noel Chisholm</v>
      </c>
      <c r="G863" s="2" t="str">
        <f>_xlfn.XLOOKUP(C863,customers!$A$2:$A$1001,customers!$G$2:$G$1001,,0)</f>
        <v>United States</v>
      </c>
      <c r="H863" t="str">
        <f>INDEX(products!$A$1:$G$49,MATCH(orders!$D863,products!$A$1:$A$49,0),MATCH(orders!H$1,products!$A$1:$G$1,0))</f>
        <v>Lib</v>
      </c>
      <c r="I863" t="str">
        <f>INDEX(products!$A$1:$G$49,MATCH(orders!$D863,products!$A$1:$A$49,0),MATCH(orders!I$1,products!$A$1:$G$1,0))</f>
        <v>D</v>
      </c>
      <c r="J863" s="5">
        <f>INDEX(products!$A$1:$G$49,MATCH(orders!$D863,products!$A$1:$A$49,0),MATCH(orders!J$1,products!$A$1:$G$1,0))</f>
        <v>1</v>
      </c>
      <c r="K863" s="6">
        <f>INDEX(products!$A$1:$G$49,MATCH(orders!$D863,products!$A$1:$A$49,0),MATCH(orders!K$1,products!$A$1:$G$1,0))</f>
        <v>12.95</v>
      </c>
      <c r="L863" s="6">
        <f>K863*E863</f>
        <v>77.699999999999989</v>
      </c>
      <c r="M863" t="str" cm="1">
        <f t="array" ref="M863">_xlfn.IFS(H863="Rob","Robusta",H863="Exc","Excelsa",H863="Ara","Arabica",H863="Lib","Liberica")</f>
        <v>Liberica</v>
      </c>
      <c r="N863" t="str" cm="1">
        <f t="array" ref="N863">_xlfn.IFS(I863="M","Medium",I863="L","Light",I863="D","Dark")</f>
        <v>Dark</v>
      </c>
      <c r="O863" t="str">
        <f>_xlfn.XLOOKUP(Orders[[#This Row],[Customer ID]],customers!$A$2:$A$1001,customers!$I$2:$I$1001,,0)</f>
        <v>Yes</v>
      </c>
    </row>
    <row r="864" spans="1:15" x14ac:dyDescent="0.3">
      <c r="A864" s="2" t="s">
        <v>5362</v>
      </c>
      <c r="B864" s="3">
        <v>43725</v>
      </c>
      <c r="C864" s="2" t="s">
        <v>5363</v>
      </c>
      <c r="D864" t="s">
        <v>6138</v>
      </c>
      <c r="E864" s="2">
        <v>1</v>
      </c>
      <c r="F864" s="2" t="str">
        <f>_xlfn.XLOOKUP(C864,customers!$A$2:$A$1001,customers!$B$2:$B$1001,,0)</f>
        <v>Grazia Oats</v>
      </c>
      <c r="G864" s="2" t="str">
        <f>_xlfn.XLOOKUP(C864,customers!$A$2:$A$1001,customers!$G$2:$G$1001,,0)</f>
        <v>United States</v>
      </c>
      <c r="H864" t="str">
        <f>INDEX(products!$A$1:$G$49,MATCH(orders!$D864,products!$A$1:$A$49,0),MATCH(orders!H$1,products!$A$1:$G$1,0))</f>
        <v>Rob</v>
      </c>
      <c r="I864" t="str">
        <f>INDEX(products!$A$1:$G$49,MATCH(orders!$D864,products!$A$1:$A$49,0),MATCH(orders!I$1,products!$A$1:$G$1,0))</f>
        <v>M</v>
      </c>
      <c r="J864" s="5">
        <f>INDEX(products!$A$1:$G$49,MATCH(orders!$D864,products!$A$1:$A$49,0),MATCH(orders!J$1,products!$A$1:$G$1,0))</f>
        <v>1</v>
      </c>
      <c r="K864" s="6">
        <f>INDEX(products!$A$1:$G$49,MATCH(orders!$D864,products!$A$1:$A$49,0),MATCH(orders!K$1,products!$A$1:$G$1,0))</f>
        <v>9.9499999999999993</v>
      </c>
      <c r="L864" s="6">
        <f>K864*E864</f>
        <v>9.9499999999999993</v>
      </c>
      <c r="M864" t="str" cm="1">
        <f t="array" ref="M864">_xlfn.IFS(H864="Rob","Robusta",H864="Exc","Excelsa",H864="Ara","Arabica",H864="Lib","Liberica")</f>
        <v>Robusta</v>
      </c>
      <c r="N864" t="str" cm="1">
        <f t="array" ref="N864">_xlfn.IFS(I864="M","Medium",I864="L","Light",I864="D","Dark")</f>
        <v>Medium</v>
      </c>
      <c r="O864" t="str">
        <f>_xlfn.XLOOKUP(Orders[[#This Row],[Customer ID]],customers!$A$2:$A$1001,customers!$I$2:$I$1001,,0)</f>
        <v>Yes</v>
      </c>
    </row>
    <row r="865" spans="1:15" x14ac:dyDescent="0.3">
      <c r="A865" s="2" t="s">
        <v>5368</v>
      </c>
      <c r="B865" s="3">
        <v>44712</v>
      </c>
      <c r="C865" s="2" t="s">
        <v>5369</v>
      </c>
      <c r="D865" t="s">
        <v>6162</v>
      </c>
      <c r="E865" s="2">
        <v>2</v>
      </c>
      <c r="F865" s="2" t="str">
        <f>_xlfn.XLOOKUP(C865,customers!$A$2:$A$1001,customers!$B$2:$B$1001,,0)</f>
        <v>Meade Birkin</v>
      </c>
      <c r="G865" s="2" t="str">
        <f>_xlfn.XLOOKUP(C865,customers!$A$2:$A$1001,customers!$G$2:$G$1001,,0)</f>
        <v>United States</v>
      </c>
      <c r="H865" t="str">
        <f>INDEX(products!$A$1:$G$49,MATCH(orders!$D865,products!$A$1:$A$49,0),MATCH(orders!H$1,products!$A$1:$G$1,0))</f>
        <v>Lib</v>
      </c>
      <c r="I865" t="str">
        <f>INDEX(products!$A$1:$G$49,MATCH(orders!$D865,products!$A$1:$A$49,0),MATCH(orders!I$1,products!$A$1:$G$1,0))</f>
        <v>M</v>
      </c>
      <c r="J865" s="5">
        <f>INDEX(products!$A$1:$G$49,MATCH(orders!$D865,products!$A$1:$A$49,0),MATCH(orders!J$1,products!$A$1:$G$1,0))</f>
        <v>1</v>
      </c>
      <c r="K865" s="6">
        <f>INDEX(products!$A$1:$G$49,MATCH(orders!$D865,products!$A$1:$A$49,0),MATCH(orders!K$1,products!$A$1:$G$1,0))</f>
        <v>14.55</v>
      </c>
      <c r="L865" s="6">
        <f>K865*E865</f>
        <v>29.1</v>
      </c>
      <c r="M865" t="str" cm="1">
        <f t="array" ref="M865">_xlfn.IFS(H865="Rob","Robusta",H865="Exc","Excelsa",H865="Ara","Arabica",H865="Lib","Liberica")</f>
        <v>Liberica</v>
      </c>
      <c r="N865" t="str" cm="1">
        <f t="array" ref="N865">_xlfn.IFS(I865="M","Medium",I865="L","Light",I865="D","Dark")</f>
        <v>Medium</v>
      </c>
      <c r="O865" t="str">
        <f>_xlfn.XLOOKUP(Orders[[#This Row],[Customer ID]],customers!$A$2:$A$1001,customers!$I$2:$I$1001,,0)</f>
        <v>Yes</v>
      </c>
    </row>
    <row r="866" spans="1:15" x14ac:dyDescent="0.3">
      <c r="A866" s="2" t="s">
        <v>5374</v>
      </c>
      <c r="B866" s="3">
        <v>43759</v>
      </c>
      <c r="C866" s="2" t="s">
        <v>5375</v>
      </c>
      <c r="D866" t="s">
        <v>6178</v>
      </c>
      <c r="E866" s="2">
        <v>6</v>
      </c>
      <c r="F866" s="2" t="str">
        <f>_xlfn.XLOOKUP(C866,customers!$A$2:$A$1001,customers!$B$2:$B$1001,,0)</f>
        <v>Ronda Pyson</v>
      </c>
      <c r="G866" s="2" t="str">
        <f>_xlfn.XLOOKUP(C866,customers!$A$2:$A$1001,customers!$G$2:$G$1001,,0)</f>
        <v>Ireland</v>
      </c>
      <c r="H866" t="str">
        <f>INDEX(products!$A$1:$G$49,MATCH(orders!$D866,products!$A$1:$A$49,0),MATCH(orders!H$1,products!$A$1:$G$1,0))</f>
        <v>Rob</v>
      </c>
      <c r="I866" t="str">
        <f>INDEX(products!$A$1:$G$49,MATCH(orders!$D866,products!$A$1:$A$49,0),MATCH(orders!I$1,products!$A$1:$G$1,0))</f>
        <v>L</v>
      </c>
      <c r="J866" s="5">
        <f>INDEX(products!$A$1:$G$49,MATCH(orders!$D866,products!$A$1:$A$49,0),MATCH(orders!J$1,products!$A$1:$G$1,0))</f>
        <v>0.2</v>
      </c>
      <c r="K866" s="6">
        <f>INDEX(products!$A$1:$G$49,MATCH(orders!$D866,products!$A$1:$A$49,0),MATCH(orders!K$1,products!$A$1:$G$1,0))</f>
        <v>3.5849999999999995</v>
      </c>
      <c r="L866" s="6">
        <f>K866*E866</f>
        <v>21.509999999999998</v>
      </c>
      <c r="M866" t="str" cm="1">
        <f t="array" ref="M866">_xlfn.IFS(H866="Rob","Robusta",H866="Exc","Excelsa",H866="Ara","Arabica",H866="Lib","Liberica")</f>
        <v>Robusta</v>
      </c>
      <c r="N866" t="str" cm="1">
        <f t="array" ref="N866">_xlfn.IFS(I866="M","Medium",I866="L","Light",I866="D","Dark")</f>
        <v>Light</v>
      </c>
      <c r="O866" t="str">
        <f>_xlfn.XLOOKUP(Orders[[#This Row],[Customer ID]],customers!$A$2:$A$1001,customers!$I$2:$I$1001,,0)</f>
        <v>No</v>
      </c>
    </row>
    <row r="867" spans="1:15" x14ac:dyDescent="0.3">
      <c r="A867" s="2" t="s">
        <v>5380</v>
      </c>
      <c r="B867" s="3">
        <v>44675</v>
      </c>
      <c r="C867" s="2" t="s">
        <v>5428</v>
      </c>
      <c r="D867" t="s">
        <v>6157</v>
      </c>
      <c r="E867" s="2">
        <v>1</v>
      </c>
      <c r="F867" s="2" t="str">
        <f>_xlfn.XLOOKUP(C867,customers!$A$2:$A$1001,customers!$B$2:$B$1001,,0)</f>
        <v>Modesty MacConnechie</v>
      </c>
      <c r="G867" s="2" t="str">
        <f>_xlfn.XLOOKUP(C867,customers!$A$2:$A$1001,customers!$G$2:$G$1001,,0)</f>
        <v>United States</v>
      </c>
      <c r="H867" t="str">
        <f>INDEX(products!$A$1:$G$49,MATCH(orders!$D867,products!$A$1:$A$49,0),MATCH(orders!H$1,products!$A$1:$G$1,0))</f>
        <v>Ara</v>
      </c>
      <c r="I867" t="str">
        <f>INDEX(products!$A$1:$G$49,MATCH(orders!$D867,products!$A$1:$A$49,0),MATCH(orders!I$1,products!$A$1:$G$1,0))</f>
        <v>M</v>
      </c>
      <c r="J867" s="5">
        <f>INDEX(products!$A$1:$G$49,MATCH(orders!$D867,products!$A$1:$A$49,0),MATCH(orders!J$1,products!$A$1:$G$1,0))</f>
        <v>0.5</v>
      </c>
      <c r="K867" s="6">
        <f>INDEX(products!$A$1:$G$49,MATCH(orders!$D867,products!$A$1:$A$49,0),MATCH(orders!K$1,products!$A$1:$G$1,0))</f>
        <v>6.75</v>
      </c>
      <c r="L867" s="6">
        <f>K867*E867</f>
        <v>6.75</v>
      </c>
      <c r="M867" t="str" cm="1">
        <f t="array" ref="M867">_xlfn.IFS(H867="Rob","Robusta",H867="Exc","Excelsa",H867="Ara","Arabica",H867="Lib","Liberica")</f>
        <v>Arabica</v>
      </c>
      <c r="N867" t="str" cm="1">
        <f t="array" ref="N867">_xlfn.IFS(I867="M","Medium",I867="L","Light",I867="D","Dark")</f>
        <v>Medium</v>
      </c>
      <c r="O867" t="str">
        <f>_xlfn.XLOOKUP(Orders[[#This Row],[Customer ID]],customers!$A$2:$A$1001,customers!$I$2:$I$1001,,0)</f>
        <v>Yes</v>
      </c>
    </row>
    <row r="868" spans="1:15" x14ac:dyDescent="0.3">
      <c r="A868" s="2" t="s">
        <v>5385</v>
      </c>
      <c r="B868" s="3">
        <v>44209</v>
      </c>
      <c r="C868" s="2" t="s">
        <v>5386</v>
      </c>
      <c r="D868" t="s">
        <v>6158</v>
      </c>
      <c r="E868" s="2">
        <v>3</v>
      </c>
      <c r="F868" s="2" t="str">
        <f>_xlfn.XLOOKUP(C868,customers!$A$2:$A$1001,customers!$B$2:$B$1001,,0)</f>
        <v>Rafaela Treacher</v>
      </c>
      <c r="G868" s="2" t="str">
        <f>_xlfn.XLOOKUP(C868,customers!$A$2:$A$1001,customers!$G$2:$G$1001,,0)</f>
        <v>Ireland</v>
      </c>
      <c r="H868" t="str">
        <f>INDEX(products!$A$1:$G$49,MATCH(orders!$D868,products!$A$1:$A$49,0),MATCH(orders!H$1,products!$A$1:$G$1,0))</f>
        <v>Ara</v>
      </c>
      <c r="I868" t="str">
        <f>INDEX(products!$A$1:$G$49,MATCH(orders!$D868,products!$A$1:$A$49,0),MATCH(orders!I$1,products!$A$1:$G$1,0))</f>
        <v>D</v>
      </c>
      <c r="J868" s="5">
        <f>INDEX(products!$A$1:$G$49,MATCH(orders!$D868,products!$A$1:$A$49,0),MATCH(orders!J$1,products!$A$1:$G$1,0))</f>
        <v>0.5</v>
      </c>
      <c r="K868" s="6">
        <f>INDEX(products!$A$1:$G$49,MATCH(orders!$D868,products!$A$1:$A$49,0),MATCH(orders!K$1,products!$A$1:$G$1,0))</f>
        <v>5.97</v>
      </c>
      <c r="L868" s="6">
        <f>K868*E868</f>
        <v>17.91</v>
      </c>
      <c r="M868" t="str" cm="1">
        <f t="array" ref="M868">_xlfn.IFS(H868="Rob","Robusta",H868="Exc","Excelsa",H868="Ara","Arabica",H868="Lib","Liberica")</f>
        <v>Arabica</v>
      </c>
      <c r="N868" t="str" cm="1">
        <f t="array" ref="N868">_xlfn.IFS(I868="M","Medium",I868="L","Light",I868="D","Dark")</f>
        <v>Dark</v>
      </c>
      <c r="O868" t="str">
        <f>_xlfn.XLOOKUP(Orders[[#This Row],[Customer ID]],customers!$A$2:$A$1001,customers!$I$2:$I$1001,,0)</f>
        <v>No</v>
      </c>
    </row>
    <row r="869" spans="1:15" x14ac:dyDescent="0.3">
      <c r="A869" s="2" t="s">
        <v>5391</v>
      </c>
      <c r="B869" s="3">
        <v>44792</v>
      </c>
      <c r="C869" s="2" t="s">
        <v>5392</v>
      </c>
      <c r="D869" t="s">
        <v>6182</v>
      </c>
      <c r="E869" s="2">
        <v>1</v>
      </c>
      <c r="F869" s="2" t="str">
        <f>_xlfn.XLOOKUP(C869,customers!$A$2:$A$1001,customers!$B$2:$B$1001,,0)</f>
        <v>Bee Fattorini</v>
      </c>
      <c r="G869" s="2" t="str">
        <f>_xlfn.XLOOKUP(C869,customers!$A$2:$A$1001,customers!$G$2:$G$1001,,0)</f>
        <v>Ireland</v>
      </c>
      <c r="H869" t="str">
        <f>INDEX(products!$A$1:$G$49,MATCH(orders!$D869,products!$A$1:$A$49,0),MATCH(orders!H$1,products!$A$1:$G$1,0))</f>
        <v>Ara</v>
      </c>
      <c r="I869" t="str">
        <f>INDEX(products!$A$1:$G$49,MATCH(orders!$D869,products!$A$1:$A$49,0),MATCH(orders!I$1,products!$A$1:$G$1,0))</f>
        <v>L</v>
      </c>
      <c r="J869" s="5">
        <f>INDEX(products!$A$1:$G$49,MATCH(orders!$D869,products!$A$1:$A$49,0),MATCH(orders!J$1,products!$A$1:$G$1,0))</f>
        <v>2.5</v>
      </c>
      <c r="K869" s="6">
        <f>INDEX(products!$A$1:$G$49,MATCH(orders!$D869,products!$A$1:$A$49,0),MATCH(orders!K$1,products!$A$1:$G$1,0))</f>
        <v>29.784999999999997</v>
      </c>
      <c r="L869" s="6">
        <f>K869*E869</f>
        <v>29.784999999999997</v>
      </c>
      <c r="M869" t="str" cm="1">
        <f t="array" ref="M869">_xlfn.IFS(H869="Rob","Robusta",H869="Exc","Excelsa",H869="Ara","Arabica",H869="Lib","Liberica")</f>
        <v>Arabica</v>
      </c>
      <c r="N869" t="str" cm="1">
        <f t="array" ref="N869">_xlfn.IFS(I869="M","Medium",I869="L","Light",I869="D","Dark")</f>
        <v>Light</v>
      </c>
      <c r="O869" t="str">
        <f>_xlfn.XLOOKUP(Orders[[#This Row],[Customer ID]],customers!$A$2:$A$1001,customers!$I$2:$I$1001,,0)</f>
        <v>Yes</v>
      </c>
    </row>
    <row r="870" spans="1:15" x14ac:dyDescent="0.3">
      <c r="A870" s="2" t="s">
        <v>5396</v>
      </c>
      <c r="B870" s="3">
        <v>43526</v>
      </c>
      <c r="C870" s="2" t="s">
        <v>5397</v>
      </c>
      <c r="D870" t="s">
        <v>6139</v>
      </c>
      <c r="E870" s="2">
        <v>5</v>
      </c>
      <c r="F870" s="2" t="str">
        <f>_xlfn.XLOOKUP(C870,customers!$A$2:$A$1001,customers!$B$2:$B$1001,,0)</f>
        <v>Margie Palleske</v>
      </c>
      <c r="G870" s="2" t="str">
        <f>_xlfn.XLOOKUP(C870,customers!$A$2:$A$1001,customers!$G$2:$G$1001,,0)</f>
        <v>United States</v>
      </c>
      <c r="H870" t="str">
        <f>INDEX(products!$A$1:$G$49,MATCH(orders!$D870,products!$A$1:$A$49,0),MATCH(orders!H$1,products!$A$1:$G$1,0))</f>
        <v>Exc</v>
      </c>
      <c r="I870" t="str">
        <f>INDEX(products!$A$1:$G$49,MATCH(orders!$D870,products!$A$1:$A$49,0),MATCH(orders!I$1,products!$A$1:$G$1,0))</f>
        <v>M</v>
      </c>
      <c r="J870" s="5">
        <f>INDEX(products!$A$1:$G$49,MATCH(orders!$D870,products!$A$1:$A$49,0),MATCH(orders!J$1,products!$A$1:$G$1,0))</f>
        <v>0.5</v>
      </c>
      <c r="K870" s="6">
        <f>INDEX(products!$A$1:$G$49,MATCH(orders!$D870,products!$A$1:$A$49,0),MATCH(orders!K$1,products!$A$1:$G$1,0))</f>
        <v>8.25</v>
      </c>
      <c r="L870" s="6">
        <f>K870*E870</f>
        <v>41.25</v>
      </c>
      <c r="M870" t="str" cm="1">
        <f t="array" ref="M870">_xlfn.IFS(H870="Rob","Robusta",H870="Exc","Excelsa",H870="Ara","Arabica",H870="Lib","Liberica")</f>
        <v>Excelsa</v>
      </c>
      <c r="N870" t="str" cm="1">
        <f t="array" ref="N870">_xlfn.IFS(I870="M","Medium",I870="L","Light",I870="D","Dark")</f>
        <v>Medium</v>
      </c>
      <c r="O870" t="str">
        <f>_xlfn.XLOOKUP(Orders[[#This Row],[Customer ID]],customers!$A$2:$A$1001,customers!$I$2:$I$1001,,0)</f>
        <v>Yes</v>
      </c>
    </row>
    <row r="871" spans="1:15" x14ac:dyDescent="0.3">
      <c r="A871" s="2" t="s">
        <v>5402</v>
      </c>
      <c r="B871" s="3">
        <v>43851</v>
      </c>
      <c r="C871" s="2" t="s">
        <v>5403</v>
      </c>
      <c r="D871" t="s">
        <v>6146</v>
      </c>
      <c r="E871" s="2">
        <v>3</v>
      </c>
      <c r="F871" s="2" t="str">
        <f>_xlfn.XLOOKUP(C871,customers!$A$2:$A$1001,customers!$B$2:$B$1001,,0)</f>
        <v>Alexina Randals</v>
      </c>
      <c r="G871" s="2" t="str">
        <f>_xlfn.XLOOKUP(C871,customers!$A$2:$A$1001,customers!$G$2:$G$1001,,0)</f>
        <v>United States</v>
      </c>
      <c r="H871" t="str">
        <f>INDEX(products!$A$1:$G$49,MATCH(orders!$D871,products!$A$1:$A$49,0),MATCH(orders!H$1,products!$A$1:$G$1,0))</f>
        <v>Rob</v>
      </c>
      <c r="I871" t="str">
        <f>INDEX(products!$A$1:$G$49,MATCH(orders!$D871,products!$A$1:$A$49,0),MATCH(orders!I$1,products!$A$1:$G$1,0))</f>
        <v>M</v>
      </c>
      <c r="J871" s="5">
        <f>INDEX(products!$A$1:$G$49,MATCH(orders!$D871,products!$A$1:$A$49,0),MATCH(orders!J$1,products!$A$1:$G$1,0))</f>
        <v>0.5</v>
      </c>
      <c r="K871" s="6">
        <f>INDEX(products!$A$1:$G$49,MATCH(orders!$D871,products!$A$1:$A$49,0),MATCH(orders!K$1,products!$A$1:$G$1,0))</f>
        <v>5.97</v>
      </c>
      <c r="L871" s="6">
        <f>K871*E871</f>
        <v>17.91</v>
      </c>
      <c r="M871" t="str" cm="1">
        <f t="array" ref="M871">_xlfn.IFS(H871="Rob","Robusta",H871="Exc","Excelsa",H871="Ara","Arabica",H871="Lib","Liberica")</f>
        <v>Robusta</v>
      </c>
      <c r="N871" t="str" cm="1">
        <f t="array" ref="N871">_xlfn.IFS(I871="M","Medium",I871="L","Light",I871="D","Dark")</f>
        <v>Medium</v>
      </c>
      <c r="O871" t="str">
        <f>_xlfn.XLOOKUP(Orders[[#This Row],[Customer ID]],customers!$A$2:$A$1001,customers!$I$2:$I$1001,,0)</f>
        <v>Yes</v>
      </c>
    </row>
    <row r="872" spans="1:15" x14ac:dyDescent="0.3">
      <c r="A872" s="2" t="s">
        <v>5407</v>
      </c>
      <c r="B872" s="3">
        <v>44460</v>
      </c>
      <c r="C872" s="2" t="s">
        <v>5408</v>
      </c>
      <c r="D872" t="s">
        <v>6144</v>
      </c>
      <c r="E872" s="2">
        <v>1</v>
      </c>
      <c r="F872" s="2" t="str">
        <f>_xlfn.XLOOKUP(C872,customers!$A$2:$A$1001,customers!$B$2:$B$1001,,0)</f>
        <v>Filip Antcliffe</v>
      </c>
      <c r="G872" s="2" t="str">
        <f>_xlfn.XLOOKUP(C872,customers!$A$2:$A$1001,customers!$G$2:$G$1001,,0)</f>
        <v>Ireland</v>
      </c>
      <c r="H872" t="str">
        <f>INDEX(products!$A$1:$G$49,MATCH(orders!$D872,products!$A$1:$A$49,0),MATCH(orders!H$1,products!$A$1:$G$1,0))</f>
        <v>Exc</v>
      </c>
      <c r="I872" t="str">
        <f>INDEX(products!$A$1:$G$49,MATCH(orders!$D872,products!$A$1:$A$49,0),MATCH(orders!I$1,products!$A$1:$G$1,0))</f>
        <v>D</v>
      </c>
      <c r="J872" s="5">
        <f>INDEX(products!$A$1:$G$49,MATCH(orders!$D872,products!$A$1:$A$49,0),MATCH(orders!J$1,products!$A$1:$G$1,0))</f>
        <v>0.5</v>
      </c>
      <c r="K872" s="6">
        <f>INDEX(products!$A$1:$G$49,MATCH(orders!$D872,products!$A$1:$A$49,0),MATCH(orders!K$1,products!$A$1:$G$1,0))</f>
        <v>7.29</v>
      </c>
      <c r="L872" s="6">
        <f>K872*E872</f>
        <v>7.29</v>
      </c>
      <c r="M872" t="str" cm="1">
        <f t="array" ref="M872">_xlfn.IFS(H872="Rob","Robusta",H872="Exc","Excelsa",H872="Ara","Arabica",H872="Lib","Liberica")</f>
        <v>Excelsa</v>
      </c>
      <c r="N872" t="str" cm="1">
        <f t="array" ref="N872">_xlfn.IFS(I872="M","Medium",I872="L","Light",I872="D","Dark")</f>
        <v>Dark</v>
      </c>
      <c r="O872" t="str">
        <f>_xlfn.XLOOKUP(Orders[[#This Row],[Customer ID]],customers!$A$2:$A$1001,customers!$I$2:$I$1001,,0)</f>
        <v>Yes</v>
      </c>
    </row>
    <row r="873" spans="1:15" x14ac:dyDescent="0.3">
      <c r="A873" s="2" t="s">
        <v>5413</v>
      </c>
      <c r="B873" s="3">
        <v>43707</v>
      </c>
      <c r="C873" s="2" t="s">
        <v>5414</v>
      </c>
      <c r="D873" t="s">
        <v>6171</v>
      </c>
      <c r="E873" s="2">
        <v>2</v>
      </c>
      <c r="F873" s="2" t="str">
        <f>_xlfn.XLOOKUP(C873,customers!$A$2:$A$1001,customers!$B$2:$B$1001,,0)</f>
        <v>Peyter Matignon</v>
      </c>
      <c r="G873" s="2" t="str">
        <f>_xlfn.XLOOKUP(C873,customers!$A$2:$A$1001,customers!$G$2:$G$1001,,0)</f>
        <v>United Kingdom</v>
      </c>
      <c r="H873" t="str">
        <f>INDEX(products!$A$1:$G$49,MATCH(orders!$D873,products!$A$1:$A$49,0),MATCH(orders!H$1,products!$A$1:$G$1,0))</f>
        <v>Exc</v>
      </c>
      <c r="I873" t="str">
        <f>INDEX(products!$A$1:$G$49,MATCH(orders!$D873,products!$A$1:$A$49,0),MATCH(orders!I$1,products!$A$1:$G$1,0))</f>
        <v>L</v>
      </c>
      <c r="J873" s="5">
        <f>INDEX(products!$A$1:$G$49,MATCH(orders!$D873,products!$A$1:$A$49,0),MATCH(orders!J$1,products!$A$1:$G$1,0))</f>
        <v>1</v>
      </c>
      <c r="K873" s="6">
        <f>INDEX(products!$A$1:$G$49,MATCH(orders!$D873,products!$A$1:$A$49,0),MATCH(orders!K$1,products!$A$1:$G$1,0))</f>
        <v>14.85</v>
      </c>
      <c r="L873" s="6">
        <f>K873*E873</f>
        <v>29.7</v>
      </c>
      <c r="M873" t="str" cm="1">
        <f t="array" ref="M873">_xlfn.IFS(H873="Rob","Robusta",H873="Exc","Excelsa",H873="Ara","Arabica",H873="Lib","Liberica")</f>
        <v>Excelsa</v>
      </c>
      <c r="N873" t="str" cm="1">
        <f t="array" ref="N873">_xlfn.IFS(I873="M","Medium",I873="L","Light",I873="D","Dark")</f>
        <v>Light</v>
      </c>
      <c r="O873" t="str">
        <f>_xlfn.XLOOKUP(Orders[[#This Row],[Customer ID]],customers!$A$2:$A$1001,customers!$I$2:$I$1001,,0)</f>
        <v>Yes</v>
      </c>
    </row>
    <row r="874" spans="1:15" x14ac:dyDescent="0.3">
      <c r="A874" s="2" t="s">
        <v>5421</v>
      </c>
      <c r="B874" s="3">
        <v>43521</v>
      </c>
      <c r="C874" s="2" t="s">
        <v>5422</v>
      </c>
      <c r="D874" t="s">
        <v>6155</v>
      </c>
      <c r="E874" s="2">
        <v>2</v>
      </c>
      <c r="F874" s="2" t="str">
        <f>_xlfn.XLOOKUP(C874,customers!$A$2:$A$1001,customers!$B$2:$B$1001,,0)</f>
        <v>Claudie Weond</v>
      </c>
      <c r="G874" s="2" t="str">
        <f>_xlfn.XLOOKUP(C874,customers!$A$2:$A$1001,customers!$G$2:$G$1001,,0)</f>
        <v>United States</v>
      </c>
      <c r="H874" t="str">
        <f>INDEX(products!$A$1:$G$49,MATCH(orders!$D874,products!$A$1:$A$49,0),MATCH(orders!H$1,products!$A$1:$G$1,0))</f>
        <v>Ara</v>
      </c>
      <c r="I874" t="str">
        <f>INDEX(products!$A$1:$G$49,MATCH(orders!$D874,products!$A$1:$A$49,0),MATCH(orders!I$1,products!$A$1:$G$1,0))</f>
        <v>M</v>
      </c>
      <c r="J874" s="5">
        <f>INDEX(products!$A$1:$G$49,MATCH(orders!$D874,products!$A$1:$A$49,0),MATCH(orders!J$1,products!$A$1:$G$1,0))</f>
        <v>1</v>
      </c>
      <c r="K874" s="6">
        <f>INDEX(products!$A$1:$G$49,MATCH(orders!$D874,products!$A$1:$A$49,0),MATCH(orders!K$1,products!$A$1:$G$1,0))</f>
        <v>11.25</v>
      </c>
      <c r="L874" s="6">
        <f>K874*E874</f>
        <v>22.5</v>
      </c>
      <c r="M874" t="str" cm="1">
        <f t="array" ref="M874">_xlfn.IFS(H874="Rob","Robusta",H874="Exc","Excelsa",H874="Ara","Arabica",H874="Lib","Liberica")</f>
        <v>Arabica</v>
      </c>
      <c r="N874" t="str" cm="1">
        <f t="array" ref="N874">_xlfn.IFS(I874="M","Medium",I874="L","Light",I874="D","Dark")</f>
        <v>Medium</v>
      </c>
      <c r="O874" t="str">
        <f>_xlfn.XLOOKUP(Orders[[#This Row],[Customer ID]],customers!$A$2:$A$1001,customers!$I$2:$I$1001,,0)</f>
        <v>No</v>
      </c>
    </row>
    <row r="875" spans="1:15" x14ac:dyDescent="0.3">
      <c r="A875" s="2" t="s">
        <v>5427</v>
      </c>
      <c r="B875" s="3">
        <v>43725</v>
      </c>
      <c r="C875" s="2" t="s">
        <v>5428</v>
      </c>
      <c r="D875" t="s">
        <v>6174</v>
      </c>
      <c r="E875" s="2">
        <v>4</v>
      </c>
      <c r="F875" s="2" t="str">
        <f>_xlfn.XLOOKUP(C875,customers!$A$2:$A$1001,customers!$B$2:$B$1001,,0)</f>
        <v>Modesty MacConnechie</v>
      </c>
      <c r="G875" s="2" t="str">
        <f>_xlfn.XLOOKUP(C875,customers!$A$2:$A$1001,customers!$G$2:$G$1001,,0)</f>
        <v>United States</v>
      </c>
      <c r="H875" t="str">
        <f>INDEX(products!$A$1:$G$49,MATCH(orders!$D875,products!$A$1:$A$49,0),MATCH(orders!H$1,products!$A$1:$G$1,0))</f>
        <v>Rob</v>
      </c>
      <c r="I875" t="str">
        <f>INDEX(products!$A$1:$G$49,MATCH(orders!$D875,products!$A$1:$A$49,0),MATCH(orders!I$1,products!$A$1:$G$1,0))</f>
        <v>M</v>
      </c>
      <c r="J875" s="5">
        <f>INDEX(products!$A$1:$G$49,MATCH(orders!$D875,products!$A$1:$A$49,0),MATCH(orders!J$1,products!$A$1:$G$1,0))</f>
        <v>0.2</v>
      </c>
      <c r="K875" s="6">
        <f>INDEX(products!$A$1:$G$49,MATCH(orders!$D875,products!$A$1:$A$49,0),MATCH(orders!K$1,products!$A$1:$G$1,0))</f>
        <v>2.9849999999999999</v>
      </c>
      <c r="L875" s="6">
        <f>K875*E875</f>
        <v>11.94</v>
      </c>
      <c r="M875" t="str" cm="1">
        <f t="array" ref="M875">_xlfn.IFS(H875="Rob","Robusta",H875="Exc","Excelsa",H875="Ara","Arabica",H875="Lib","Liberica")</f>
        <v>Robusta</v>
      </c>
      <c r="N875" t="str" cm="1">
        <f t="array" ref="N875">_xlfn.IFS(I875="M","Medium",I875="L","Light",I875="D","Dark")</f>
        <v>Medium</v>
      </c>
      <c r="O875" t="str">
        <f>_xlfn.XLOOKUP(Orders[[#This Row],[Customer ID]],customers!$A$2:$A$1001,customers!$I$2:$I$1001,,0)</f>
        <v>Yes</v>
      </c>
    </row>
    <row r="876" spans="1:15" x14ac:dyDescent="0.3">
      <c r="A876" s="2" t="s">
        <v>5433</v>
      </c>
      <c r="B876" s="3">
        <v>43680</v>
      </c>
      <c r="C876" s="2" t="s">
        <v>5434</v>
      </c>
      <c r="D876" t="s">
        <v>6140</v>
      </c>
      <c r="E876" s="2">
        <v>2</v>
      </c>
      <c r="F876" s="2" t="str">
        <f>_xlfn.XLOOKUP(C876,customers!$A$2:$A$1001,customers!$B$2:$B$1001,,0)</f>
        <v>Jaquenette Skentelbery</v>
      </c>
      <c r="G876" s="2" t="str">
        <f>_xlfn.XLOOKUP(C876,customers!$A$2:$A$1001,customers!$G$2:$G$1001,,0)</f>
        <v>United States</v>
      </c>
      <c r="H876" t="str">
        <f>INDEX(products!$A$1:$G$49,MATCH(orders!$D876,products!$A$1:$A$49,0),MATCH(orders!H$1,products!$A$1:$G$1,0))</f>
        <v>Ara</v>
      </c>
      <c r="I876" t="str">
        <f>INDEX(products!$A$1:$G$49,MATCH(orders!$D876,products!$A$1:$A$49,0),MATCH(orders!I$1,products!$A$1:$G$1,0))</f>
        <v>L</v>
      </c>
      <c r="J876" s="5">
        <f>INDEX(products!$A$1:$G$49,MATCH(orders!$D876,products!$A$1:$A$49,0),MATCH(orders!J$1,products!$A$1:$G$1,0))</f>
        <v>1</v>
      </c>
      <c r="K876" s="6">
        <f>INDEX(products!$A$1:$G$49,MATCH(orders!$D876,products!$A$1:$A$49,0),MATCH(orders!K$1,products!$A$1:$G$1,0))</f>
        <v>12.95</v>
      </c>
      <c r="L876" s="6">
        <f>K876*E876</f>
        <v>25.9</v>
      </c>
      <c r="M876" t="str" cm="1">
        <f t="array" ref="M876">_xlfn.IFS(H876="Rob","Robusta",H876="Exc","Excelsa",H876="Ara","Arabica",H876="Lib","Liberica")</f>
        <v>Arabica</v>
      </c>
      <c r="N876" t="str" cm="1">
        <f t="array" ref="N876">_xlfn.IFS(I876="M","Medium",I876="L","Light",I876="D","Dark")</f>
        <v>Light</v>
      </c>
      <c r="O876" t="str">
        <f>_xlfn.XLOOKUP(Orders[[#This Row],[Customer ID]],customers!$A$2:$A$1001,customers!$I$2:$I$1001,,0)</f>
        <v>No</v>
      </c>
    </row>
    <row r="877" spans="1:15" x14ac:dyDescent="0.3">
      <c r="A877" s="2" t="s">
        <v>5439</v>
      </c>
      <c r="B877" s="3">
        <v>44253</v>
      </c>
      <c r="C877" s="2" t="s">
        <v>5440</v>
      </c>
      <c r="D877" t="s">
        <v>6160</v>
      </c>
      <c r="E877" s="2">
        <v>5</v>
      </c>
      <c r="F877" s="2" t="str">
        <f>_xlfn.XLOOKUP(C877,customers!$A$2:$A$1001,customers!$B$2:$B$1001,,0)</f>
        <v>Orazio Comber</v>
      </c>
      <c r="G877" s="2" t="str">
        <f>_xlfn.XLOOKUP(C877,customers!$A$2:$A$1001,customers!$G$2:$G$1001,,0)</f>
        <v>Ireland</v>
      </c>
      <c r="H877" t="str">
        <f>INDEX(products!$A$1:$G$49,MATCH(orders!$D877,products!$A$1:$A$49,0),MATCH(orders!H$1,products!$A$1:$G$1,0))</f>
        <v>Lib</v>
      </c>
      <c r="I877" t="str">
        <f>INDEX(products!$A$1:$G$49,MATCH(orders!$D877,products!$A$1:$A$49,0),MATCH(orders!I$1,products!$A$1:$G$1,0))</f>
        <v>M</v>
      </c>
      <c r="J877" s="5">
        <f>INDEX(products!$A$1:$G$49,MATCH(orders!$D877,products!$A$1:$A$49,0),MATCH(orders!J$1,products!$A$1:$G$1,0))</f>
        <v>0.5</v>
      </c>
      <c r="K877" s="6">
        <f>INDEX(products!$A$1:$G$49,MATCH(orders!$D877,products!$A$1:$A$49,0),MATCH(orders!K$1,products!$A$1:$G$1,0))</f>
        <v>8.73</v>
      </c>
      <c r="L877" s="6">
        <f>K877*E877</f>
        <v>43.650000000000006</v>
      </c>
      <c r="M877" t="str" cm="1">
        <f t="array" ref="M877">_xlfn.IFS(H877="Rob","Robusta",H877="Exc","Excelsa",H877="Ara","Arabica",H877="Lib","Liberica")</f>
        <v>Liberica</v>
      </c>
      <c r="N877" t="str" cm="1">
        <f t="array" ref="N877">_xlfn.IFS(I877="M","Medium",I877="L","Light",I877="D","Dark")</f>
        <v>Medium</v>
      </c>
      <c r="O877" t="str">
        <f>_xlfn.XLOOKUP(Orders[[#This Row],[Customer ID]],customers!$A$2:$A$1001,customers!$I$2:$I$1001,,0)</f>
        <v>No</v>
      </c>
    </row>
    <row r="878" spans="1:15" x14ac:dyDescent="0.3">
      <c r="A878" s="2" t="s">
        <v>5439</v>
      </c>
      <c r="B878" s="3">
        <v>44253</v>
      </c>
      <c r="C878" s="2" t="s">
        <v>5440</v>
      </c>
      <c r="D878" t="s">
        <v>6180</v>
      </c>
      <c r="E878" s="2">
        <v>6</v>
      </c>
      <c r="F878" s="2" t="str">
        <f>_xlfn.XLOOKUP(C878,customers!$A$2:$A$1001,customers!$B$2:$B$1001,,0)</f>
        <v>Orazio Comber</v>
      </c>
      <c r="G878" s="2" t="str">
        <f>_xlfn.XLOOKUP(C878,customers!$A$2:$A$1001,customers!$G$2:$G$1001,,0)</f>
        <v>Ireland</v>
      </c>
      <c r="H878" t="str">
        <f>INDEX(products!$A$1:$G$49,MATCH(orders!$D878,products!$A$1:$A$49,0),MATCH(orders!H$1,products!$A$1:$G$1,0))</f>
        <v>Ara</v>
      </c>
      <c r="I878" t="str">
        <f>INDEX(products!$A$1:$G$49,MATCH(orders!$D878,products!$A$1:$A$49,0),MATCH(orders!I$1,products!$A$1:$G$1,0))</f>
        <v>L</v>
      </c>
      <c r="J878" s="5">
        <f>INDEX(products!$A$1:$G$49,MATCH(orders!$D878,products!$A$1:$A$49,0),MATCH(orders!J$1,products!$A$1:$G$1,0))</f>
        <v>0.5</v>
      </c>
      <c r="K878" s="6">
        <f>INDEX(products!$A$1:$G$49,MATCH(orders!$D878,products!$A$1:$A$49,0),MATCH(orders!K$1,products!$A$1:$G$1,0))</f>
        <v>7.77</v>
      </c>
      <c r="L878" s="6">
        <f>K878*E878</f>
        <v>46.62</v>
      </c>
      <c r="M878" t="str" cm="1">
        <f t="array" ref="M878">_xlfn.IFS(H878="Rob","Robusta",H878="Exc","Excelsa",H878="Ara","Arabica",H878="Lib","Liberica")</f>
        <v>Arabica</v>
      </c>
      <c r="N878" t="str" cm="1">
        <f t="array" ref="N878">_xlfn.IFS(I878="M","Medium",I878="L","Light",I878="D","Dark")</f>
        <v>Light</v>
      </c>
      <c r="O878" t="str">
        <f>_xlfn.XLOOKUP(Orders[[#This Row],[Customer ID]],customers!$A$2:$A$1001,customers!$I$2:$I$1001,,0)</f>
        <v>No</v>
      </c>
    </row>
    <row r="879" spans="1:15" x14ac:dyDescent="0.3">
      <c r="A879" s="2" t="s">
        <v>5450</v>
      </c>
      <c r="B879" s="3">
        <v>44411</v>
      </c>
      <c r="C879" s="2" t="s">
        <v>5451</v>
      </c>
      <c r="D879" t="s">
        <v>6161</v>
      </c>
      <c r="E879" s="2">
        <v>3</v>
      </c>
      <c r="F879" s="2" t="str">
        <f>_xlfn.XLOOKUP(C879,customers!$A$2:$A$1001,customers!$B$2:$B$1001,,0)</f>
        <v>Zachary Tramel</v>
      </c>
      <c r="G879" s="2" t="str">
        <f>_xlfn.XLOOKUP(C879,customers!$A$2:$A$1001,customers!$G$2:$G$1001,,0)</f>
        <v>United States</v>
      </c>
      <c r="H879" t="str">
        <f>INDEX(products!$A$1:$G$49,MATCH(orders!$D879,products!$A$1:$A$49,0),MATCH(orders!H$1,products!$A$1:$G$1,0))</f>
        <v>Lib</v>
      </c>
      <c r="I879" t="str">
        <f>INDEX(products!$A$1:$G$49,MATCH(orders!$D879,products!$A$1:$A$49,0),MATCH(orders!I$1,products!$A$1:$G$1,0))</f>
        <v>L</v>
      </c>
      <c r="J879" s="5">
        <f>INDEX(products!$A$1:$G$49,MATCH(orders!$D879,products!$A$1:$A$49,0),MATCH(orders!J$1,products!$A$1:$G$1,0))</f>
        <v>0.5</v>
      </c>
      <c r="K879" s="6">
        <f>INDEX(products!$A$1:$G$49,MATCH(orders!$D879,products!$A$1:$A$49,0),MATCH(orders!K$1,products!$A$1:$G$1,0))</f>
        <v>9.51</v>
      </c>
      <c r="L879" s="6">
        <f>K879*E879</f>
        <v>28.53</v>
      </c>
      <c r="M879" t="str" cm="1">
        <f t="array" ref="M879">_xlfn.IFS(H879="Rob","Robusta",H879="Exc","Excelsa",H879="Ara","Arabica",H879="Lib","Liberica")</f>
        <v>Liberica</v>
      </c>
      <c r="N879" t="str" cm="1">
        <f t="array" ref="N879">_xlfn.IFS(I879="M","Medium",I879="L","Light",I879="D","Dark")</f>
        <v>Light</v>
      </c>
      <c r="O879" t="str">
        <f>_xlfn.XLOOKUP(Orders[[#This Row],[Customer ID]],customers!$A$2:$A$1001,customers!$I$2:$I$1001,,0)</f>
        <v>No</v>
      </c>
    </row>
    <row r="880" spans="1:15" x14ac:dyDescent="0.3">
      <c r="A880" s="2" t="s">
        <v>5456</v>
      </c>
      <c r="B880" s="3">
        <v>44323</v>
      </c>
      <c r="C880" s="2" t="s">
        <v>5457</v>
      </c>
      <c r="D880" t="s">
        <v>6142</v>
      </c>
      <c r="E880" s="2">
        <v>1</v>
      </c>
      <c r="F880" s="2" t="str">
        <f>_xlfn.XLOOKUP(C880,customers!$A$2:$A$1001,customers!$B$2:$B$1001,,0)</f>
        <v>Izaak Primak</v>
      </c>
      <c r="G880" s="2" t="str">
        <f>_xlfn.XLOOKUP(C880,customers!$A$2:$A$1001,customers!$G$2:$G$1001,,0)</f>
        <v>United States</v>
      </c>
      <c r="H880" t="str">
        <f>INDEX(products!$A$1:$G$49,MATCH(orders!$D880,products!$A$1:$A$49,0),MATCH(orders!H$1,products!$A$1:$G$1,0))</f>
        <v>Rob</v>
      </c>
      <c r="I880" t="str">
        <f>INDEX(products!$A$1:$G$49,MATCH(orders!$D880,products!$A$1:$A$49,0),MATCH(orders!I$1,products!$A$1:$G$1,0))</f>
        <v>L</v>
      </c>
      <c r="J880" s="5">
        <f>INDEX(products!$A$1:$G$49,MATCH(orders!$D880,products!$A$1:$A$49,0),MATCH(orders!J$1,products!$A$1:$G$1,0))</f>
        <v>2.5</v>
      </c>
      <c r="K880" s="6">
        <f>INDEX(products!$A$1:$G$49,MATCH(orders!$D880,products!$A$1:$A$49,0),MATCH(orders!K$1,products!$A$1:$G$1,0))</f>
        <v>27.484999999999996</v>
      </c>
      <c r="L880" s="6">
        <f>K880*E880</f>
        <v>27.484999999999996</v>
      </c>
      <c r="M880" t="str" cm="1">
        <f t="array" ref="M880">_xlfn.IFS(H880="Rob","Robusta",H880="Exc","Excelsa",H880="Ara","Arabica",H880="Lib","Liberica")</f>
        <v>Robusta</v>
      </c>
      <c r="N880" t="str" cm="1">
        <f t="array" ref="N880">_xlfn.IFS(I880="M","Medium",I880="L","Light",I880="D","Dark")</f>
        <v>Light</v>
      </c>
      <c r="O880" t="str">
        <f>_xlfn.XLOOKUP(Orders[[#This Row],[Customer ID]],customers!$A$2:$A$1001,customers!$I$2:$I$1001,,0)</f>
        <v>Yes</v>
      </c>
    </row>
    <row r="881" spans="1:15" x14ac:dyDescent="0.3">
      <c r="A881" s="2" t="s">
        <v>5461</v>
      </c>
      <c r="B881" s="3">
        <v>43630</v>
      </c>
      <c r="C881" s="2" t="s">
        <v>5462</v>
      </c>
      <c r="D881" t="s">
        <v>6153</v>
      </c>
      <c r="E881" s="2">
        <v>3</v>
      </c>
      <c r="F881" s="2" t="str">
        <f>_xlfn.XLOOKUP(C881,customers!$A$2:$A$1001,customers!$B$2:$B$1001,,0)</f>
        <v>Brittani Thoresbie</v>
      </c>
      <c r="G881" s="2" t="str">
        <f>_xlfn.XLOOKUP(C881,customers!$A$2:$A$1001,customers!$G$2:$G$1001,,0)</f>
        <v>United States</v>
      </c>
      <c r="H881" t="str">
        <f>INDEX(products!$A$1:$G$49,MATCH(orders!$D881,products!$A$1:$A$49,0),MATCH(orders!H$1,products!$A$1:$G$1,0))</f>
        <v>Exc</v>
      </c>
      <c r="I881" t="str">
        <f>INDEX(products!$A$1:$G$49,MATCH(orders!$D881,products!$A$1:$A$49,0),MATCH(orders!I$1,products!$A$1:$G$1,0))</f>
        <v>D</v>
      </c>
      <c r="J881" s="5">
        <f>INDEX(products!$A$1:$G$49,MATCH(orders!$D881,products!$A$1:$A$49,0),MATCH(orders!J$1,products!$A$1:$G$1,0))</f>
        <v>0.2</v>
      </c>
      <c r="K881" s="6">
        <f>INDEX(products!$A$1:$G$49,MATCH(orders!$D881,products!$A$1:$A$49,0),MATCH(orders!K$1,products!$A$1:$G$1,0))</f>
        <v>3.645</v>
      </c>
      <c r="L881" s="6">
        <f>K881*E881</f>
        <v>10.935</v>
      </c>
      <c r="M881" t="str" cm="1">
        <f t="array" ref="M881">_xlfn.IFS(H881="Rob","Robusta",H881="Exc","Excelsa",H881="Ara","Arabica",H881="Lib","Liberica")</f>
        <v>Excelsa</v>
      </c>
      <c r="N881" t="str" cm="1">
        <f t="array" ref="N881">_xlfn.IFS(I881="M","Medium",I881="L","Light",I881="D","Dark")</f>
        <v>Dark</v>
      </c>
      <c r="O881" t="str">
        <f>_xlfn.XLOOKUP(Orders[[#This Row],[Customer ID]],customers!$A$2:$A$1001,customers!$I$2:$I$1001,,0)</f>
        <v>No</v>
      </c>
    </row>
    <row r="882" spans="1:15" x14ac:dyDescent="0.3">
      <c r="A882" s="2" t="s">
        <v>5466</v>
      </c>
      <c r="B882" s="3">
        <v>43790</v>
      </c>
      <c r="C882" s="2" t="s">
        <v>5467</v>
      </c>
      <c r="D882" t="s">
        <v>6178</v>
      </c>
      <c r="E882" s="2">
        <v>2</v>
      </c>
      <c r="F882" s="2" t="str">
        <f>_xlfn.XLOOKUP(C882,customers!$A$2:$A$1001,customers!$B$2:$B$1001,,0)</f>
        <v>Constanta Hatfull</v>
      </c>
      <c r="G882" s="2" t="str">
        <f>_xlfn.XLOOKUP(C882,customers!$A$2:$A$1001,customers!$G$2:$G$1001,,0)</f>
        <v>United States</v>
      </c>
      <c r="H882" t="str">
        <f>INDEX(products!$A$1:$G$49,MATCH(orders!$D882,products!$A$1:$A$49,0),MATCH(orders!H$1,products!$A$1:$G$1,0))</f>
        <v>Rob</v>
      </c>
      <c r="I882" t="str">
        <f>INDEX(products!$A$1:$G$49,MATCH(orders!$D882,products!$A$1:$A$49,0),MATCH(orders!I$1,products!$A$1:$G$1,0))</f>
        <v>L</v>
      </c>
      <c r="J882" s="5">
        <f>INDEX(products!$A$1:$G$49,MATCH(orders!$D882,products!$A$1:$A$49,0),MATCH(orders!J$1,products!$A$1:$G$1,0))</f>
        <v>0.2</v>
      </c>
      <c r="K882" s="6">
        <f>INDEX(products!$A$1:$G$49,MATCH(orders!$D882,products!$A$1:$A$49,0),MATCH(orders!K$1,products!$A$1:$G$1,0))</f>
        <v>3.5849999999999995</v>
      </c>
      <c r="L882" s="6">
        <f>K882*E882</f>
        <v>7.169999999999999</v>
      </c>
      <c r="M882" t="str" cm="1">
        <f t="array" ref="M882">_xlfn.IFS(H882="Rob","Robusta",H882="Exc","Excelsa",H882="Ara","Arabica",H882="Lib","Liberica")</f>
        <v>Robusta</v>
      </c>
      <c r="N882" t="str" cm="1">
        <f t="array" ref="N882">_xlfn.IFS(I882="M","Medium",I882="L","Light",I882="D","Dark")</f>
        <v>Light</v>
      </c>
      <c r="O882" t="str">
        <f>_xlfn.XLOOKUP(Orders[[#This Row],[Customer ID]],customers!$A$2:$A$1001,customers!$I$2:$I$1001,,0)</f>
        <v>No</v>
      </c>
    </row>
    <row r="883" spans="1:15" x14ac:dyDescent="0.3">
      <c r="A883" s="2" t="s">
        <v>5472</v>
      </c>
      <c r="B883" s="3">
        <v>44286</v>
      </c>
      <c r="C883" s="2" t="s">
        <v>5473</v>
      </c>
      <c r="D883" t="s">
        <v>6167</v>
      </c>
      <c r="E883" s="2">
        <v>6</v>
      </c>
      <c r="F883" s="2" t="str">
        <f>_xlfn.XLOOKUP(C883,customers!$A$2:$A$1001,customers!$B$2:$B$1001,,0)</f>
        <v>Bobbe Castagneto</v>
      </c>
      <c r="G883" s="2" t="str">
        <f>_xlfn.XLOOKUP(C883,customers!$A$2:$A$1001,customers!$G$2:$G$1001,,0)</f>
        <v>United States</v>
      </c>
      <c r="H883" t="str">
        <f>INDEX(products!$A$1:$G$49,MATCH(orders!$D883,products!$A$1:$A$49,0),MATCH(orders!H$1,products!$A$1:$G$1,0))</f>
        <v>Ara</v>
      </c>
      <c r="I883" t="str">
        <f>INDEX(products!$A$1:$G$49,MATCH(orders!$D883,products!$A$1:$A$49,0),MATCH(orders!I$1,products!$A$1:$G$1,0))</f>
        <v>L</v>
      </c>
      <c r="J883" s="5">
        <f>INDEX(products!$A$1:$G$49,MATCH(orders!$D883,products!$A$1:$A$49,0),MATCH(orders!J$1,products!$A$1:$G$1,0))</f>
        <v>0.2</v>
      </c>
      <c r="K883" s="6">
        <f>INDEX(products!$A$1:$G$49,MATCH(orders!$D883,products!$A$1:$A$49,0),MATCH(orders!K$1,products!$A$1:$G$1,0))</f>
        <v>3.8849999999999998</v>
      </c>
      <c r="L883" s="6">
        <f>K883*E883</f>
        <v>23.31</v>
      </c>
      <c r="M883" t="str" cm="1">
        <f t="array" ref="M883">_xlfn.IFS(H883="Rob","Robusta",H883="Exc","Excelsa",H883="Ara","Arabica",H883="Lib","Liberica")</f>
        <v>Arabica</v>
      </c>
      <c r="N883" t="str" cm="1">
        <f t="array" ref="N883">_xlfn.IFS(I883="M","Medium",I883="L","Light",I883="D","Dark")</f>
        <v>Light</v>
      </c>
      <c r="O883" t="str">
        <f>_xlfn.XLOOKUP(Orders[[#This Row],[Customer ID]],customers!$A$2:$A$1001,customers!$I$2:$I$1001,,0)</f>
        <v>Yes</v>
      </c>
    </row>
    <row r="884" spans="1:15" x14ac:dyDescent="0.3">
      <c r="A884" s="2" t="s">
        <v>5477</v>
      </c>
      <c r="B884" s="3">
        <v>43647</v>
      </c>
      <c r="C884" s="2" t="s">
        <v>5526</v>
      </c>
      <c r="D884" t="s">
        <v>6168</v>
      </c>
      <c r="E884" s="2">
        <v>5</v>
      </c>
      <c r="F884" s="2" t="str">
        <f>_xlfn.XLOOKUP(C884,customers!$A$2:$A$1001,customers!$B$2:$B$1001,,0)</f>
        <v>Kippie Marrison</v>
      </c>
      <c r="G884" s="2" t="str">
        <f>_xlfn.XLOOKUP(C884,customers!$A$2:$A$1001,customers!$G$2:$G$1001,,0)</f>
        <v>United States</v>
      </c>
      <c r="H884" t="str">
        <f>INDEX(products!$A$1:$G$49,MATCH(orders!$D884,products!$A$1:$A$49,0),MATCH(orders!H$1,products!$A$1:$G$1,0))</f>
        <v>Ara</v>
      </c>
      <c r="I884" t="str">
        <f>INDEX(products!$A$1:$G$49,MATCH(orders!$D884,products!$A$1:$A$49,0),MATCH(orders!I$1,products!$A$1:$G$1,0))</f>
        <v>D</v>
      </c>
      <c r="J884" s="5">
        <f>INDEX(products!$A$1:$G$49,MATCH(orders!$D884,products!$A$1:$A$49,0),MATCH(orders!J$1,products!$A$1:$G$1,0))</f>
        <v>2.5</v>
      </c>
      <c r="K884" s="6">
        <f>INDEX(products!$A$1:$G$49,MATCH(orders!$D884,products!$A$1:$A$49,0),MATCH(orders!K$1,products!$A$1:$G$1,0))</f>
        <v>22.884999999999998</v>
      </c>
      <c r="L884" s="6">
        <f>K884*E884</f>
        <v>114.42499999999998</v>
      </c>
      <c r="M884" t="str" cm="1">
        <f t="array" ref="M884">_xlfn.IFS(H884="Rob","Robusta",H884="Exc","Excelsa",H884="Ara","Arabica",H884="Lib","Liberica")</f>
        <v>Arabica</v>
      </c>
      <c r="N884" t="str" cm="1">
        <f t="array" ref="N884">_xlfn.IFS(I884="M","Medium",I884="L","Light",I884="D","Dark")</f>
        <v>Dark</v>
      </c>
      <c r="O884" t="str">
        <f>_xlfn.XLOOKUP(Orders[[#This Row],[Customer ID]],customers!$A$2:$A$1001,customers!$I$2:$I$1001,,0)</f>
        <v>Yes</v>
      </c>
    </row>
    <row r="885" spans="1:15" x14ac:dyDescent="0.3">
      <c r="A885" s="2" t="s">
        <v>5483</v>
      </c>
      <c r="B885" s="3">
        <v>43956</v>
      </c>
      <c r="C885" s="2" t="s">
        <v>5484</v>
      </c>
      <c r="D885" t="s">
        <v>6175</v>
      </c>
      <c r="E885" s="2">
        <v>3</v>
      </c>
      <c r="F885" s="2" t="str">
        <f>_xlfn.XLOOKUP(C885,customers!$A$2:$A$1001,customers!$B$2:$B$1001,,0)</f>
        <v>Lindon Agnolo</v>
      </c>
      <c r="G885" s="2" t="str">
        <f>_xlfn.XLOOKUP(C885,customers!$A$2:$A$1001,customers!$G$2:$G$1001,,0)</f>
        <v>United States</v>
      </c>
      <c r="H885" t="str">
        <f>INDEX(products!$A$1:$G$49,MATCH(orders!$D885,products!$A$1:$A$49,0),MATCH(orders!H$1,products!$A$1:$G$1,0))</f>
        <v>Ara</v>
      </c>
      <c r="I885" t="str">
        <f>INDEX(products!$A$1:$G$49,MATCH(orders!$D885,products!$A$1:$A$49,0),MATCH(orders!I$1,products!$A$1:$G$1,0))</f>
        <v>M</v>
      </c>
      <c r="J885" s="5">
        <f>INDEX(products!$A$1:$G$49,MATCH(orders!$D885,products!$A$1:$A$49,0),MATCH(orders!J$1,products!$A$1:$G$1,0))</f>
        <v>2.5</v>
      </c>
      <c r="K885" s="6">
        <f>INDEX(products!$A$1:$G$49,MATCH(orders!$D885,products!$A$1:$A$49,0),MATCH(orders!K$1,products!$A$1:$G$1,0))</f>
        <v>25.874999999999996</v>
      </c>
      <c r="L885" s="6">
        <f>K885*E885</f>
        <v>77.624999999999986</v>
      </c>
      <c r="M885" t="str" cm="1">
        <f t="array" ref="M885">_xlfn.IFS(H885="Rob","Robusta",H885="Exc","Excelsa",H885="Ara","Arabica",H885="Lib","Liberica")</f>
        <v>Arabica</v>
      </c>
      <c r="N885" t="str" cm="1">
        <f t="array" ref="N885">_xlfn.IFS(I885="M","Medium",I885="L","Light",I885="D","Dark")</f>
        <v>Medium</v>
      </c>
      <c r="O885" t="str">
        <f>_xlfn.XLOOKUP(Orders[[#This Row],[Customer ID]],customers!$A$2:$A$1001,customers!$I$2:$I$1001,,0)</f>
        <v>Yes</v>
      </c>
    </row>
    <row r="886" spans="1:15" x14ac:dyDescent="0.3">
      <c r="A886" s="2" t="s">
        <v>5489</v>
      </c>
      <c r="B886" s="3">
        <v>43941</v>
      </c>
      <c r="C886" s="2" t="s">
        <v>5490</v>
      </c>
      <c r="D886" t="s">
        <v>6172</v>
      </c>
      <c r="E886" s="2">
        <v>1</v>
      </c>
      <c r="F886" s="2" t="str">
        <f>_xlfn.XLOOKUP(C886,customers!$A$2:$A$1001,customers!$B$2:$B$1001,,0)</f>
        <v>Delainey Kiddy</v>
      </c>
      <c r="G886" s="2" t="str">
        <f>_xlfn.XLOOKUP(C886,customers!$A$2:$A$1001,customers!$G$2:$G$1001,,0)</f>
        <v>United States</v>
      </c>
      <c r="H886" t="str">
        <f>INDEX(products!$A$1:$G$49,MATCH(orders!$D886,products!$A$1:$A$49,0),MATCH(orders!H$1,products!$A$1:$G$1,0))</f>
        <v>Rob</v>
      </c>
      <c r="I886" t="str">
        <f>INDEX(products!$A$1:$G$49,MATCH(orders!$D886,products!$A$1:$A$49,0),MATCH(orders!I$1,products!$A$1:$G$1,0))</f>
        <v>D</v>
      </c>
      <c r="J886" s="5">
        <f>INDEX(products!$A$1:$G$49,MATCH(orders!$D886,products!$A$1:$A$49,0),MATCH(orders!J$1,products!$A$1:$G$1,0))</f>
        <v>0.5</v>
      </c>
      <c r="K886" s="6">
        <f>INDEX(products!$A$1:$G$49,MATCH(orders!$D886,products!$A$1:$A$49,0),MATCH(orders!K$1,products!$A$1:$G$1,0))</f>
        <v>5.3699999999999992</v>
      </c>
      <c r="L886" s="6">
        <f>K886*E886</f>
        <v>5.3699999999999992</v>
      </c>
      <c r="M886" t="str" cm="1">
        <f t="array" ref="M886">_xlfn.IFS(H886="Rob","Robusta",H886="Exc","Excelsa",H886="Ara","Arabica",H886="Lib","Liberica")</f>
        <v>Robusta</v>
      </c>
      <c r="N886" t="str" cm="1">
        <f t="array" ref="N886">_xlfn.IFS(I886="M","Medium",I886="L","Light",I886="D","Dark")</f>
        <v>Dark</v>
      </c>
      <c r="O886" t="str">
        <f>_xlfn.XLOOKUP(Orders[[#This Row],[Customer ID]],customers!$A$2:$A$1001,customers!$I$2:$I$1001,,0)</f>
        <v>Yes</v>
      </c>
    </row>
    <row r="887" spans="1:15" x14ac:dyDescent="0.3">
      <c r="A887" s="2" t="s">
        <v>5495</v>
      </c>
      <c r="B887" s="3">
        <v>43664</v>
      </c>
      <c r="C887" s="2" t="s">
        <v>5496</v>
      </c>
      <c r="D887" t="s">
        <v>6149</v>
      </c>
      <c r="E887" s="2">
        <v>6</v>
      </c>
      <c r="F887" s="2" t="str">
        <f>_xlfn.XLOOKUP(C887,customers!$A$2:$A$1001,customers!$B$2:$B$1001,,0)</f>
        <v>Helli Petroulis</v>
      </c>
      <c r="G887" s="2" t="str">
        <f>_xlfn.XLOOKUP(C887,customers!$A$2:$A$1001,customers!$G$2:$G$1001,,0)</f>
        <v>Ireland</v>
      </c>
      <c r="H887" t="str">
        <f>INDEX(products!$A$1:$G$49,MATCH(orders!$D887,products!$A$1:$A$49,0),MATCH(orders!H$1,products!$A$1:$G$1,0))</f>
        <v>Rob</v>
      </c>
      <c r="I887" t="str">
        <f>INDEX(products!$A$1:$G$49,MATCH(orders!$D887,products!$A$1:$A$49,0),MATCH(orders!I$1,products!$A$1:$G$1,0))</f>
        <v>D</v>
      </c>
      <c r="J887" s="5">
        <f>INDEX(products!$A$1:$G$49,MATCH(orders!$D887,products!$A$1:$A$49,0),MATCH(orders!J$1,products!$A$1:$G$1,0))</f>
        <v>2.5</v>
      </c>
      <c r="K887" s="6">
        <f>INDEX(products!$A$1:$G$49,MATCH(orders!$D887,products!$A$1:$A$49,0),MATCH(orders!K$1,products!$A$1:$G$1,0))</f>
        <v>20.584999999999997</v>
      </c>
      <c r="L887" s="6">
        <f>K887*E887</f>
        <v>123.50999999999999</v>
      </c>
      <c r="M887" t="str" cm="1">
        <f t="array" ref="M887">_xlfn.IFS(H887="Rob","Robusta",H887="Exc","Excelsa",H887="Ara","Arabica",H887="Lib","Liberica")</f>
        <v>Robusta</v>
      </c>
      <c r="N887" t="str" cm="1">
        <f t="array" ref="N887">_xlfn.IFS(I887="M","Medium",I887="L","Light",I887="D","Dark")</f>
        <v>Dark</v>
      </c>
      <c r="O887" t="str">
        <f>_xlfn.XLOOKUP(Orders[[#This Row],[Customer ID]],customers!$A$2:$A$1001,customers!$I$2:$I$1001,,0)</f>
        <v>No</v>
      </c>
    </row>
    <row r="888" spans="1:15" x14ac:dyDescent="0.3">
      <c r="A888" s="2" t="s">
        <v>5501</v>
      </c>
      <c r="B888" s="3">
        <v>44518</v>
      </c>
      <c r="C888" s="2" t="s">
        <v>5502</v>
      </c>
      <c r="D888" t="s">
        <v>6160</v>
      </c>
      <c r="E888" s="2">
        <v>2</v>
      </c>
      <c r="F888" s="2" t="str">
        <f>_xlfn.XLOOKUP(C888,customers!$A$2:$A$1001,customers!$B$2:$B$1001,,0)</f>
        <v>Marty Scholl</v>
      </c>
      <c r="G888" s="2" t="str">
        <f>_xlfn.XLOOKUP(C888,customers!$A$2:$A$1001,customers!$G$2:$G$1001,,0)</f>
        <v>United States</v>
      </c>
      <c r="H888" t="str">
        <f>INDEX(products!$A$1:$G$49,MATCH(orders!$D888,products!$A$1:$A$49,0),MATCH(orders!H$1,products!$A$1:$G$1,0))</f>
        <v>Lib</v>
      </c>
      <c r="I888" t="str">
        <f>INDEX(products!$A$1:$G$49,MATCH(orders!$D888,products!$A$1:$A$49,0),MATCH(orders!I$1,products!$A$1:$G$1,0))</f>
        <v>M</v>
      </c>
      <c r="J888" s="5">
        <f>INDEX(products!$A$1:$G$49,MATCH(orders!$D888,products!$A$1:$A$49,0),MATCH(orders!J$1,products!$A$1:$G$1,0))</f>
        <v>0.5</v>
      </c>
      <c r="K888" s="6">
        <f>INDEX(products!$A$1:$G$49,MATCH(orders!$D888,products!$A$1:$A$49,0),MATCH(orders!K$1,products!$A$1:$G$1,0))</f>
        <v>8.73</v>
      </c>
      <c r="L888" s="6">
        <f>K888*E888</f>
        <v>17.46</v>
      </c>
      <c r="M888" t="str" cm="1">
        <f t="array" ref="M888">_xlfn.IFS(H888="Rob","Robusta",H888="Exc","Excelsa",H888="Ara","Arabica",H888="Lib","Liberica")</f>
        <v>Liberica</v>
      </c>
      <c r="N888" t="str" cm="1">
        <f t="array" ref="N888">_xlfn.IFS(I888="M","Medium",I888="L","Light",I888="D","Dark")</f>
        <v>Medium</v>
      </c>
      <c r="O888" t="str">
        <f>_xlfn.XLOOKUP(Orders[[#This Row],[Customer ID]],customers!$A$2:$A$1001,customers!$I$2:$I$1001,,0)</f>
        <v>No</v>
      </c>
    </row>
    <row r="889" spans="1:15" x14ac:dyDescent="0.3">
      <c r="A889" s="2" t="s">
        <v>5507</v>
      </c>
      <c r="B889" s="3">
        <v>44002</v>
      </c>
      <c r="C889" s="2" t="s">
        <v>5508</v>
      </c>
      <c r="D889" t="s">
        <v>6184</v>
      </c>
      <c r="E889" s="2">
        <v>3</v>
      </c>
      <c r="F889" s="2" t="str">
        <f>_xlfn.XLOOKUP(C889,customers!$A$2:$A$1001,customers!$B$2:$B$1001,,0)</f>
        <v>Kienan Ferson</v>
      </c>
      <c r="G889" s="2" t="str">
        <f>_xlfn.XLOOKUP(C889,customers!$A$2:$A$1001,customers!$G$2:$G$1001,,0)</f>
        <v>United States</v>
      </c>
      <c r="H889" t="str">
        <f>INDEX(products!$A$1:$G$49,MATCH(orders!$D889,products!$A$1:$A$49,0),MATCH(orders!H$1,products!$A$1:$G$1,0))</f>
        <v>Exc</v>
      </c>
      <c r="I889" t="str">
        <f>INDEX(products!$A$1:$G$49,MATCH(orders!$D889,products!$A$1:$A$49,0),MATCH(orders!I$1,products!$A$1:$G$1,0))</f>
        <v>L</v>
      </c>
      <c r="J889" s="5">
        <f>INDEX(products!$A$1:$G$49,MATCH(orders!$D889,products!$A$1:$A$49,0),MATCH(orders!J$1,products!$A$1:$G$1,0))</f>
        <v>0.2</v>
      </c>
      <c r="K889" s="6">
        <f>INDEX(products!$A$1:$G$49,MATCH(orders!$D889,products!$A$1:$A$49,0),MATCH(orders!K$1,products!$A$1:$G$1,0))</f>
        <v>4.4550000000000001</v>
      </c>
      <c r="L889" s="6">
        <f>K889*E889</f>
        <v>13.365</v>
      </c>
      <c r="M889" t="str" cm="1">
        <f t="array" ref="M889">_xlfn.IFS(H889="Rob","Robusta",H889="Exc","Excelsa",H889="Ara","Arabica",H889="Lib","Liberica")</f>
        <v>Excelsa</v>
      </c>
      <c r="N889" t="str" cm="1">
        <f t="array" ref="N889">_xlfn.IFS(I889="M","Medium",I889="L","Light",I889="D","Dark")</f>
        <v>Light</v>
      </c>
      <c r="O889" t="str">
        <f>_xlfn.XLOOKUP(Orders[[#This Row],[Customer ID]],customers!$A$2:$A$1001,customers!$I$2:$I$1001,,0)</f>
        <v>No</v>
      </c>
    </row>
    <row r="890" spans="1:15" x14ac:dyDescent="0.3">
      <c r="A890" s="2" t="s">
        <v>5513</v>
      </c>
      <c r="B890" s="3">
        <v>44292</v>
      </c>
      <c r="C890" s="2" t="s">
        <v>5514</v>
      </c>
      <c r="D890" t="s">
        <v>6167</v>
      </c>
      <c r="E890" s="2">
        <v>2</v>
      </c>
      <c r="F890" s="2" t="str">
        <f>_xlfn.XLOOKUP(C890,customers!$A$2:$A$1001,customers!$B$2:$B$1001,,0)</f>
        <v>Blake Kelloway</v>
      </c>
      <c r="G890" s="2" t="str">
        <f>_xlfn.XLOOKUP(C890,customers!$A$2:$A$1001,customers!$G$2:$G$1001,,0)</f>
        <v>United States</v>
      </c>
      <c r="H890" t="str">
        <f>INDEX(products!$A$1:$G$49,MATCH(orders!$D890,products!$A$1:$A$49,0),MATCH(orders!H$1,products!$A$1:$G$1,0))</f>
        <v>Ara</v>
      </c>
      <c r="I890" t="str">
        <f>INDEX(products!$A$1:$G$49,MATCH(orders!$D890,products!$A$1:$A$49,0),MATCH(orders!I$1,products!$A$1:$G$1,0))</f>
        <v>L</v>
      </c>
      <c r="J890" s="5">
        <f>INDEX(products!$A$1:$G$49,MATCH(orders!$D890,products!$A$1:$A$49,0),MATCH(orders!J$1,products!$A$1:$G$1,0))</f>
        <v>0.2</v>
      </c>
      <c r="K890" s="6">
        <f>INDEX(products!$A$1:$G$49,MATCH(orders!$D890,products!$A$1:$A$49,0),MATCH(orders!K$1,products!$A$1:$G$1,0))</f>
        <v>3.8849999999999998</v>
      </c>
      <c r="L890" s="6">
        <f>K890*E890</f>
        <v>7.77</v>
      </c>
      <c r="M890" t="str" cm="1">
        <f t="array" ref="M890">_xlfn.IFS(H890="Rob","Robusta",H890="Exc","Excelsa",H890="Ara","Arabica",H890="Lib","Liberica")</f>
        <v>Arabica</v>
      </c>
      <c r="N890" t="str" cm="1">
        <f t="array" ref="N890">_xlfn.IFS(I890="M","Medium",I890="L","Light",I890="D","Dark")</f>
        <v>Light</v>
      </c>
      <c r="O890" t="str">
        <f>_xlfn.XLOOKUP(Orders[[#This Row],[Customer ID]],customers!$A$2:$A$1001,customers!$I$2:$I$1001,,0)</f>
        <v>Yes</v>
      </c>
    </row>
    <row r="891" spans="1:15" x14ac:dyDescent="0.3">
      <c r="A891" s="2" t="s">
        <v>5519</v>
      </c>
      <c r="B891" s="3">
        <v>43633</v>
      </c>
      <c r="C891" s="2" t="s">
        <v>5520</v>
      </c>
      <c r="D891" t="s">
        <v>6163</v>
      </c>
      <c r="E891" s="2">
        <v>1</v>
      </c>
      <c r="F891" s="2" t="str">
        <f>_xlfn.XLOOKUP(C891,customers!$A$2:$A$1001,customers!$B$2:$B$1001,,0)</f>
        <v>Scarlett Oliffe</v>
      </c>
      <c r="G891" s="2" t="str">
        <f>_xlfn.XLOOKUP(C891,customers!$A$2:$A$1001,customers!$G$2:$G$1001,,0)</f>
        <v>United States</v>
      </c>
      <c r="H891" t="str">
        <f>INDEX(products!$A$1:$G$49,MATCH(orders!$D891,products!$A$1:$A$49,0),MATCH(orders!H$1,products!$A$1:$G$1,0))</f>
        <v>Rob</v>
      </c>
      <c r="I891" t="str">
        <f>INDEX(products!$A$1:$G$49,MATCH(orders!$D891,products!$A$1:$A$49,0),MATCH(orders!I$1,products!$A$1:$G$1,0))</f>
        <v>D</v>
      </c>
      <c r="J891" s="5">
        <f>INDEX(products!$A$1:$G$49,MATCH(orders!$D891,products!$A$1:$A$49,0),MATCH(orders!J$1,products!$A$1:$G$1,0))</f>
        <v>0.2</v>
      </c>
      <c r="K891" s="6">
        <f>INDEX(products!$A$1:$G$49,MATCH(orders!$D891,products!$A$1:$A$49,0),MATCH(orders!K$1,products!$A$1:$G$1,0))</f>
        <v>2.6849999999999996</v>
      </c>
      <c r="L891" s="6">
        <f>K891*E891</f>
        <v>2.6849999999999996</v>
      </c>
      <c r="M891" t="str" cm="1">
        <f t="array" ref="M891">_xlfn.IFS(H891="Rob","Robusta",H891="Exc","Excelsa",H891="Ara","Arabica",H891="Lib","Liberica")</f>
        <v>Robusta</v>
      </c>
      <c r="N891" t="str" cm="1">
        <f t="array" ref="N891">_xlfn.IFS(I891="M","Medium",I891="L","Light",I891="D","Dark")</f>
        <v>Dark</v>
      </c>
      <c r="O891" t="str">
        <f>_xlfn.XLOOKUP(Orders[[#This Row],[Customer ID]],customers!$A$2:$A$1001,customers!$I$2:$I$1001,,0)</f>
        <v>Yes</v>
      </c>
    </row>
    <row r="892" spans="1:15" x14ac:dyDescent="0.3">
      <c r="A892" s="2" t="s">
        <v>5525</v>
      </c>
      <c r="B892" s="3">
        <v>44646</v>
      </c>
      <c r="C892" s="2" t="s">
        <v>5526</v>
      </c>
      <c r="D892" t="s">
        <v>6149</v>
      </c>
      <c r="E892" s="2">
        <v>1</v>
      </c>
      <c r="F892" s="2" t="str">
        <f>_xlfn.XLOOKUP(C892,customers!$A$2:$A$1001,customers!$B$2:$B$1001,,0)</f>
        <v>Kippie Marrison</v>
      </c>
      <c r="G892" s="2" t="str">
        <f>_xlfn.XLOOKUP(C892,customers!$A$2:$A$1001,customers!$G$2:$G$1001,,0)</f>
        <v>United States</v>
      </c>
      <c r="H892" t="str">
        <f>INDEX(products!$A$1:$G$49,MATCH(orders!$D892,products!$A$1:$A$49,0),MATCH(orders!H$1,products!$A$1:$G$1,0))</f>
        <v>Rob</v>
      </c>
      <c r="I892" t="str">
        <f>INDEX(products!$A$1:$G$49,MATCH(orders!$D892,products!$A$1:$A$49,0),MATCH(orders!I$1,products!$A$1:$G$1,0))</f>
        <v>D</v>
      </c>
      <c r="J892" s="5">
        <f>INDEX(products!$A$1:$G$49,MATCH(orders!$D892,products!$A$1:$A$49,0),MATCH(orders!J$1,products!$A$1:$G$1,0))</f>
        <v>2.5</v>
      </c>
      <c r="K892" s="6">
        <f>INDEX(products!$A$1:$G$49,MATCH(orders!$D892,products!$A$1:$A$49,0),MATCH(orders!K$1,products!$A$1:$G$1,0))</f>
        <v>20.584999999999997</v>
      </c>
      <c r="L892" s="6">
        <f>K892*E892</f>
        <v>20.584999999999997</v>
      </c>
      <c r="M892" t="str" cm="1">
        <f t="array" ref="M892">_xlfn.IFS(H892="Rob","Robusta",H892="Exc","Excelsa",H892="Ara","Arabica",H892="Lib","Liberica")</f>
        <v>Robusta</v>
      </c>
      <c r="N892" t="str" cm="1">
        <f t="array" ref="N892">_xlfn.IFS(I892="M","Medium",I892="L","Light",I892="D","Dark")</f>
        <v>Dark</v>
      </c>
      <c r="O892" t="str">
        <f>_xlfn.XLOOKUP(Orders[[#This Row],[Customer ID]],customers!$A$2:$A$1001,customers!$I$2:$I$1001,,0)</f>
        <v>Yes</v>
      </c>
    </row>
    <row r="893" spans="1:15" x14ac:dyDescent="0.3">
      <c r="A893" s="2" t="s">
        <v>5531</v>
      </c>
      <c r="B893" s="3">
        <v>44469</v>
      </c>
      <c r="C893" s="2" t="s">
        <v>5532</v>
      </c>
      <c r="D893" t="s">
        <v>6168</v>
      </c>
      <c r="E893" s="2">
        <v>5</v>
      </c>
      <c r="F893" s="2" t="str">
        <f>_xlfn.XLOOKUP(C893,customers!$A$2:$A$1001,customers!$B$2:$B$1001,,0)</f>
        <v>Celestia Dolohunty</v>
      </c>
      <c r="G893" s="2" t="str">
        <f>_xlfn.XLOOKUP(C893,customers!$A$2:$A$1001,customers!$G$2:$G$1001,,0)</f>
        <v>United States</v>
      </c>
      <c r="H893" t="str">
        <f>INDEX(products!$A$1:$G$49,MATCH(orders!$D893,products!$A$1:$A$49,0),MATCH(orders!H$1,products!$A$1:$G$1,0))</f>
        <v>Ara</v>
      </c>
      <c r="I893" t="str">
        <f>INDEX(products!$A$1:$G$49,MATCH(orders!$D893,products!$A$1:$A$49,0),MATCH(orders!I$1,products!$A$1:$G$1,0))</f>
        <v>D</v>
      </c>
      <c r="J893" s="5">
        <f>INDEX(products!$A$1:$G$49,MATCH(orders!$D893,products!$A$1:$A$49,0),MATCH(orders!J$1,products!$A$1:$G$1,0))</f>
        <v>2.5</v>
      </c>
      <c r="K893" s="6">
        <f>INDEX(products!$A$1:$G$49,MATCH(orders!$D893,products!$A$1:$A$49,0),MATCH(orders!K$1,products!$A$1:$G$1,0))</f>
        <v>22.884999999999998</v>
      </c>
      <c r="L893" s="6">
        <f>K893*E893</f>
        <v>114.42499999999998</v>
      </c>
      <c r="M893" t="str" cm="1">
        <f t="array" ref="M893">_xlfn.IFS(H893="Rob","Robusta",H893="Exc","Excelsa",H893="Ara","Arabica",H893="Lib","Liberica")</f>
        <v>Arabica</v>
      </c>
      <c r="N893" t="str" cm="1">
        <f t="array" ref="N893">_xlfn.IFS(I893="M","Medium",I893="L","Light",I893="D","Dark")</f>
        <v>Dark</v>
      </c>
      <c r="O893" t="str">
        <f>_xlfn.XLOOKUP(Orders[[#This Row],[Customer ID]],customers!$A$2:$A$1001,customers!$I$2:$I$1001,,0)</f>
        <v>Yes</v>
      </c>
    </row>
    <row r="894" spans="1:15" x14ac:dyDescent="0.3">
      <c r="A894" s="2" t="s">
        <v>5537</v>
      </c>
      <c r="B894" s="3">
        <v>43635</v>
      </c>
      <c r="C894" s="2" t="s">
        <v>5538</v>
      </c>
      <c r="D894" t="s">
        <v>6156</v>
      </c>
      <c r="E894" s="2">
        <v>5</v>
      </c>
      <c r="F894" s="2" t="str">
        <f>_xlfn.XLOOKUP(C894,customers!$A$2:$A$1001,customers!$B$2:$B$1001,,0)</f>
        <v>Patsy Vasilenko</v>
      </c>
      <c r="G894" s="2" t="str">
        <f>_xlfn.XLOOKUP(C894,customers!$A$2:$A$1001,customers!$G$2:$G$1001,,0)</f>
        <v>United Kingdom</v>
      </c>
      <c r="H894" t="str">
        <f>INDEX(products!$A$1:$G$49,MATCH(orders!$D894,products!$A$1:$A$49,0),MATCH(orders!H$1,products!$A$1:$G$1,0))</f>
        <v>Exc</v>
      </c>
      <c r="I894" t="str">
        <f>INDEX(products!$A$1:$G$49,MATCH(orders!$D894,products!$A$1:$A$49,0),MATCH(orders!I$1,products!$A$1:$G$1,0))</f>
        <v>M</v>
      </c>
      <c r="J894" s="5">
        <f>INDEX(products!$A$1:$G$49,MATCH(orders!$D894,products!$A$1:$A$49,0),MATCH(orders!J$1,products!$A$1:$G$1,0))</f>
        <v>0.2</v>
      </c>
      <c r="K894" s="6">
        <f>INDEX(products!$A$1:$G$49,MATCH(orders!$D894,products!$A$1:$A$49,0),MATCH(orders!K$1,products!$A$1:$G$1,0))</f>
        <v>4.125</v>
      </c>
      <c r="L894" s="6">
        <f>K894*E894</f>
        <v>20.625</v>
      </c>
      <c r="M894" t="str" cm="1">
        <f t="array" ref="M894">_xlfn.IFS(H894="Rob","Robusta",H894="Exc","Excelsa",H894="Ara","Arabica",H894="Lib","Liberica")</f>
        <v>Excelsa</v>
      </c>
      <c r="N894" t="str" cm="1">
        <f t="array" ref="N894">_xlfn.IFS(I894="M","Medium",I894="L","Light",I894="D","Dark")</f>
        <v>Medium</v>
      </c>
      <c r="O894" t="str">
        <f>_xlfn.XLOOKUP(Orders[[#This Row],[Customer ID]],customers!$A$2:$A$1001,customers!$I$2:$I$1001,,0)</f>
        <v>No</v>
      </c>
    </row>
    <row r="895" spans="1:15" x14ac:dyDescent="0.3">
      <c r="A895" s="2" t="s">
        <v>5543</v>
      </c>
      <c r="B895" s="3">
        <v>44651</v>
      </c>
      <c r="C895" s="2" t="s">
        <v>5544</v>
      </c>
      <c r="D895" t="s">
        <v>6161</v>
      </c>
      <c r="E895" s="2">
        <v>6</v>
      </c>
      <c r="F895" s="2" t="str">
        <f>_xlfn.XLOOKUP(C895,customers!$A$2:$A$1001,customers!$B$2:$B$1001,,0)</f>
        <v>Raphaela Schankelborg</v>
      </c>
      <c r="G895" s="2" t="str">
        <f>_xlfn.XLOOKUP(C895,customers!$A$2:$A$1001,customers!$G$2:$G$1001,,0)</f>
        <v>United States</v>
      </c>
      <c r="H895" t="str">
        <f>INDEX(products!$A$1:$G$49,MATCH(orders!$D895,products!$A$1:$A$49,0),MATCH(orders!H$1,products!$A$1:$G$1,0))</f>
        <v>Lib</v>
      </c>
      <c r="I895" t="str">
        <f>INDEX(products!$A$1:$G$49,MATCH(orders!$D895,products!$A$1:$A$49,0),MATCH(orders!I$1,products!$A$1:$G$1,0))</f>
        <v>L</v>
      </c>
      <c r="J895" s="5">
        <f>INDEX(products!$A$1:$G$49,MATCH(orders!$D895,products!$A$1:$A$49,0),MATCH(orders!J$1,products!$A$1:$G$1,0))</f>
        <v>0.5</v>
      </c>
      <c r="K895" s="6">
        <f>INDEX(products!$A$1:$G$49,MATCH(orders!$D895,products!$A$1:$A$49,0),MATCH(orders!K$1,products!$A$1:$G$1,0))</f>
        <v>9.51</v>
      </c>
      <c r="L895" s="6">
        <f>K895*E895</f>
        <v>57.06</v>
      </c>
      <c r="M895" t="str" cm="1">
        <f t="array" ref="M895">_xlfn.IFS(H895="Rob","Robusta",H895="Exc","Excelsa",H895="Ara","Arabica",H895="Lib","Liberica")</f>
        <v>Liberica</v>
      </c>
      <c r="N895" t="str" cm="1">
        <f t="array" ref="N895">_xlfn.IFS(I895="M","Medium",I895="L","Light",I895="D","Dark")</f>
        <v>Light</v>
      </c>
      <c r="O895" t="str">
        <f>_xlfn.XLOOKUP(Orders[[#This Row],[Customer ID]],customers!$A$2:$A$1001,customers!$I$2:$I$1001,,0)</f>
        <v>Yes</v>
      </c>
    </row>
    <row r="896" spans="1:15" x14ac:dyDescent="0.3">
      <c r="A896" s="2" t="s">
        <v>5548</v>
      </c>
      <c r="B896" s="3">
        <v>44016</v>
      </c>
      <c r="C896" s="2" t="s">
        <v>5549</v>
      </c>
      <c r="D896" t="s">
        <v>6149</v>
      </c>
      <c r="E896" s="2">
        <v>4</v>
      </c>
      <c r="F896" s="2" t="str">
        <f>_xlfn.XLOOKUP(C896,customers!$A$2:$A$1001,customers!$B$2:$B$1001,,0)</f>
        <v>Sharity Wickens</v>
      </c>
      <c r="G896" s="2" t="str">
        <f>_xlfn.XLOOKUP(C896,customers!$A$2:$A$1001,customers!$G$2:$G$1001,,0)</f>
        <v>Ireland</v>
      </c>
      <c r="H896" t="str">
        <f>INDEX(products!$A$1:$G$49,MATCH(orders!$D896,products!$A$1:$A$49,0),MATCH(orders!H$1,products!$A$1:$G$1,0))</f>
        <v>Rob</v>
      </c>
      <c r="I896" t="str">
        <f>INDEX(products!$A$1:$G$49,MATCH(orders!$D896,products!$A$1:$A$49,0),MATCH(orders!I$1,products!$A$1:$G$1,0))</f>
        <v>D</v>
      </c>
      <c r="J896" s="5">
        <f>INDEX(products!$A$1:$G$49,MATCH(orders!$D896,products!$A$1:$A$49,0),MATCH(orders!J$1,products!$A$1:$G$1,0))</f>
        <v>2.5</v>
      </c>
      <c r="K896" s="6">
        <f>INDEX(products!$A$1:$G$49,MATCH(orders!$D896,products!$A$1:$A$49,0),MATCH(orders!K$1,products!$A$1:$G$1,0))</f>
        <v>20.584999999999997</v>
      </c>
      <c r="L896" s="6">
        <f>K896*E896</f>
        <v>82.339999999999989</v>
      </c>
      <c r="M896" t="str" cm="1">
        <f t="array" ref="M896">_xlfn.IFS(H896="Rob","Robusta",H896="Exc","Excelsa",H896="Ara","Arabica",H896="Lib","Liberica")</f>
        <v>Robusta</v>
      </c>
      <c r="N896" t="str" cm="1">
        <f t="array" ref="N896">_xlfn.IFS(I896="M","Medium",I896="L","Light",I896="D","Dark")</f>
        <v>Dark</v>
      </c>
      <c r="O896" t="str">
        <f>_xlfn.XLOOKUP(Orders[[#This Row],[Customer ID]],customers!$A$2:$A$1001,customers!$I$2:$I$1001,,0)</f>
        <v>Yes</v>
      </c>
    </row>
    <row r="897" spans="1:15" x14ac:dyDescent="0.3">
      <c r="A897" s="2" t="s">
        <v>5553</v>
      </c>
      <c r="B897" s="3">
        <v>44521</v>
      </c>
      <c r="C897" s="2" t="s">
        <v>5554</v>
      </c>
      <c r="D897" t="s">
        <v>6166</v>
      </c>
      <c r="E897" s="2">
        <v>5</v>
      </c>
      <c r="F897" s="2" t="str">
        <f>_xlfn.XLOOKUP(C897,customers!$A$2:$A$1001,customers!$B$2:$B$1001,,0)</f>
        <v>Derick Snow</v>
      </c>
      <c r="G897" s="2" t="str">
        <f>_xlfn.XLOOKUP(C897,customers!$A$2:$A$1001,customers!$G$2:$G$1001,,0)</f>
        <v>United States</v>
      </c>
      <c r="H897" t="str">
        <f>INDEX(products!$A$1:$G$49,MATCH(orders!$D897,products!$A$1:$A$49,0),MATCH(orders!H$1,products!$A$1:$G$1,0))</f>
        <v>Exc</v>
      </c>
      <c r="I897" t="str">
        <f>INDEX(products!$A$1:$G$49,MATCH(orders!$D897,products!$A$1:$A$49,0),MATCH(orders!I$1,products!$A$1:$G$1,0))</f>
        <v>M</v>
      </c>
      <c r="J897" s="5">
        <f>INDEX(products!$A$1:$G$49,MATCH(orders!$D897,products!$A$1:$A$49,0),MATCH(orders!J$1,products!$A$1:$G$1,0))</f>
        <v>2.5</v>
      </c>
      <c r="K897" s="6">
        <f>INDEX(products!$A$1:$G$49,MATCH(orders!$D897,products!$A$1:$A$49,0),MATCH(orders!K$1,products!$A$1:$G$1,0))</f>
        <v>31.624999999999996</v>
      </c>
      <c r="L897" s="6">
        <f>K897*E897</f>
        <v>158.12499999999997</v>
      </c>
      <c r="M897" t="str" cm="1">
        <f t="array" ref="M897">_xlfn.IFS(H897="Rob","Robusta",H897="Exc","Excelsa",H897="Ara","Arabica",H897="Lib","Liberica")</f>
        <v>Excelsa</v>
      </c>
      <c r="N897" t="str" cm="1">
        <f t="array" ref="N897">_xlfn.IFS(I897="M","Medium",I897="L","Light",I897="D","Dark")</f>
        <v>Medium</v>
      </c>
      <c r="O897" t="str">
        <f>_xlfn.XLOOKUP(Orders[[#This Row],[Customer ID]],customers!$A$2:$A$1001,customers!$I$2:$I$1001,,0)</f>
        <v>No</v>
      </c>
    </row>
    <row r="898" spans="1:15" x14ac:dyDescent="0.3">
      <c r="A898" s="2" t="s">
        <v>5558</v>
      </c>
      <c r="B898" s="3">
        <v>44347</v>
      </c>
      <c r="C898" s="2" t="s">
        <v>5559</v>
      </c>
      <c r="D898" t="s">
        <v>6172</v>
      </c>
      <c r="E898" s="2">
        <v>6</v>
      </c>
      <c r="F898" s="2" t="str">
        <f>_xlfn.XLOOKUP(C898,customers!$A$2:$A$1001,customers!$B$2:$B$1001,,0)</f>
        <v>Baxy Cargen</v>
      </c>
      <c r="G898" s="2" t="str">
        <f>_xlfn.XLOOKUP(C898,customers!$A$2:$A$1001,customers!$G$2:$G$1001,,0)</f>
        <v>United States</v>
      </c>
      <c r="H898" t="str">
        <f>INDEX(products!$A$1:$G$49,MATCH(orders!$D898,products!$A$1:$A$49,0),MATCH(orders!H$1,products!$A$1:$G$1,0))</f>
        <v>Rob</v>
      </c>
      <c r="I898" t="str">
        <f>INDEX(products!$A$1:$G$49,MATCH(orders!$D898,products!$A$1:$A$49,0),MATCH(orders!I$1,products!$A$1:$G$1,0))</f>
        <v>D</v>
      </c>
      <c r="J898" s="5">
        <f>INDEX(products!$A$1:$G$49,MATCH(orders!$D898,products!$A$1:$A$49,0),MATCH(orders!J$1,products!$A$1:$G$1,0))</f>
        <v>0.5</v>
      </c>
      <c r="K898" s="6">
        <f>INDEX(products!$A$1:$G$49,MATCH(orders!$D898,products!$A$1:$A$49,0),MATCH(orders!K$1,products!$A$1:$G$1,0))</f>
        <v>5.3699999999999992</v>
      </c>
      <c r="L898" s="6">
        <f>K898*E898</f>
        <v>32.22</v>
      </c>
      <c r="M898" t="str" cm="1">
        <f t="array" ref="M898">_xlfn.IFS(H898="Rob","Robusta",H898="Exc","Excelsa",H898="Ara","Arabica",H898="Lib","Liberica")</f>
        <v>Robusta</v>
      </c>
      <c r="N898" t="str" cm="1">
        <f t="array" ref="N898">_xlfn.IFS(I898="M","Medium",I898="L","Light",I898="D","Dark")</f>
        <v>Dark</v>
      </c>
      <c r="O898" t="str">
        <f>_xlfn.XLOOKUP(Orders[[#This Row],[Customer ID]],customers!$A$2:$A$1001,customers!$I$2:$I$1001,,0)</f>
        <v>Yes</v>
      </c>
    </row>
    <row r="899" spans="1:15" x14ac:dyDescent="0.3">
      <c r="A899" s="2" t="s">
        <v>5564</v>
      </c>
      <c r="B899" s="3">
        <v>43932</v>
      </c>
      <c r="C899" s="2" t="s">
        <v>5565</v>
      </c>
      <c r="D899" t="s">
        <v>6183</v>
      </c>
      <c r="E899" s="2">
        <v>2</v>
      </c>
      <c r="F899" s="2" t="str">
        <f>_xlfn.XLOOKUP(C899,customers!$A$2:$A$1001,customers!$B$2:$B$1001,,0)</f>
        <v>Ryann Stickler</v>
      </c>
      <c r="G899" s="2" t="str">
        <f>_xlfn.XLOOKUP(C899,customers!$A$2:$A$1001,customers!$G$2:$G$1001,,0)</f>
        <v>United Kingdom</v>
      </c>
      <c r="H899" t="str">
        <f>INDEX(products!$A$1:$G$49,MATCH(orders!$D899,products!$A$1:$A$49,0),MATCH(orders!H$1,products!$A$1:$G$1,0))</f>
        <v>Exc</v>
      </c>
      <c r="I899" t="str">
        <f>INDEX(products!$A$1:$G$49,MATCH(orders!$D899,products!$A$1:$A$49,0),MATCH(orders!I$1,products!$A$1:$G$1,0))</f>
        <v>D</v>
      </c>
      <c r="J899" s="5">
        <f>INDEX(products!$A$1:$G$49,MATCH(orders!$D899,products!$A$1:$A$49,0),MATCH(orders!J$1,products!$A$1:$G$1,0))</f>
        <v>1</v>
      </c>
      <c r="K899" s="6">
        <f>INDEX(products!$A$1:$G$49,MATCH(orders!$D899,products!$A$1:$A$49,0),MATCH(orders!K$1,products!$A$1:$G$1,0))</f>
        <v>12.15</v>
      </c>
      <c r="L899" s="6">
        <f>K899*E899</f>
        <v>24.3</v>
      </c>
      <c r="M899" t="str" cm="1">
        <f t="array" ref="M899">_xlfn.IFS(H899="Rob","Robusta",H899="Exc","Excelsa",H899="Ara","Arabica",H899="Lib","Liberica")</f>
        <v>Excelsa</v>
      </c>
      <c r="N899" t="str" cm="1">
        <f t="array" ref="N899">_xlfn.IFS(I899="M","Medium",I899="L","Light",I899="D","Dark")</f>
        <v>Dark</v>
      </c>
      <c r="O899" t="str">
        <f>_xlfn.XLOOKUP(Orders[[#This Row],[Customer ID]],customers!$A$2:$A$1001,customers!$I$2:$I$1001,,0)</f>
        <v>No</v>
      </c>
    </row>
    <row r="900" spans="1:15" x14ac:dyDescent="0.3">
      <c r="A900" s="2" t="s">
        <v>5570</v>
      </c>
      <c r="B900" s="3">
        <v>44089</v>
      </c>
      <c r="C900" s="2" t="s">
        <v>5571</v>
      </c>
      <c r="D900" t="s">
        <v>6173</v>
      </c>
      <c r="E900" s="2">
        <v>5</v>
      </c>
      <c r="F900" s="2" t="str">
        <f>_xlfn.XLOOKUP(C900,customers!$A$2:$A$1001,customers!$B$2:$B$1001,,0)</f>
        <v>Daryn Cassius</v>
      </c>
      <c r="G900" s="2" t="str">
        <f>_xlfn.XLOOKUP(C900,customers!$A$2:$A$1001,customers!$G$2:$G$1001,,0)</f>
        <v>United States</v>
      </c>
      <c r="H900" t="str">
        <f>INDEX(products!$A$1:$G$49,MATCH(orders!$D900,products!$A$1:$A$49,0),MATCH(orders!H$1,products!$A$1:$G$1,0))</f>
        <v>Rob</v>
      </c>
      <c r="I900" t="str">
        <f>INDEX(products!$A$1:$G$49,MATCH(orders!$D900,products!$A$1:$A$49,0),MATCH(orders!I$1,products!$A$1:$G$1,0))</f>
        <v>L</v>
      </c>
      <c r="J900" s="5">
        <f>INDEX(products!$A$1:$G$49,MATCH(orders!$D900,products!$A$1:$A$49,0),MATCH(orders!J$1,products!$A$1:$G$1,0))</f>
        <v>0.5</v>
      </c>
      <c r="K900" s="6">
        <f>INDEX(products!$A$1:$G$49,MATCH(orders!$D900,products!$A$1:$A$49,0),MATCH(orders!K$1,products!$A$1:$G$1,0))</f>
        <v>7.169999999999999</v>
      </c>
      <c r="L900" s="6">
        <f>K900*E900</f>
        <v>35.849999999999994</v>
      </c>
      <c r="M900" t="str" cm="1">
        <f t="array" ref="M900">_xlfn.IFS(H900="Rob","Robusta",H900="Exc","Excelsa",H900="Ara","Arabica",H900="Lib","Liberica")</f>
        <v>Robusta</v>
      </c>
      <c r="N900" t="str" cm="1">
        <f t="array" ref="N900">_xlfn.IFS(I900="M","Medium",I900="L","Light",I900="D","Dark")</f>
        <v>Light</v>
      </c>
      <c r="O900" t="str">
        <f>_xlfn.XLOOKUP(Orders[[#This Row],[Customer ID]],customers!$A$2:$A$1001,customers!$I$2:$I$1001,,0)</f>
        <v>No</v>
      </c>
    </row>
    <row r="901" spans="1:15" x14ac:dyDescent="0.3">
      <c r="A901" s="2" t="s">
        <v>5575</v>
      </c>
      <c r="B901" s="3">
        <v>44523</v>
      </c>
      <c r="C901" s="2" t="s">
        <v>5554</v>
      </c>
      <c r="D901" t="s">
        <v>6162</v>
      </c>
      <c r="E901" s="2">
        <v>5</v>
      </c>
      <c r="F901" s="2" t="str">
        <f>_xlfn.XLOOKUP(C901,customers!$A$2:$A$1001,customers!$B$2:$B$1001,,0)</f>
        <v>Derick Snow</v>
      </c>
      <c r="G901" s="2" t="str">
        <f>_xlfn.XLOOKUP(C901,customers!$A$2:$A$1001,customers!$G$2:$G$1001,,0)</f>
        <v>United States</v>
      </c>
      <c r="H901" t="str">
        <f>INDEX(products!$A$1:$G$49,MATCH(orders!$D901,products!$A$1:$A$49,0),MATCH(orders!H$1,products!$A$1:$G$1,0))</f>
        <v>Lib</v>
      </c>
      <c r="I901" t="str">
        <f>INDEX(products!$A$1:$G$49,MATCH(orders!$D901,products!$A$1:$A$49,0),MATCH(orders!I$1,products!$A$1:$G$1,0))</f>
        <v>M</v>
      </c>
      <c r="J901" s="5">
        <f>INDEX(products!$A$1:$G$49,MATCH(orders!$D901,products!$A$1:$A$49,0),MATCH(orders!J$1,products!$A$1:$G$1,0))</f>
        <v>1</v>
      </c>
      <c r="K901" s="6">
        <f>INDEX(products!$A$1:$G$49,MATCH(orders!$D901,products!$A$1:$A$49,0),MATCH(orders!K$1,products!$A$1:$G$1,0))</f>
        <v>14.55</v>
      </c>
      <c r="L901" s="6">
        <f>K901*E901</f>
        <v>72.75</v>
      </c>
      <c r="M901" t="str" cm="1">
        <f t="array" ref="M901">_xlfn.IFS(H901="Rob","Robusta",H901="Exc","Excelsa",H901="Ara","Arabica",H901="Lib","Liberica")</f>
        <v>Liberica</v>
      </c>
      <c r="N901" t="str" cm="1">
        <f t="array" ref="N901">_xlfn.IFS(I901="M","Medium",I901="L","Light",I901="D","Dark")</f>
        <v>Medium</v>
      </c>
      <c r="O901" t="str">
        <f>_xlfn.XLOOKUP(Orders[[#This Row],[Customer ID]],customers!$A$2:$A$1001,customers!$I$2:$I$1001,,0)</f>
        <v>No</v>
      </c>
    </row>
    <row r="902" spans="1:15" x14ac:dyDescent="0.3">
      <c r="A902" s="2" t="s">
        <v>5580</v>
      </c>
      <c r="B902" s="3">
        <v>44584</v>
      </c>
      <c r="C902" s="2" t="s">
        <v>5581</v>
      </c>
      <c r="D902" t="s">
        <v>6170</v>
      </c>
      <c r="E902" s="2">
        <v>3</v>
      </c>
      <c r="F902" s="2" t="str">
        <f>_xlfn.XLOOKUP(C902,customers!$A$2:$A$1001,customers!$B$2:$B$1001,,0)</f>
        <v>Skelly Dolohunty</v>
      </c>
      <c r="G902" s="2" t="str">
        <f>_xlfn.XLOOKUP(C902,customers!$A$2:$A$1001,customers!$G$2:$G$1001,,0)</f>
        <v>Ireland</v>
      </c>
      <c r="H902" t="str">
        <f>INDEX(products!$A$1:$G$49,MATCH(orders!$D902,products!$A$1:$A$49,0),MATCH(orders!H$1,products!$A$1:$G$1,0))</f>
        <v>Lib</v>
      </c>
      <c r="I902" t="str">
        <f>INDEX(products!$A$1:$G$49,MATCH(orders!$D902,products!$A$1:$A$49,0),MATCH(orders!I$1,products!$A$1:$G$1,0))</f>
        <v>L</v>
      </c>
      <c r="J902" s="5">
        <f>INDEX(products!$A$1:$G$49,MATCH(orders!$D902,products!$A$1:$A$49,0),MATCH(orders!J$1,products!$A$1:$G$1,0))</f>
        <v>1</v>
      </c>
      <c r="K902" s="6">
        <f>INDEX(products!$A$1:$G$49,MATCH(orders!$D902,products!$A$1:$A$49,0),MATCH(orders!K$1,products!$A$1:$G$1,0))</f>
        <v>15.85</v>
      </c>
      <c r="L902" s="6">
        <f>K902*E902</f>
        <v>47.55</v>
      </c>
      <c r="M902" t="str" cm="1">
        <f t="array" ref="M902">_xlfn.IFS(H902="Rob","Robusta",H902="Exc","Excelsa",H902="Ara","Arabica",H902="Lib","Liberica")</f>
        <v>Liberica</v>
      </c>
      <c r="N902" t="str" cm="1">
        <f t="array" ref="N902">_xlfn.IFS(I902="M","Medium",I902="L","Light",I902="D","Dark")</f>
        <v>Light</v>
      </c>
      <c r="O902" t="str">
        <f>_xlfn.XLOOKUP(Orders[[#This Row],[Customer ID]],customers!$A$2:$A$1001,customers!$I$2:$I$1001,,0)</f>
        <v>No</v>
      </c>
    </row>
    <row r="903" spans="1:15" x14ac:dyDescent="0.3">
      <c r="A903" s="2" t="s">
        <v>5585</v>
      </c>
      <c r="B903" s="3">
        <v>44223</v>
      </c>
      <c r="C903" s="2" t="s">
        <v>5586</v>
      </c>
      <c r="D903" t="s">
        <v>6178</v>
      </c>
      <c r="E903" s="2">
        <v>1</v>
      </c>
      <c r="F903" s="2" t="str">
        <f>_xlfn.XLOOKUP(C903,customers!$A$2:$A$1001,customers!$B$2:$B$1001,,0)</f>
        <v>Drake Jevon</v>
      </c>
      <c r="G903" s="2" t="str">
        <f>_xlfn.XLOOKUP(C903,customers!$A$2:$A$1001,customers!$G$2:$G$1001,,0)</f>
        <v>United States</v>
      </c>
      <c r="H903" t="str">
        <f>INDEX(products!$A$1:$G$49,MATCH(orders!$D903,products!$A$1:$A$49,0),MATCH(orders!H$1,products!$A$1:$G$1,0))</f>
        <v>Rob</v>
      </c>
      <c r="I903" t="str">
        <f>INDEX(products!$A$1:$G$49,MATCH(orders!$D903,products!$A$1:$A$49,0),MATCH(orders!I$1,products!$A$1:$G$1,0))</f>
        <v>L</v>
      </c>
      <c r="J903" s="5">
        <f>INDEX(products!$A$1:$G$49,MATCH(orders!$D903,products!$A$1:$A$49,0),MATCH(orders!J$1,products!$A$1:$G$1,0))</f>
        <v>0.2</v>
      </c>
      <c r="K903" s="6">
        <f>INDEX(products!$A$1:$G$49,MATCH(orders!$D903,products!$A$1:$A$49,0),MATCH(orders!K$1,products!$A$1:$G$1,0))</f>
        <v>3.5849999999999995</v>
      </c>
      <c r="L903" s="6">
        <f>K903*E903</f>
        <v>3.5849999999999995</v>
      </c>
      <c r="M903" t="str" cm="1">
        <f t="array" ref="M903">_xlfn.IFS(H903="Rob","Robusta",H903="Exc","Excelsa",H903="Ara","Arabica",H903="Lib","Liberica")</f>
        <v>Robusta</v>
      </c>
      <c r="N903" t="str" cm="1">
        <f t="array" ref="N903">_xlfn.IFS(I903="M","Medium",I903="L","Light",I903="D","Dark")</f>
        <v>Light</v>
      </c>
      <c r="O903" t="str">
        <f>_xlfn.XLOOKUP(Orders[[#This Row],[Customer ID]],customers!$A$2:$A$1001,customers!$I$2:$I$1001,,0)</f>
        <v>Yes</v>
      </c>
    </row>
    <row r="904" spans="1:15" x14ac:dyDescent="0.3">
      <c r="A904" s="2" t="s">
        <v>5591</v>
      </c>
      <c r="B904" s="3">
        <v>43640</v>
      </c>
      <c r="C904" s="2" t="s">
        <v>5592</v>
      </c>
      <c r="D904" t="s">
        <v>6166</v>
      </c>
      <c r="E904" s="2">
        <v>5</v>
      </c>
      <c r="F904" s="2" t="str">
        <f>_xlfn.XLOOKUP(C904,customers!$A$2:$A$1001,customers!$B$2:$B$1001,,0)</f>
        <v>Hall Ranner</v>
      </c>
      <c r="G904" s="2" t="str">
        <f>_xlfn.XLOOKUP(C904,customers!$A$2:$A$1001,customers!$G$2:$G$1001,,0)</f>
        <v>United States</v>
      </c>
      <c r="H904" t="str">
        <f>INDEX(products!$A$1:$G$49,MATCH(orders!$D904,products!$A$1:$A$49,0),MATCH(orders!H$1,products!$A$1:$G$1,0))</f>
        <v>Exc</v>
      </c>
      <c r="I904" t="str">
        <f>INDEX(products!$A$1:$G$49,MATCH(orders!$D904,products!$A$1:$A$49,0),MATCH(orders!I$1,products!$A$1:$G$1,0))</f>
        <v>M</v>
      </c>
      <c r="J904" s="5">
        <f>INDEX(products!$A$1:$G$49,MATCH(orders!$D904,products!$A$1:$A$49,0),MATCH(orders!J$1,products!$A$1:$G$1,0))</f>
        <v>2.5</v>
      </c>
      <c r="K904" s="6">
        <f>INDEX(products!$A$1:$G$49,MATCH(orders!$D904,products!$A$1:$A$49,0),MATCH(orders!K$1,products!$A$1:$G$1,0))</f>
        <v>31.624999999999996</v>
      </c>
      <c r="L904" s="6">
        <f>K904*E904</f>
        <v>158.12499999999997</v>
      </c>
      <c r="M904" t="str" cm="1">
        <f t="array" ref="M904">_xlfn.IFS(H904="Rob","Robusta",H904="Exc","Excelsa",H904="Ara","Arabica",H904="Lib","Liberica")</f>
        <v>Excelsa</v>
      </c>
      <c r="N904" t="str" cm="1">
        <f t="array" ref="N904">_xlfn.IFS(I904="M","Medium",I904="L","Light",I904="D","Dark")</f>
        <v>Medium</v>
      </c>
      <c r="O904" t="str">
        <f>_xlfn.XLOOKUP(Orders[[#This Row],[Customer ID]],customers!$A$2:$A$1001,customers!$I$2:$I$1001,,0)</f>
        <v>No</v>
      </c>
    </row>
    <row r="905" spans="1:15" x14ac:dyDescent="0.3">
      <c r="A905" s="2" t="s">
        <v>5597</v>
      </c>
      <c r="B905" s="3">
        <v>43905</v>
      </c>
      <c r="C905" s="2" t="s">
        <v>5598</v>
      </c>
      <c r="D905" t="s">
        <v>6160</v>
      </c>
      <c r="E905" s="2">
        <v>2</v>
      </c>
      <c r="F905" s="2" t="str">
        <f>_xlfn.XLOOKUP(C905,customers!$A$2:$A$1001,customers!$B$2:$B$1001,,0)</f>
        <v>Berkly Imrie</v>
      </c>
      <c r="G905" s="2" t="str">
        <f>_xlfn.XLOOKUP(C905,customers!$A$2:$A$1001,customers!$G$2:$G$1001,,0)</f>
        <v>United States</v>
      </c>
      <c r="H905" t="str">
        <f>INDEX(products!$A$1:$G$49,MATCH(orders!$D905,products!$A$1:$A$49,0),MATCH(orders!H$1,products!$A$1:$G$1,0))</f>
        <v>Lib</v>
      </c>
      <c r="I905" t="str">
        <f>INDEX(products!$A$1:$G$49,MATCH(orders!$D905,products!$A$1:$A$49,0),MATCH(orders!I$1,products!$A$1:$G$1,0))</f>
        <v>M</v>
      </c>
      <c r="J905" s="5">
        <f>INDEX(products!$A$1:$G$49,MATCH(orders!$D905,products!$A$1:$A$49,0),MATCH(orders!J$1,products!$A$1:$G$1,0))</f>
        <v>0.5</v>
      </c>
      <c r="K905" s="6">
        <f>INDEX(products!$A$1:$G$49,MATCH(orders!$D905,products!$A$1:$A$49,0),MATCH(orders!K$1,products!$A$1:$G$1,0))</f>
        <v>8.73</v>
      </c>
      <c r="L905" s="6">
        <f>K905*E905</f>
        <v>17.46</v>
      </c>
      <c r="M905" t="str" cm="1">
        <f t="array" ref="M905">_xlfn.IFS(H905="Rob","Robusta",H905="Exc","Excelsa",H905="Ara","Arabica",H905="Lib","Liberica")</f>
        <v>Liberica</v>
      </c>
      <c r="N905" t="str" cm="1">
        <f t="array" ref="N905">_xlfn.IFS(I905="M","Medium",I905="L","Light",I905="D","Dark")</f>
        <v>Medium</v>
      </c>
      <c r="O905" t="str">
        <f>_xlfn.XLOOKUP(Orders[[#This Row],[Customer ID]],customers!$A$2:$A$1001,customers!$I$2:$I$1001,,0)</f>
        <v>No</v>
      </c>
    </row>
    <row r="906" spans="1:15" x14ac:dyDescent="0.3">
      <c r="A906" s="2" t="s">
        <v>5603</v>
      </c>
      <c r="B906" s="3">
        <v>44463</v>
      </c>
      <c r="C906" s="2" t="s">
        <v>5604</v>
      </c>
      <c r="D906" t="s">
        <v>6182</v>
      </c>
      <c r="E906" s="2">
        <v>5</v>
      </c>
      <c r="F906" s="2" t="str">
        <f>_xlfn.XLOOKUP(C906,customers!$A$2:$A$1001,customers!$B$2:$B$1001,,0)</f>
        <v>Dorey Sopper</v>
      </c>
      <c r="G906" s="2" t="str">
        <f>_xlfn.XLOOKUP(C906,customers!$A$2:$A$1001,customers!$G$2:$G$1001,,0)</f>
        <v>United States</v>
      </c>
      <c r="H906" t="str">
        <f>INDEX(products!$A$1:$G$49,MATCH(orders!$D906,products!$A$1:$A$49,0),MATCH(orders!H$1,products!$A$1:$G$1,0))</f>
        <v>Ara</v>
      </c>
      <c r="I906" t="str">
        <f>INDEX(products!$A$1:$G$49,MATCH(orders!$D906,products!$A$1:$A$49,0),MATCH(orders!I$1,products!$A$1:$G$1,0))</f>
        <v>L</v>
      </c>
      <c r="J906" s="5">
        <f>INDEX(products!$A$1:$G$49,MATCH(orders!$D906,products!$A$1:$A$49,0),MATCH(orders!J$1,products!$A$1:$G$1,0))</f>
        <v>2.5</v>
      </c>
      <c r="K906" s="6">
        <f>INDEX(products!$A$1:$G$49,MATCH(orders!$D906,products!$A$1:$A$49,0),MATCH(orders!K$1,products!$A$1:$G$1,0))</f>
        <v>29.784999999999997</v>
      </c>
      <c r="L906" s="6">
        <f>K906*E906</f>
        <v>148.92499999999998</v>
      </c>
      <c r="M906" t="str" cm="1">
        <f t="array" ref="M906">_xlfn.IFS(H906="Rob","Robusta",H906="Exc","Excelsa",H906="Ara","Arabica",H906="Lib","Liberica")</f>
        <v>Arabica</v>
      </c>
      <c r="N906" t="str" cm="1">
        <f t="array" ref="N906">_xlfn.IFS(I906="M","Medium",I906="L","Light",I906="D","Dark")</f>
        <v>Light</v>
      </c>
      <c r="O906" t="str">
        <f>_xlfn.XLOOKUP(Orders[[#This Row],[Customer ID]],customers!$A$2:$A$1001,customers!$I$2:$I$1001,,0)</f>
        <v>No</v>
      </c>
    </row>
    <row r="907" spans="1:15" x14ac:dyDescent="0.3">
      <c r="A907" s="2" t="s">
        <v>5609</v>
      </c>
      <c r="B907" s="3">
        <v>43560</v>
      </c>
      <c r="C907" s="2" t="s">
        <v>5610</v>
      </c>
      <c r="D907" t="s">
        <v>6157</v>
      </c>
      <c r="E907" s="2">
        <v>6</v>
      </c>
      <c r="F907" s="2" t="str">
        <f>_xlfn.XLOOKUP(C907,customers!$A$2:$A$1001,customers!$B$2:$B$1001,,0)</f>
        <v>Darcy Lochran</v>
      </c>
      <c r="G907" s="2" t="str">
        <f>_xlfn.XLOOKUP(C907,customers!$A$2:$A$1001,customers!$G$2:$G$1001,,0)</f>
        <v>United States</v>
      </c>
      <c r="H907" t="str">
        <f>INDEX(products!$A$1:$G$49,MATCH(orders!$D907,products!$A$1:$A$49,0),MATCH(orders!H$1,products!$A$1:$G$1,0))</f>
        <v>Ara</v>
      </c>
      <c r="I907" t="str">
        <f>INDEX(products!$A$1:$G$49,MATCH(orders!$D907,products!$A$1:$A$49,0),MATCH(orders!I$1,products!$A$1:$G$1,0))</f>
        <v>M</v>
      </c>
      <c r="J907" s="5">
        <f>INDEX(products!$A$1:$G$49,MATCH(orders!$D907,products!$A$1:$A$49,0),MATCH(orders!J$1,products!$A$1:$G$1,0))</f>
        <v>0.5</v>
      </c>
      <c r="K907" s="6">
        <f>INDEX(products!$A$1:$G$49,MATCH(orders!$D907,products!$A$1:$A$49,0),MATCH(orders!K$1,products!$A$1:$G$1,0))</f>
        <v>6.75</v>
      </c>
      <c r="L907" s="6">
        <f>K907*E907</f>
        <v>40.5</v>
      </c>
      <c r="M907" t="str" cm="1">
        <f t="array" ref="M907">_xlfn.IFS(H907="Rob","Robusta",H907="Exc","Excelsa",H907="Ara","Arabica",H907="Lib","Liberica")</f>
        <v>Arabica</v>
      </c>
      <c r="N907" t="str" cm="1">
        <f t="array" ref="N907">_xlfn.IFS(I907="M","Medium",I907="L","Light",I907="D","Dark")</f>
        <v>Medium</v>
      </c>
      <c r="O907" t="str">
        <f>_xlfn.XLOOKUP(Orders[[#This Row],[Customer ID]],customers!$A$2:$A$1001,customers!$I$2:$I$1001,,0)</f>
        <v>Yes</v>
      </c>
    </row>
    <row r="908" spans="1:15" x14ac:dyDescent="0.3">
      <c r="A908" s="2" t="s">
        <v>5614</v>
      </c>
      <c r="B908" s="3">
        <v>44588</v>
      </c>
      <c r="C908" s="2" t="s">
        <v>5615</v>
      </c>
      <c r="D908" t="s">
        <v>6157</v>
      </c>
      <c r="E908" s="2">
        <v>4</v>
      </c>
      <c r="F908" s="2" t="str">
        <f>_xlfn.XLOOKUP(C908,customers!$A$2:$A$1001,customers!$B$2:$B$1001,,0)</f>
        <v>Lauritz Ledgley</v>
      </c>
      <c r="G908" s="2" t="str">
        <f>_xlfn.XLOOKUP(C908,customers!$A$2:$A$1001,customers!$G$2:$G$1001,,0)</f>
        <v>United States</v>
      </c>
      <c r="H908" t="str">
        <f>INDEX(products!$A$1:$G$49,MATCH(orders!$D908,products!$A$1:$A$49,0),MATCH(orders!H$1,products!$A$1:$G$1,0))</f>
        <v>Ara</v>
      </c>
      <c r="I908" t="str">
        <f>INDEX(products!$A$1:$G$49,MATCH(orders!$D908,products!$A$1:$A$49,0),MATCH(orders!I$1,products!$A$1:$G$1,0))</f>
        <v>M</v>
      </c>
      <c r="J908" s="5">
        <f>INDEX(products!$A$1:$G$49,MATCH(orders!$D908,products!$A$1:$A$49,0),MATCH(orders!J$1,products!$A$1:$G$1,0))</f>
        <v>0.5</v>
      </c>
      <c r="K908" s="6">
        <f>INDEX(products!$A$1:$G$49,MATCH(orders!$D908,products!$A$1:$A$49,0),MATCH(orders!K$1,products!$A$1:$G$1,0))</f>
        <v>6.75</v>
      </c>
      <c r="L908" s="6">
        <f>K908*E908</f>
        <v>27</v>
      </c>
      <c r="M908" t="str" cm="1">
        <f t="array" ref="M908">_xlfn.IFS(H908="Rob","Robusta",H908="Exc","Excelsa",H908="Ara","Arabica",H908="Lib","Liberica")</f>
        <v>Arabica</v>
      </c>
      <c r="N908" t="str" cm="1">
        <f t="array" ref="N908">_xlfn.IFS(I908="M","Medium",I908="L","Light",I908="D","Dark")</f>
        <v>Medium</v>
      </c>
      <c r="O908" t="str">
        <f>_xlfn.XLOOKUP(Orders[[#This Row],[Customer ID]],customers!$A$2:$A$1001,customers!$I$2:$I$1001,,0)</f>
        <v>Yes</v>
      </c>
    </row>
    <row r="909" spans="1:15" x14ac:dyDescent="0.3">
      <c r="A909" s="2" t="s">
        <v>5620</v>
      </c>
      <c r="B909" s="3">
        <v>44449</v>
      </c>
      <c r="C909" s="2" t="s">
        <v>5621</v>
      </c>
      <c r="D909" t="s">
        <v>6143</v>
      </c>
      <c r="E909" s="2">
        <v>3</v>
      </c>
      <c r="F909" s="2" t="str">
        <f>_xlfn.XLOOKUP(C909,customers!$A$2:$A$1001,customers!$B$2:$B$1001,,0)</f>
        <v>Tawnya Menary</v>
      </c>
      <c r="G909" s="2" t="str">
        <f>_xlfn.XLOOKUP(C909,customers!$A$2:$A$1001,customers!$G$2:$G$1001,,0)</f>
        <v>United States</v>
      </c>
      <c r="H909" t="str">
        <f>INDEX(products!$A$1:$G$49,MATCH(orders!$D909,products!$A$1:$A$49,0),MATCH(orders!H$1,products!$A$1:$G$1,0))</f>
        <v>Lib</v>
      </c>
      <c r="I909" t="str">
        <f>INDEX(products!$A$1:$G$49,MATCH(orders!$D909,products!$A$1:$A$49,0),MATCH(orders!I$1,products!$A$1:$G$1,0))</f>
        <v>D</v>
      </c>
      <c r="J909" s="5">
        <f>INDEX(products!$A$1:$G$49,MATCH(orders!$D909,products!$A$1:$A$49,0),MATCH(orders!J$1,products!$A$1:$G$1,0))</f>
        <v>1</v>
      </c>
      <c r="K909" s="6">
        <f>INDEX(products!$A$1:$G$49,MATCH(orders!$D909,products!$A$1:$A$49,0),MATCH(orders!K$1,products!$A$1:$G$1,0))</f>
        <v>12.95</v>
      </c>
      <c r="L909" s="6">
        <f>K909*E909</f>
        <v>38.849999999999994</v>
      </c>
      <c r="M909" t="str" cm="1">
        <f t="array" ref="M909">_xlfn.IFS(H909="Rob","Robusta",H909="Exc","Excelsa",H909="Ara","Arabica",H909="Lib","Liberica")</f>
        <v>Liberica</v>
      </c>
      <c r="N909" t="str" cm="1">
        <f t="array" ref="N909">_xlfn.IFS(I909="M","Medium",I909="L","Light",I909="D","Dark")</f>
        <v>Dark</v>
      </c>
      <c r="O909" t="str">
        <f>_xlfn.XLOOKUP(Orders[[#This Row],[Customer ID]],customers!$A$2:$A$1001,customers!$I$2:$I$1001,,0)</f>
        <v>No</v>
      </c>
    </row>
    <row r="910" spans="1:15" x14ac:dyDescent="0.3">
      <c r="A910" s="2" t="s">
        <v>5626</v>
      </c>
      <c r="B910" s="3">
        <v>43836</v>
      </c>
      <c r="C910" s="2" t="s">
        <v>5627</v>
      </c>
      <c r="D910" t="s">
        <v>6179</v>
      </c>
      <c r="E910" s="2">
        <v>5</v>
      </c>
      <c r="F910" s="2" t="str">
        <f>_xlfn.XLOOKUP(C910,customers!$A$2:$A$1001,customers!$B$2:$B$1001,,0)</f>
        <v>Gustaf Ciccotti</v>
      </c>
      <c r="G910" s="2" t="str">
        <f>_xlfn.XLOOKUP(C910,customers!$A$2:$A$1001,customers!$G$2:$G$1001,,0)</f>
        <v>United States</v>
      </c>
      <c r="H910" t="str">
        <f>INDEX(products!$A$1:$G$49,MATCH(orders!$D910,products!$A$1:$A$49,0),MATCH(orders!H$1,products!$A$1:$G$1,0))</f>
        <v>Rob</v>
      </c>
      <c r="I910" t="str">
        <f>INDEX(products!$A$1:$G$49,MATCH(orders!$D910,products!$A$1:$A$49,0),MATCH(orders!I$1,products!$A$1:$G$1,0))</f>
        <v>L</v>
      </c>
      <c r="J910" s="5">
        <f>INDEX(products!$A$1:$G$49,MATCH(orders!$D910,products!$A$1:$A$49,0),MATCH(orders!J$1,products!$A$1:$G$1,0))</f>
        <v>1</v>
      </c>
      <c r="K910" s="6">
        <f>INDEX(products!$A$1:$G$49,MATCH(orders!$D910,products!$A$1:$A$49,0),MATCH(orders!K$1,products!$A$1:$G$1,0))</f>
        <v>11.95</v>
      </c>
      <c r="L910" s="6">
        <f>K910*E910</f>
        <v>59.75</v>
      </c>
      <c r="M910" t="str" cm="1">
        <f t="array" ref="M910">_xlfn.IFS(H910="Rob","Robusta",H910="Exc","Excelsa",H910="Ara","Arabica",H910="Lib","Liberica")</f>
        <v>Robusta</v>
      </c>
      <c r="N910" t="str" cm="1">
        <f t="array" ref="N910">_xlfn.IFS(I910="M","Medium",I910="L","Light",I910="D","Dark")</f>
        <v>Light</v>
      </c>
      <c r="O910" t="str">
        <f>_xlfn.XLOOKUP(Orders[[#This Row],[Customer ID]],customers!$A$2:$A$1001,customers!$I$2:$I$1001,,0)</f>
        <v>No</v>
      </c>
    </row>
    <row r="911" spans="1:15" x14ac:dyDescent="0.3">
      <c r="A911" s="2" t="s">
        <v>5632</v>
      </c>
      <c r="B911" s="3">
        <v>44635</v>
      </c>
      <c r="C911" s="2" t="s">
        <v>5633</v>
      </c>
      <c r="D911" t="s">
        <v>6178</v>
      </c>
      <c r="E911" s="2">
        <v>3</v>
      </c>
      <c r="F911" s="2" t="str">
        <f>_xlfn.XLOOKUP(C911,customers!$A$2:$A$1001,customers!$B$2:$B$1001,,0)</f>
        <v>Bobbe Renner</v>
      </c>
      <c r="G911" s="2" t="str">
        <f>_xlfn.XLOOKUP(C911,customers!$A$2:$A$1001,customers!$G$2:$G$1001,,0)</f>
        <v>United States</v>
      </c>
      <c r="H911" t="str">
        <f>INDEX(products!$A$1:$G$49,MATCH(orders!$D911,products!$A$1:$A$49,0),MATCH(orders!H$1,products!$A$1:$G$1,0))</f>
        <v>Rob</v>
      </c>
      <c r="I911" t="str">
        <f>INDEX(products!$A$1:$G$49,MATCH(orders!$D911,products!$A$1:$A$49,0),MATCH(orders!I$1,products!$A$1:$G$1,0))</f>
        <v>L</v>
      </c>
      <c r="J911" s="5">
        <f>INDEX(products!$A$1:$G$49,MATCH(orders!$D911,products!$A$1:$A$49,0),MATCH(orders!J$1,products!$A$1:$G$1,0))</f>
        <v>0.2</v>
      </c>
      <c r="K911" s="6">
        <f>INDEX(products!$A$1:$G$49,MATCH(orders!$D911,products!$A$1:$A$49,0),MATCH(orders!K$1,products!$A$1:$G$1,0))</f>
        <v>3.5849999999999995</v>
      </c>
      <c r="L911" s="6">
        <f>K911*E911</f>
        <v>10.754999999999999</v>
      </c>
      <c r="M911" t="str" cm="1">
        <f t="array" ref="M911">_xlfn.IFS(H911="Rob","Robusta",H911="Exc","Excelsa",H911="Ara","Arabica",H911="Lib","Liberica")</f>
        <v>Robusta</v>
      </c>
      <c r="N911" t="str" cm="1">
        <f t="array" ref="N911">_xlfn.IFS(I911="M","Medium",I911="L","Light",I911="D","Dark")</f>
        <v>Light</v>
      </c>
      <c r="O911" t="str">
        <f>_xlfn.XLOOKUP(Orders[[#This Row],[Customer ID]],customers!$A$2:$A$1001,customers!$I$2:$I$1001,,0)</f>
        <v>No</v>
      </c>
    </row>
    <row r="912" spans="1:15" x14ac:dyDescent="0.3">
      <c r="A912" s="2" t="s">
        <v>5637</v>
      </c>
      <c r="B912" s="3">
        <v>44447</v>
      </c>
      <c r="C912" s="2" t="s">
        <v>5638</v>
      </c>
      <c r="D912" t="s">
        <v>6168</v>
      </c>
      <c r="E912" s="2">
        <v>4</v>
      </c>
      <c r="F912" s="2" t="str">
        <f>_xlfn.XLOOKUP(C912,customers!$A$2:$A$1001,customers!$B$2:$B$1001,,0)</f>
        <v>Wilton Jallin</v>
      </c>
      <c r="G912" s="2" t="str">
        <f>_xlfn.XLOOKUP(C912,customers!$A$2:$A$1001,customers!$G$2:$G$1001,,0)</f>
        <v>United States</v>
      </c>
      <c r="H912" t="str">
        <f>INDEX(products!$A$1:$G$49,MATCH(orders!$D912,products!$A$1:$A$49,0),MATCH(orders!H$1,products!$A$1:$G$1,0))</f>
        <v>Ara</v>
      </c>
      <c r="I912" t="str">
        <f>INDEX(products!$A$1:$G$49,MATCH(orders!$D912,products!$A$1:$A$49,0),MATCH(orders!I$1,products!$A$1:$G$1,0))</f>
        <v>D</v>
      </c>
      <c r="J912" s="5">
        <f>INDEX(products!$A$1:$G$49,MATCH(orders!$D912,products!$A$1:$A$49,0),MATCH(orders!J$1,products!$A$1:$G$1,0))</f>
        <v>2.5</v>
      </c>
      <c r="K912" s="6">
        <f>INDEX(products!$A$1:$G$49,MATCH(orders!$D912,products!$A$1:$A$49,0),MATCH(orders!K$1,products!$A$1:$G$1,0))</f>
        <v>22.884999999999998</v>
      </c>
      <c r="L912" s="6">
        <f>K912*E912</f>
        <v>91.539999999999992</v>
      </c>
      <c r="M912" t="str" cm="1">
        <f t="array" ref="M912">_xlfn.IFS(H912="Rob","Robusta",H912="Exc","Excelsa",H912="Ara","Arabica",H912="Lib","Liberica")</f>
        <v>Arabica</v>
      </c>
      <c r="N912" t="str" cm="1">
        <f t="array" ref="N912">_xlfn.IFS(I912="M","Medium",I912="L","Light",I912="D","Dark")</f>
        <v>Dark</v>
      </c>
      <c r="O912" t="str">
        <f>_xlfn.XLOOKUP(Orders[[#This Row],[Customer ID]],customers!$A$2:$A$1001,customers!$I$2:$I$1001,,0)</f>
        <v>No</v>
      </c>
    </row>
    <row r="913" spans="1:15" x14ac:dyDescent="0.3">
      <c r="A913" s="2" t="s">
        <v>5643</v>
      </c>
      <c r="B913" s="3">
        <v>44511</v>
      </c>
      <c r="C913" s="2" t="s">
        <v>5644</v>
      </c>
      <c r="D913" t="s">
        <v>6155</v>
      </c>
      <c r="E913" s="2">
        <v>4</v>
      </c>
      <c r="F913" s="2" t="str">
        <f>_xlfn.XLOOKUP(C913,customers!$A$2:$A$1001,customers!$B$2:$B$1001,,0)</f>
        <v>Mindy Bogey</v>
      </c>
      <c r="G913" s="2" t="str">
        <f>_xlfn.XLOOKUP(C913,customers!$A$2:$A$1001,customers!$G$2:$G$1001,,0)</f>
        <v>United States</v>
      </c>
      <c r="H913" t="str">
        <f>INDEX(products!$A$1:$G$49,MATCH(orders!$D913,products!$A$1:$A$49,0),MATCH(orders!H$1,products!$A$1:$G$1,0))</f>
        <v>Ara</v>
      </c>
      <c r="I913" t="str">
        <f>INDEX(products!$A$1:$G$49,MATCH(orders!$D913,products!$A$1:$A$49,0),MATCH(orders!I$1,products!$A$1:$G$1,0))</f>
        <v>M</v>
      </c>
      <c r="J913" s="5">
        <f>INDEX(products!$A$1:$G$49,MATCH(orders!$D913,products!$A$1:$A$49,0),MATCH(orders!J$1,products!$A$1:$G$1,0))</f>
        <v>1</v>
      </c>
      <c r="K913" s="6">
        <f>INDEX(products!$A$1:$G$49,MATCH(orders!$D913,products!$A$1:$A$49,0),MATCH(orders!K$1,products!$A$1:$G$1,0))</f>
        <v>11.25</v>
      </c>
      <c r="L913" s="6">
        <f>K913*E913</f>
        <v>45</v>
      </c>
      <c r="M913" t="str" cm="1">
        <f t="array" ref="M913">_xlfn.IFS(H913="Rob","Robusta",H913="Exc","Excelsa",H913="Ara","Arabica",H913="Lib","Liberica")</f>
        <v>Arabica</v>
      </c>
      <c r="N913" t="str" cm="1">
        <f t="array" ref="N913">_xlfn.IFS(I913="M","Medium",I913="L","Light",I913="D","Dark")</f>
        <v>Medium</v>
      </c>
      <c r="O913" t="str">
        <f>_xlfn.XLOOKUP(Orders[[#This Row],[Customer ID]],customers!$A$2:$A$1001,customers!$I$2:$I$1001,,0)</f>
        <v>Yes</v>
      </c>
    </row>
    <row r="914" spans="1:15" x14ac:dyDescent="0.3">
      <c r="A914" s="2" t="s">
        <v>5649</v>
      </c>
      <c r="B914" s="3">
        <v>43726</v>
      </c>
      <c r="C914" s="2" t="s">
        <v>5650</v>
      </c>
      <c r="D914" t="s">
        <v>6151</v>
      </c>
      <c r="E914" s="2">
        <v>6</v>
      </c>
      <c r="F914" s="2" t="str">
        <f>_xlfn.XLOOKUP(C914,customers!$A$2:$A$1001,customers!$B$2:$B$1001,,0)</f>
        <v>Paulie Fonzone</v>
      </c>
      <c r="G914" s="2" t="str">
        <f>_xlfn.XLOOKUP(C914,customers!$A$2:$A$1001,customers!$G$2:$G$1001,,0)</f>
        <v>United States</v>
      </c>
      <c r="H914" t="str">
        <f>INDEX(products!$A$1:$G$49,MATCH(orders!$D914,products!$A$1:$A$49,0),MATCH(orders!H$1,products!$A$1:$G$1,0))</f>
        <v>Rob</v>
      </c>
      <c r="I914" t="str">
        <f>INDEX(products!$A$1:$G$49,MATCH(orders!$D914,products!$A$1:$A$49,0),MATCH(orders!I$1,products!$A$1:$G$1,0))</f>
        <v>M</v>
      </c>
      <c r="J914" s="5">
        <f>INDEX(products!$A$1:$G$49,MATCH(orders!$D914,products!$A$1:$A$49,0),MATCH(orders!J$1,products!$A$1:$G$1,0))</f>
        <v>2.5</v>
      </c>
      <c r="K914" s="6">
        <f>INDEX(products!$A$1:$G$49,MATCH(orders!$D914,products!$A$1:$A$49,0),MATCH(orders!K$1,products!$A$1:$G$1,0))</f>
        <v>22.884999999999998</v>
      </c>
      <c r="L914" s="6">
        <f>K914*E914</f>
        <v>137.31</v>
      </c>
      <c r="M914" t="str" cm="1">
        <f t="array" ref="M914">_xlfn.IFS(H914="Rob","Robusta",H914="Exc","Excelsa",H914="Ara","Arabica",H914="Lib","Liberica")</f>
        <v>Robusta</v>
      </c>
      <c r="N914" t="str" cm="1">
        <f t="array" ref="N914">_xlfn.IFS(I914="M","Medium",I914="L","Light",I914="D","Dark")</f>
        <v>Medium</v>
      </c>
      <c r="O914" t="str">
        <f>_xlfn.XLOOKUP(Orders[[#This Row],[Customer ID]],customers!$A$2:$A$1001,customers!$I$2:$I$1001,,0)</f>
        <v>Yes</v>
      </c>
    </row>
    <row r="915" spans="1:15" x14ac:dyDescent="0.3">
      <c r="A915" s="2" t="s">
        <v>5654</v>
      </c>
      <c r="B915" s="3">
        <v>44406</v>
      </c>
      <c r="C915" s="2" t="s">
        <v>5655</v>
      </c>
      <c r="D915" t="s">
        <v>6157</v>
      </c>
      <c r="E915" s="2">
        <v>1</v>
      </c>
      <c r="F915" s="2" t="str">
        <f>_xlfn.XLOOKUP(C915,customers!$A$2:$A$1001,customers!$B$2:$B$1001,,0)</f>
        <v>Merrile Cobbledick</v>
      </c>
      <c r="G915" s="2" t="str">
        <f>_xlfn.XLOOKUP(C915,customers!$A$2:$A$1001,customers!$G$2:$G$1001,,0)</f>
        <v>United States</v>
      </c>
      <c r="H915" t="str">
        <f>INDEX(products!$A$1:$G$49,MATCH(orders!$D915,products!$A$1:$A$49,0),MATCH(orders!H$1,products!$A$1:$G$1,0))</f>
        <v>Ara</v>
      </c>
      <c r="I915" t="str">
        <f>INDEX(products!$A$1:$G$49,MATCH(orders!$D915,products!$A$1:$A$49,0),MATCH(orders!I$1,products!$A$1:$G$1,0))</f>
        <v>M</v>
      </c>
      <c r="J915" s="5">
        <f>INDEX(products!$A$1:$G$49,MATCH(orders!$D915,products!$A$1:$A$49,0),MATCH(orders!J$1,products!$A$1:$G$1,0))</f>
        <v>0.5</v>
      </c>
      <c r="K915" s="6">
        <f>INDEX(products!$A$1:$G$49,MATCH(orders!$D915,products!$A$1:$A$49,0),MATCH(orders!K$1,products!$A$1:$G$1,0))</f>
        <v>6.75</v>
      </c>
      <c r="L915" s="6">
        <f>K915*E915</f>
        <v>6.75</v>
      </c>
      <c r="M915" t="str" cm="1">
        <f t="array" ref="M915">_xlfn.IFS(H915="Rob","Robusta",H915="Exc","Excelsa",H915="Ara","Arabica",H915="Lib","Liberica")</f>
        <v>Arabica</v>
      </c>
      <c r="N915" t="str" cm="1">
        <f t="array" ref="N915">_xlfn.IFS(I915="M","Medium",I915="L","Light",I915="D","Dark")</f>
        <v>Medium</v>
      </c>
      <c r="O915" t="str">
        <f>_xlfn.XLOOKUP(Orders[[#This Row],[Customer ID]],customers!$A$2:$A$1001,customers!$I$2:$I$1001,,0)</f>
        <v>No</v>
      </c>
    </row>
    <row r="916" spans="1:15" x14ac:dyDescent="0.3">
      <c r="A916" s="2" t="s">
        <v>5660</v>
      </c>
      <c r="B916" s="3">
        <v>44640</v>
      </c>
      <c r="C916" s="2" t="s">
        <v>5661</v>
      </c>
      <c r="D916" t="s">
        <v>6155</v>
      </c>
      <c r="E916" s="2">
        <v>4</v>
      </c>
      <c r="F916" s="2" t="str">
        <f>_xlfn.XLOOKUP(C916,customers!$A$2:$A$1001,customers!$B$2:$B$1001,,0)</f>
        <v>Antonius Lewry</v>
      </c>
      <c r="G916" s="2" t="str">
        <f>_xlfn.XLOOKUP(C916,customers!$A$2:$A$1001,customers!$G$2:$G$1001,,0)</f>
        <v>United States</v>
      </c>
      <c r="H916" t="str">
        <f>INDEX(products!$A$1:$G$49,MATCH(orders!$D916,products!$A$1:$A$49,0),MATCH(orders!H$1,products!$A$1:$G$1,0))</f>
        <v>Ara</v>
      </c>
      <c r="I916" t="str">
        <f>INDEX(products!$A$1:$G$49,MATCH(orders!$D916,products!$A$1:$A$49,0),MATCH(orders!I$1,products!$A$1:$G$1,0))</f>
        <v>M</v>
      </c>
      <c r="J916" s="5">
        <f>INDEX(products!$A$1:$G$49,MATCH(orders!$D916,products!$A$1:$A$49,0),MATCH(orders!J$1,products!$A$1:$G$1,0))</f>
        <v>1</v>
      </c>
      <c r="K916" s="6">
        <f>INDEX(products!$A$1:$G$49,MATCH(orders!$D916,products!$A$1:$A$49,0),MATCH(orders!K$1,products!$A$1:$G$1,0))</f>
        <v>11.25</v>
      </c>
      <c r="L916" s="6">
        <f>K916*E916</f>
        <v>45</v>
      </c>
      <c r="M916" t="str" cm="1">
        <f t="array" ref="M916">_xlfn.IFS(H916="Rob","Robusta",H916="Exc","Excelsa",H916="Ara","Arabica",H916="Lib","Liberica")</f>
        <v>Arabica</v>
      </c>
      <c r="N916" t="str" cm="1">
        <f t="array" ref="N916">_xlfn.IFS(I916="M","Medium",I916="L","Light",I916="D","Dark")</f>
        <v>Medium</v>
      </c>
      <c r="O916" t="str">
        <f>_xlfn.XLOOKUP(Orders[[#This Row],[Customer ID]],customers!$A$2:$A$1001,customers!$I$2:$I$1001,,0)</f>
        <v>No</v>
      </c>
    </row>
    <row r="917" spans="1:15" x14ac:dyDescent="0.3">
      <c r="A917" s="2" t="s">
        <v>5666</v>
      </c>
      <c r="B917" s="3">
        <v>43955</v>
      </c>
      <c r="C917" s="2" t="s">
        <v>5667</v>
      </c>
      <c r="D917" t="s">
        <v>6185</v>
      </c>
      <c r="E917" s="2">
        <v>3</v>
      </c>
      <c r="F917" s="2" t="str">
        <f>_xlfn.XLOOKUP(C917,customers!$A$2:$A$1001,customers!$B$2:$B$1001,,0)</f>
        <v>Isis Hessel</v>
      </c>
      <c r="G917" s="2" t="str">
        <f>_xlfn.XLOOKUP(C917,customers!$A$2:$A$1001,customers!$G$2:$G$1001,,0)</f>
        <v>United States</v>
      </c>
      <c r="H917" t="str">
        <f>INDEX(products!$A$1:$G$49,MATCH(orders!$D917,products!$A$1:$A$49,0),MATCH(orders!H$1,products!$A$1:$G$1,0))</f>
        <v>Exc</v>
      </c>
      <c r="I917" t="str">
        <f>INDEX(products!$A$1:$G$49,MATCH(orders!$D917,products!$A$1:$A$49,0),MATCH(orders!I$1,products!$A$1:$G$1,0))</f>
        <v>D</v>
      </c>
      <c r="J917" s="5">
        <f>INDEX(products!$A$1:$G$49,MATCH(orders!$D917,products!$A$1:$A$49,0),MATCH(orders!J$1,products!$A$1:$G$1,0))</f>
        <v>2.5</v>
      </c>
      <c r="K917" s="6">
        <f>INDEX(products!$A$1:$G$49,MATCH(orders!$D917,products!$A$1:$A$49,0),MATCH(orders!K$1,products!$A$1:$G$1,0))</f>
        <v>27.945</v>
      </c>
      <c r="L917" s="6">
        <f>K917*E917</f>
        <v>83.835000000000008</v>
      </c>
      <c r="M917" t="str" cm="1">
        <f t="array" ref="M917">_xlfn.IFS(H917="Rob","Robusta",H917="Exc","Excelsa",H917="Ara","Arabica",H917="Lib","Liberica")</f>
        <v>Excelsa</v>
      </c>
      <c r="N917" t="str" cm="1">
        <f t="array" ref="N917">_xlfn.IFS(I917="M","Medium",I917="L","Light",I917="D","Dark")</f>
        <v>Dark</v>
      </c>
      <c r="O917" t="str">
        <f>_xlfn.XLOOKUP(Orders[[#This Row],[Customer ID]],customers!$A$2:$A$1001,customers!$I$2:$I$1001,,0)</f>
        <v>Yes</v>
      </c>
    </row>
    <row r="918" spans="1:15" x14ac:dyDescent="0.3">
      <c r="A918" s="2" t="s">
        <v>5672</v>
      </c>
      <c r="B918" s="3">
        <v>44291</v>
      </c>
      <c r="C918" s="2" t="s">
        <v>5673</v>
      </c>
      <c r="D918" t="s">
        <v>6153</v>
      </c>
      <c r="E918" s="2">
        <v>1</v>
      </c>
      <c r="F918" s="2" t="str">
        <f>_xlfn.XLOOKUP(C918,customers!$A$2:$A$1001,customers!$B$2:$B$1001,,0)</f>
        <v>Harland Trematick</v>
      </c>
      <c r="G918" s="2" t="str">
        <f>_xlfn.XLOOKUP(C918,customers!$A$2:$A$1001,customers!$G$2:$G$1001,,0)</f>
        <v>Ireland</v>
      </c>
      <c r="H918" t="str">
        <f>INDEX(products!$A$1:$G$49,MATCH(orders!$D918,products!$A$1:$A$49,0),MATCH(orders!H$1,products!$A$1:$G$1,0))</f>
        <v>Exc</v>
      </c>
      <c r="I918" t="str">
        <f>INDEX(products!$A$1:$G$49,MATCH(orders!$D918,products!$A$1:$A$49,0),MATCH(orders!I$1,products!$A$1:$G$1,0))</f>
        <v>D</v>
      </c>
      <c r="J918" s="5">
        <f>INDEX(products!$A$1:$G$49,MATCH(orders!$D918,products!$A$1:$A$49,0),MATCH(orders!J$1,products!$A$1:$G$1,0))</f>
        <v>0.2</v>
      </c>
      <c r="K918" s="6">
        <f>INDEX(products!$A$1:$G$49,MATCH(orders!$D918,products!$A$1:$A$49,0),MATCH(orders!K$1,products!$A$1:$G$1,0))</f>
        <v>3.645</v>
      </c>
      <c r="L918" s="6">
        <f>K918*E918</f>
        <v>3.645</v>
      </c>
      <c r="M918" t="str" cm="1">
        <f t="array" ref="M918">_xlfn.IFS(H918="Rob","Robusta",H918="Exc","Excelsa",H918="Ara","Arabica",H918="Lib","Liberica")</f>
        <v>Excelsa</v>
      </c>
      <c r="N918" t="str" cm="1">
        <f t="array" ref="N918">_xlfn.IFS(I918="M","Medium",I918="L","Light",I918="D","Dark")</f>
        <v>Dark</v>
      </c>
      <c r="O918" t="str">
        <f>_xlfn.XLOOKUP(Orders[[#This Row],[Customer ID]],customers!$A$2:$A$1001,customers!$I$2:$I$1001,,0)</f>
        <v>Yes</v>
      </c>
    </row>
    <row r="919" spans="1:15" x14ac:dyDescent="0.3">
      <c r="A919" s="2" t="s">
        <v>5676</v>
      </c>
      <c r="B919" s="3">
        <v>44573</v>
      </c>
      <c r="C919" s="2" t="s">
        <v>5677</v>
      </c>
      <c r="D919" t="s">
        <v>6157</v>
      </c>
      <c r="E919" s="2">
        <v>1</v>
      </c>
      <c r="F919" s="2" t="str">
        <f>_xlfn.XLOOKUP(C919,customers!$A$2:$A$1001,customers!$B$2:$B$1001,,0)</f>
        <v>Chloris Sorrell</v>
      </c>
      <c r="G919" s="2" t="str">
        <f>_xlfn.XLOOKUP(C919,customers!$A$2:$A$1001,customers!$G$2:$G$1001,,0)</f>
        <v>United Kingdom</v>
      </c>
      <c r="H919" t="str">
        <f>INDEX(products!$A$1:$G$49,MATCH(orders!$D919,products!$A$1:$A$49,0),MATCH(orders!H$1,products!$A$1:$G$1,0))</f>
        <v>Ara</v>
      </c>
      <c r="I919" t="str">
        <f>INDEX(products!$A$1:$G$49,MATCH(orders!$D919,products!$A$1:$A$49,0),MATCH(orders!I$1,products!$A$1:$G$1,0))</f>
        <v>M</v>
      </c>
      <c r="J919" s="5">
        <f>INDEX(products!$A$1:$G$49,MATCH(orders!$D919,products!$A$1:$A$49,0),MATCH(orders!J$1,products!$A$1:$G$1,0))</f>
        <v>0.5</v>
      </c>
      <c r="K919" s="6">
        <f>INDEX(products!$A$1:$G$49,MATCH(orders!$D919,products!$A$1:$A$49,0),MATCH(orders!K$1,products!$A$1:$G$1,0))</f>
        <v>6.75</v>
      </c>
      <c r="L919" s="6">
        <f>K919*E919</f>
        <v>6.75</v>
      </c>
      <c r="M919" t="str" cm="1">
        <f t="array" ref="M919">_xlfn.IFS(H919="Rob","Robusta",H919="Exc","Excelsa",H919="Ara","Arabica",H919="Lib","Liberica")</f>
        <v>Arabica</v>
      </c>
      <c r="N919" t="str" cm="1">
        <f t="array" ref="N919">_xlfn.IFS(I919="M","Medium",I919="L","Light",I919="D","Dark")</f>
        <v>Medium</v>
      </c>
      <c r="O919" t="str">
        <f>_xlfn.XLOOKUP(Orders[[#This Row],[Customer ID]],customers!$A$2:$A$1001,customers!$I$2:$I$1001,,0)</f>
        <v>No</v>
      </c>
    </row>
    <row r="920" spans="1:15" x14ac:dyDescent="0.3">
      <c r="A920" s="2" t="s">
        <v>5676</v>
      </c>
      <c r="B920" s="3">
        <v>44573</v>
      </c>
      <c r="C920" s="2" t="s">
        <v>5677</v>
      </c>
      <c r="D920" t="s">
        <v>6144</v>
      </c>
      <c r="E920" s="2">
        <v>3</v>
      </c>
      <c r="F920" s="2" t="str">
        <f>_xlfn.XLOOKUP(C920,customers!$A$2:$A$1001,customers!$B$2:$B$1001,,0)</f>
        <v>Chloris Sorrell</v>
      </c>
      <c r="G920" s="2" t="str">
        <f>_xlfn.XLOOKUP(C920,customers!$A$2:$A$1001,customers!$G$2:$G$1001,,0)</f>
        <v>United Kingdom</v>
      </c>
      <c r="H920" t="str">
        <f>INDEX(products!$A$1:$G$49,MATCH(orders!$D920,products!$A$1:$A$49,0),MATCH(orders!H$1,products!$A$1:$G$1,0))</f>
        <v>Exc</v>
      </c>
      <c r="I920" t="str">
        <f>INDEX(products!$A$1:$G$49,MATCH(orders!$D920,products!$A$1:$A$49,0),MATCH(orders!I$1,products!$A$1:$G$1,0))</f>
        <v>D</v>
      </c>
      <c r="J920" s="5">
        <f>INDEX(products!$A$1:$G$49,MATCH(orders!$D920,products!$A$1:$A$49,0),MATCH(orders!J$1,products!$A$1:$G$1,0))</f>
        <v>0.5</v>
      </c>
      <c r="K920" s="6">
        <f>INDEX(products!$A$1:$G$49,MATCH(orders!$D920,products!$A$1:$A$49,0),MATCH(orders!K$1,products!$A$1:$G$1,0))</f>
        <v>7.29</v>
      </c>
      <c r="L920" s="6">
        <f>K920*E920</f>
        <v>21.87</v>
      </c>
      <c r="M920" t="str" cm="1">
        <f t="array" ref="M920">_xlfn.IFS(H920="Rob","Robusta",H920="Exc","Excelsa",H920="Ara","Arabica",H920="Lib","Liberica")</f>
        <v>Excelsa</v>
      </c>
      <c r="N920" t="str" cm="1">
        <f t="array" ref="N920">_xlfn.IFS(I920="M","Medium",I920="L","Light",I920="D","Dark")</f>
        <v>Dark</v>
      </c>
      <c r="O920" t="str">
        <f>_xlfn.XLOOKUP(Orders[[#This Row],[Customer ID]],customers!$A$2:$A$1001,customers!$I$2:$I$1001,,0)</f>
        <v>No</v>
      </c>
    </row>
    <row r="921" spans="1:15" x14ac:dyDescent="0.3">
      <c r="A921" s="2" t="s">
        <v>5687</v>
      </c>
      <c r="B921" s="3">
        <v>44181</v>
      </c>
      <c r="C921" s="2" t="s">
        <v>5688</v>
      </c>
      <c r="D921" t="s">
        <v>6163</v>
      </c>
      <c r="E921" s="2">
        <v>5</v>
      </c>
      <c r="F921" s="2" t="str">
        <f>_xlfn.XLOOKUP(C921,customers!$A$2:$A$1001,customers!$B$2:$B$1001,,0)</f>
        <v>Quintina Heavyside</v>
      </c>
      <c r="G921" s="2" t="str">
        <f>_xlfn.XLOOKUP(C921,customers!$A$2:$A$1001,customers!$G$2:$G$1001,,0)</f>
        <v>United States</v>
      </c>
      <c r="H921" t="str">
        <f>INDEX(products!$A$1:$G$49,MATCH(orders!$D921,products!$A$1:$A$49,0),MATCH(orders!H$1,products!$A$1:$G$1,0))</f>
        <v>Rob</v>
      </c>
      <c r="I921" t="str">
        <f>INDEX(products!$A$1:$G$49,MATCH(orders!$D921,products!$A$1:$A$49,0),MATCH(orders!I$1,products!$A$1:$G$1,0))</f>
        <v>D</v>
      </c>
      <c r="J921" s="5">
        <f>INDEX(products!$A$1:$G$49,MATCH(orders!$D921,products!$A$1:$A$49,0),MATCH(orders!J$1,products!$A$1:$G$1,0))</f>
        <v>0.2</v>
      </c>
      <c r="K921" s="6">
        <f>INDEX(products!$A$1:$G$49,MATCH(orders!$D921,products!$A$1:$A$49,0),MATCH(orders!K$1,products!$A$1:$G$1,0))</f>
        <v>2.6849999999999996</v>
      </c>
      <c r="L921" s="6">
        <f>K921*E921</f>
        <v>13.424999999999997</v>
      </c>
      <c r="M921" t="str" cm="1">
        <f t="array" ref="M921">_xlfn.IFS(H921="Rob","Robusta",H921="Exc","Excelsa",H921="Ara","Arabica",H921="Lib","Liberica")</f>
        <v>Robusta</v>
      </c>
      <c r="N921" t="str" cm="1">
        <f t="array" ref="N921">_xlfn.IFS(I921="M","Medium",I921="L","Light",I921="D","Dark")</f>
        <v>Dark</v>
      </c>
      <c r="O921" t="str">
        <f>_xlfn.XLOOKUP(Orders[[#This Row],[Customer ID]],customers!$A$2:$A$1001,customers!$I$2:$I$1001,,0)</f>
        <v>Yes</v>
      </c>
    </row>
    <row r="922" spans="1:15" x14ac:dyDescent="0.3">
      <c r="A922" s="2" t="s">
        <v>5693</v>
      </c>
      <c r="B922" s="3">
        <v>44711</v>
      </c>
      <c r="C922" s="2" t="s">
        <v>5694</v>
      </c>
      <c r="D922" t="s">
        <v>6149</v>
      </c>
      <c r="E922" s="2">
        <v>6</v>
      </c>
      <c r="F922" s="2" t="str">
        <f>_xlfn.XLOOKUP(C922,customers!$A$2:$A$1001,customers!$B$2:$B$1001,,0)</f>
        <v>Hadley Reuven</v>
      </c>
      <c r="G922" s="2" t="str">
        <f>_xlfn.XLOOKUP(C922,customers!$A$2:$A$1001,customers!$G$2:$G$1001,,0)</f>
        <v>United States</v>
      </c>
      <c r="H922" t="str">
        <f>INDEX(products!$A$1:$G$49,MATCH(orders!$D922,products!$A$1:$A$49,0),MATCH(orders!H$1,products!$A$1:$G$1,0))</f>
        <v>Rob</v>
      </c>
      <c r="I922" t="str">
        <f>INDEX(products!$A$1:$G$49,MATCH(orders!$D922,products!$A$1:$A$49,0),MATCH(orders!I$1,products!$A$1:$G$1,0))</f>
        <v>D</v>
      </c>
      <c r="J922" s="5">
        <f>INDEX(products!$A$1:$G$49,MATCH(orders!$D922,products!$A$1:$A$49,0),MATCH(orders!J$1,products!$A$1:$G$1,0))</f>
        <v>2.5</v>
      </c>
      <c r="K922" s="6">
        <f>INDEX(products!$A$1:$G$49,MATCH(orders!$D922,products!$A$1:$A$49,0),MATCH(orders!K$1,products!$A$1:$G$1,0))</f>
        <v>20.584999999999997</v>
      </c>
      <c r="L922" s="6">
        <f>K922*E922</f>
        <v>123.50999999999999</v>
      </c>
      <c r="M922" t="str" cm="1">
        <f t="array" ref="M922">_xlfn.IFS(H922="Rob","Robusta",H922="Exc","Excelsa",H922="Ara","Arabica",H922="Lib","Liberica")</f>
        <v>Robusta</v>
      </c>
      <c r="N922" t="str" cm="1">
        <f t="array" ref="N922">_xlfn.IFS(I922="M","Medium",I922="L","Light",I922="D","Dark")</f>
        <v>Dark</v>
      </c>
      <c r="O922" t="str">
        <f>_xlfn.XLOOKUP(Orders[[#This Row],[Customer ID]],customers!$A$2:$A$1001,customers!$I$2:$I$1001,,0)</f>
        <v>No</v>
      </c>
    </row>
    <row r="923" spans="1:15" x14ac:dyDescent="0.3">
      <c r="A923" s="2" t="s">
        <v>5699</v>
      </c>
      <c r="B923" s="3">
        <v>44509</v>
      </c>
      <c r="C923" s="2" t="s">
        <v>5700</v>
      </c>
      <c r="D923" t="s">
        <v>6150</v>
      </c>
      <c r="E923" s="2">
        <v>2</v>
      </c>
      <c r="F923" s="2" t="str">
        <f>_xlfn.XLOOKUP(C923,customers!$A$2:$A$1001,customers!$B$2:$B$1001,,0)</f>
        <v>Mitch Attwool</v>
      </c>
      <c r="G923" s="2" t="str">
        <f>_xlfn.XLOOKUP(C923,customers!$A$2:$A$1001,customers!$G$2:$G$1001,,0)</f>
        <v>United States</v>
      </c>
      <c r="H923" t="str">
        <f>INDEX(products!$A$1:$G$49,MATCH(orders!$D923,products!$A$1:$A$49,0),MATCH(orders!H$1,products!$A$1:$G$1,0))</f>
        <v>Lib</v>
      </c>
      <c r="I923" t="str">
        <f>INDEX(products!$A$1:$G$49,MATCH(orders!$D923,products!$A$1:$A$49,0),MATCH(orders!I$1,products!$A$1:$G$1,0))</f>
        <v>D</v>
      </c>
      <c r="J923" s="5">
        <f>INDEX(products!$A$1:$G$49,MATCH(orders!$D923,products!$A$1:$A$49,0),MATCH(orders!J$1,products!$A$1:$G$1,0))</f>
        <v>0.2</v>
      </c>
      <c r="K923" s="6">
        <f>INDEX(products!$A$1:$G$49,MATCH(orders!$D923,products!$A$1:$A$49,0),MATCH(orders!K$1,products!$A$1:$G$1,0))</f>
        <v>3.8849999999999998</v>
      </c>
      <c r="L923" s="6">
        <f>K923*E923</f>
        <v>7.77</v>
      </c>
      <c r="M923" t="str" cm="1">
        <f t="array" ref="M923">_xlfn.IFS(H923="Rob","Robusta",H923="Exc","Excelsa",H923="Ara","Arabica",H923="Lib","Liberica")</f>
        <v>Liberica</v>
      </c>
      <c r="N923" t="str" cm="1">
        <f t="array" ref="N923">_xlfn.IFS(I923="M","Medium",I923="L","Light",I923="D","Dark")</f>
        <v>Dark</v>
      </c>
      <c r="O923" t="str">
        <f>_xlfn.XLOOKUP(Orders[[#This Row],[Customer ID]],customers!$A$2:$A$1001,customers!$I$2:$I$1001,,0)</f>
        <v>No</v>
      </c>
    </row>
    <row r="924" spans="1:15" x14ac:dyDescent="0.3">
      <c r="A924" s="2" t="s">
        <v>5705</v>
      </c>
      <c r="B924" s="3">
        <v>44659</v>
      </c>
      <c r="C924" s="2" t="s">
        <v>5706</v>
      </c>
      <c r="D924" t="s">
        <v>6155</v>
      </c>
      <c r="E924" s="2">
        <v>6</v>
      </c>
      <c r="F924" s="2" t="str">
        <f>_xlfn.XLOOKUP(C924,customers!$A$2:$A$1001,customers!$B$2:$B$1001,,0)</f>
        <v>Charin Maplethorp</v>
      </c>
      <c r="G924" s="2" t="str">
        <f>_xlfn.XLOOKUP(C924,customers!$A$2:$A$1001,customers!$G$2:$G$1001,,0)</f>
        <v>United States</v>
      </c>
      <c r="H924" t="str">
        <f>INDEX(products!$A$1:$G$49,MATCH(orders!$D924,products!$A$1:$A$49,0),MATCH(orders!H$1,products!$A$1:$G$1,0))</f>
        <v>Ara</v>
      </c>
      <c r="I924" t="str">
        <f>INDEX(products!$A$1:$G$49,MATCH(orders!$D924,products!$A$1:$A$49,0),MATCH(orders!I$1,products!$A$1:$G$1,0))</f>
        <v>M</v>
      </c>
      <c r="J924" s="5">
        <f>INDEX(products!$A$1:$G$49,MATCH(orders!$D924,products!$A$1:$A$49,0),MATCH(orders!J$1,products!$A$1:$G$1,0))</f>
        <v>1</v>
      </c>
      <c r="K924" s="6">
        <f>INDEX(products!$A$1:$G$49,MATCH(orders!$D924,products!$A$1:$A$49,0),MATCH(orders!K$1,products!$A$1:$G$1,0))</f>
        <v>11.25</v>
      </c>
      <c r="L924" s="6">
        <f>K924*E924</f>
        <v>67.5</v>
      </c>
      <c r="M924" t="str" cm="1">
        <f t="array" ref="M924">_xlfn.IFS(H924="Rob","Robusta",H924="Exc","Excelsa",H924="Ara","Arabica",H924="Lib","Liberica")</f>
        <v>Arabica</v>
      </c>
      <c r="N924" t="str" cm="1">
        <f t="array" ref="N924">_xlfn.IFS(I924="M","Medium",I924="L","Light",I924="D","Dark")</f>
        <v>Medium</v>
      </c>
      <c r="O924" t="str">
        <f>_xlfn.XLOOKUP(Orders[[#This Row],[Customer ID]],customers!$A$2:$A$1001,customers!$I$2:$I$1001,,0)</f>
        <v>Yes</v>
      </c>
    </row>
    <row r="925" spans="1:15" x14ac:dyDescent="0.3">
      <c r="A925" s="2" t="s">
        <v>5709</v>
      </c>
      <c r="B925" s="3">
        <v>43746</v>
      </c>
      <c r="C925" s="2" t="s">
        <v>5710</v>
      </c>
      <c r="D925" t="s">
        <v>6185</v>
      </c>
      <c r="E925" s="2">
        <v>1</v>
      </c>
      <c r="F925" s="2" t="str">
        <f>_xlfn.XLOOKUP(C925,customers!$A$2:$A$1001,customers!$B$2:$B$1001,,0)</f>
        <v>Goldie Wynes</v>
      </c>
      <c r="G925" s="2" t="str">
        <f>_xlfn.XLOOKUP(C925,customers!$A$2:$A$1001,customers!$G$2:$G$1001,,0)</f>
        <v>United States</v>
      </c>
      <c r="H925" t="str">
        <f>INDEX(products!$A$1:$G$49,MATCH(orders!$D925,products!$A$1:$A$49,0),MATCH(orders!H$1,products!$A$1:$G$1,0))</f>
        <v>Exc</v>
      </c>
      <c r="I925" t="str">
        <f>INDEX(products!$A$1:$G$49,MATCH(orders!$D925,products!$A$1:$A$49,0),MATCH(orders!I$1,products!$A$1:$G$1,0))</f>
        <v>D</v>
      </c>
      <c r="J925" s="5">
        <f>INDEX(products!$A$1:$G$49,MATCH(orders!$D925,products!$A$1:$A$49,0),MATCH(orders!J$1,products!$A$1:$G$1,0))</f>
        <v>2.5</v>
      </c>
      <c r="K925" s="6">
        <f>INDEX(products!$A$1:$G$49,MATCH(orders!$D925,products!$A$1:$A$49,0),MATCH(orders!K$1,products!$A$1:$G$1,0))</f>
        <v>27.945</v>
      </c>
      <c r="L925" s="6">
        <f>K925*E925</f>
        <v>27.945</v>
      </c>
      <c r="M925" t="str" cm="1">
        <f t="array" ref="M925">_xlfn.IFS(H925="Rob","Robusta",H925="Exc","Excelsa",H925="Ara","Arabica",H925="Lib","Liberica")</f>
        <v>Excelsa</v>
      </c>
      <c r="N925" t="str" cm="1">
        <f t="array" ref="N925">_xlfn.IFS(I925="M","Medium",I925="L","Light",I925="D","Dark")</f>
        <v>Dark</v>
      </c>
      <c r="O925" t="str">
        <f>_xlfn.XLOOKUP(Orders[[#This Row],[Customer ID]],customers!$A$2:$A$1001,customers!$I$2:$I$1001,,0)</f>
        <v>No</v>
      </c>
    </row>
    <row r="926" spans="1:15" x14ac:dyDescent="0.3">
      <c r="A926" s="2" t="s">
        <v>5715</v>
      </c>
      <c r="B926" s="3">
        <v>44451</v>
      </c>
      <c r="C926" s="2" t="s">
        <v>5716</v>
      </c>
      <c r="D926" t="s">
        <v>6182</v>
      </c>
      <c r="E926" s="2">
        <v>3</v>
      </c>
      <c r="F926" s="2" t="str">
        <f>_xlfn.XLOOKUP(C926,customers!$A$2:$A$1001,customers!$B$2:$B$1001,,0)</f>
        <v>Celie MacCourt</v>
      </c>
      <c r="G926" s="2" t="str">
        <f>_xlfn.XLOOKUP(C926,customers!$A$2:$A$1001,customers!$G$2:$G$1001,,0)</f>
        <v>United States</v>
      </c>
      <c r="H926" t="str">
        <f>INDEX(products!$A$1:$G$49,MATCH(orders!$D926,products!$A$1:$A$49,0),MATCH(orders!H$1,products!$A$1:$G$1,0))</f>
        <v>Ara</v>
      </c>
      <c r="I926" t="str">
        <f>INDEX(products!$A$1:$G$49,MATCH(orders!$D926,products!$A$1:$A$49,0),MATCH(orders!I$1,products!$A$1:$G$1,0))</f>
        <v>L</v>
      </c>
      <c r="J926" s="5">
        <f>INDEX(products!$A$1:$G$49,MATCH(orders!$D926,products!$A$1:$A$49,0),MATCH(orders!J$1,products!$A$1:$G$1,0))</f>
        <v>2.5</v>
      </c>
      <c r="K926" s="6">
        <f>INDEX(products!$A$1:$G$49,MATCH(orders!$D926,products!$A$1:$A$49,0),MATCH(orders!K$1,products!$A$1:$G$1,0))</f>
        <v>29.784999999999997</v>
      </c>
      <c r="L926" s="6">
        <f>K926*E926</f>
        <v>89.35499999999999</v>
      </c>
      <c r="M926" t="str" cm="1">
        <f t="array" ref="M926">_xlfn.IFS(H926="Rob","Robusta",H926="Exc","Excelsa",H926="Ara","Arabica",H926="Lib","Liberica")</f>
        <v>Arabica</v>
      </c>
      <c r="N926" t="str" cm="1">
        <f t="array" ref="N926">_xlfn.IFS(I926="M","Medium",I926="L","Light",I926="D","Dark")</f>
        <v>Light</v>
      </c>
      <c r="O926" t="str">
        <f>_xlfn.XLOOKUP(Orders[[#This Row],[Customer ID]],customers!$A$2:$A$1001,customers!$I$2:$I$1001,,0)</f>
        <v>No</v>
      </c>
    </row>
    <row r="927" spans="1:15" x14ac:dyDescent="0.3">
      <c r="A927" s="2" t="s">
        <v>5720</v>
      </c>
      <c r="B927" s="3">
        <v>44770</v>
      </c>
      <c r="C927" s="2" t="s">
        <v>5554</v>
      </c>
      <c r="D927" t="s">
        <v>6157</v>
      </c>
      <c r="E927" s="2">
        <v>3</v>
      </c>
      <c r="F927" s="2" t="str">
        <f>_xlfn.XLOOKUP(C927,customers!$A$2:$A$1001,customers!$B$2:$B$1001,,0)</f>
        <v>Derick Snow</v>
      </c>
      <c r="G927" s="2" t="str">
        <f>_xlfn.XLOOKUP(C927,customers!$A$2:$A$1001,customers!$G$2:$G$1001,,0)</f>
        <v>United States</v>
      </c>
      <c r="H927" t="str">
        <f>INDEX(products!$A$1:$G$49,MATCH(orders!$D927,products!$A$1:$A$49,0),MATCH(orders!H$1,products!$A$1:$G$1,0))</f>
        <v>Ara</v>
      </c>
      <c r="I927" t="str">
        <f>INDEX(products!$A$1:$G$49,MATCH(orders!$D927,products!$A$1:$A$49,0),MATCH(orders!I$1,products!$A$1:$G$1,0))</f>
        <v>M</v>
      </c>
      <c r="J927" s="5">
        <f>INDEX(products!$A$1:$G$49,MATCH(orders!$D927,products!$A$1:$A$49,0),MATCH(orders!J$1,products!$A$1:$G$1,0))</f>
        <v>0.5</v>
      </c>
      <c r="K927" s="6">
        <f>INDEX(products!$A$1:$G$49,MATCH(orders!$D927,products!$A$1:$A$49,0),MATCH(orders!K$1,products!$A$1:$G$1,0))</f>
        <v>6.75</v>
      </c>
      <c r="L927" s="6">
        <f>K927*E927</f>
        <v>20.25</v>
      </c>
      <c r="M927" t="str" cm="1">
        <f t="array" ref="M927">_xlfn.IFS(H927="Rob","Robusta",H927="Exc","Excelsa",H927="Ara","Arabica",H927="Lib","Liberica")</f>
        <v>Arabica</v>
      </c>
      <c r="N927" t="str" cm="1">
        <f t="array" ref="N927">_xlfn.IFS(I927="M","Medium",I927="L","Light",I927="D","Dark")</f>
        <v>Medium</v>
      </c>
      <c r="O927" t="str">
        <f>_xlfn.XLOOKUP(Orders[[#This Row],[Customer ID]],customers!$A$2:$A$1001,customers!$I$2:$I$1001,,0)</f>
        <v>No</v>
      </c>
    </row>
    <row r="928" spans="1:15" x14ac:dyDescent="0.3">
      <c r="A928" s="2" t="s">
        <v>5725</v>
      </c>
      <c r="B928" s="3">
        <v>44012</v>
      </c>
      <c r="C928" s="2" t="s">
        <v>5726</v>
      </c>
      <c r="D928" t="s">
        <v>6157</v>
      </c>
      <c r="E928" s="2">
        <v>5</v>
      </c>
      <c r="F928" s="2" t="str">
        <f>_xlfn.XLOOKUP(C928,customers!$A$2:$A$1001,customers!$B$2:$B$1001,,0)</f>
        <v>Evy Wilsone</v>
      </c>
      <c r="G928" s="2" t="str">
        <f>_xlfn.XLOOKUP(C928,customers!$A$2:$A$1001,customers!$G$2:$G$1001,,0)</f>
        <v>United States</v>
      </c>
      <c r="H928" t="str">
        <f>INDEX(products!$A$1:$G$49,MATCH(orders!$D928,products!$A$1:$A$49,0),MATCH(orders!H$1,products!$A$1:$G$1,0))</f>
        <v>Ara</v>
      </c>
      <c r="I928" t="str">
        <f>INDEX(products!$A$1:$G$49,MATCH(orders!$D928,products!$A$1:$A$49,0),MATCH(orders!I$1,products!$A$1:$G$1,0))</f>
        <v>M</v>
      </c>
      <c r="J928" s="5">
        <f>INDEX(products!$A$1:$G$49,MATCH(orders!$D928,products!$A$1:$A$49,0),MATCH(orders!J$1,products!$A$1:$G$1,0))</f>
        <v>0.5</v>
      </c>
      <c r="K928" s="6">
        <f>INDEX(products!$A$1:$G$49,MATCH(orders!$D928,products!$A$1:$A$49,0),MATCH(orders!K$1,products!$A$1:$G$1,0))</f>
        <v>6.75</v>
      </c>
      <c r="L928" s="6">
        <f>K928*E928</f>
        <v>33.75</v>
      </c>
      <c r="M928" t="str" cm="1">
        <f t="array" ref="M928">_xlfn.IFS(H928="Rob","Robusta",H928="Exc","Excelsa",H928="Ara","Arabica",H928="Lib","Liberica")</f>
        <v>Arabica</v>
      </c>
      <c r="N928" t="str" cm="1">
        <f t="array" ref="N928">_xlfn.IFS(I928="M","Medium",I928="L","Light",I928="D","Dark")</f>
        <v>Medium</v>
      </c>
      <c r="O928" t="str">
        <f>_xlfn.XLOOKUP(Orders[[#This Row],[Customer ID]],customers!$A$2:$A$1001,customers!$I$2:$I$1001,,0)</f>
        <v>Yes</v>
      </c>
    </row>
    <row r="929" spans="1:15" x14ac:dyDescent="0.3">
      <c r="A929" s="2" t="s">
        <v>5731</v>
      </c>
      <c r="B929" s="3">
        <v>43474</v>
      </c>
      <c r="C929" s="2" t="s">
        <v>5732</v>
      </c>
      <c r="D929" t="s">
        <v>6185</v>
      </c>
      <c r="E929" s="2">
        <v>4</v>
      </c>
      <c r="F929" s="2" t="str">
        <f>_xlfn.XLOOKUP(C929,customers!$A$2:$A$1001,customers!$B$2:$B$1001,,0)</f>
        <v>Dolores Duffie</v>
      </c>
      <c r="G929" s="2" t="str">
        <f>_xlfn.XLOOKUP(C929,customers!$A$2:$A$1001,customers!$G$2:$G$1001,,0)</f>
        <v>United States</v>
      </c>
      <c r="H929" t="str">
        <f>INDEX(products!$A$1:$G$49,MATCH(orders!$D929,products!$A$1:$A$49,0),MATCH(orders!H$1,products!$A$1:$G$1,0))</f>
        <v>Exc</v>
      </c>
      <c r="I929" t="str">
        <f>INDEX(products!$A$1:$G$49,MATCH(orders!$D929,products!$A$1:$A$49,0),MATCH(orders!I$1,products!$A$1:$G$1,0))</f>
        <v>D</v>
      </c>
      <c r="J929" s="5">
        <f>INDEX(products!$A$1:$G$49,MATCH(orders!$D929,products!$A$1:$A$49,0),MATCH(orders!J$1,products!$A$1:$G$1,0))</f>
        <v>2.5</v>
      </c>
      <c r="K929" s="6">
        <f>INDEX(products!$A$1:$G$49,MATCH(orders!$D929,products!$A$1:$A$49,0),MATCH(orders!K$1,products!$A$1:$G$1,0))</f>
        <v>27.945</v>
      </c>
      <c r="L929" s="6">
        <f>K929*E929</f>
        <v>111.78</v>
      </c>
      <c r="M929" t="str" cm="1">
        <f t="array" ref="M929">_xlfn.IFS(H929="Rob","Robusta",H929="Exc","Excelsa",H929="Ara","Arabica",H929="Lib","Liberica")</f>
        <v>Excelsa</v>
      </c>
      <c r="N929" t="str" cm="1">
        <f t="array" ref="N929">_xlfn.IFS(I929="M","Medium",I929="L","Light",I929="D","Dark")</f>
        <v>Dark</v>
      </c>
      <c r="O929" t="str">
        <f>_xlfn.XLOOKUP(Orders[[#This Row],[Customer ID]],customers!$A$2:$A$1001,customers!$I$2:$I$1001,,0)</f>
        <v>No</v>
      </c>
    </row>
    <row r="930" spans="1:15" x14ac:dyDescent="0.3">
      <c r="A930" s="2" t="s">
        <v>5737</v>
      </c>
      <c r="B930" s="3">
        <v>44754</v>
      </c>
      <c r="C930" s="2" t="s">
        <v>5738</v>
      </c>
      <c r="D930" t="s">
        <v>6166</v>
      </c>
      <c r="E930" s="2">
        <v>2</v>
      </c>
      <c r="F930" s="2" t="str">
        <f>_xlfn.XLOOKUP(C930,customers!$A$2:$A$1001,customers!$B$2:$B$1001,,0)</f>
        <v>Mathilda Matiasek</v>
      </c>
      <c r="G930" s="2" t="str">
        <f>_xlfn.XLOOKUP(C930,customers!$A$2:$A$1001,customers!$G$2:$G$1001,,0)</f>
        <v>United States</v>
      </c>
      <c r="H930" t="str">
        <f>INDEX(products!$A$1:$G$49,MATCH(orders!$D930,products!$A$1:$A$49,0),MATCH(orders!H$1,products!$A$1:$G$1,0))</f>
        <v>Exc</v>
      </c>
      <c r="I930" t="str">
        <f>INDEX(products!$A$1:$G$49,MATCH(orders!$D930,products!$A$1:$A$49,0),MATCH(orders!I$1,products!$A$1:$G$1,0))</f>
        <v>M</v>
      </c>
      <c r="J930" s="5">
        <f>INDEX(products!$A$1:$G$49,MATCH(orders!$D930,products!$A$1:$A$49,0),MATCH(orders!J$1,products!$A$1:$G$1,0))</f>
        <v>2.5</v>
      </c>
      <c r="K930" s="6">
        <f>INDEX(products!$A$1:$G$49,MATCH(orders!$D930,products!$A$1:$A$49,0),MATCH(orders!K$1,products!$A$1:$G$1,0))</f>
        <v>31.624999999999996</v>
      </c>
      <c r="L930" s="6">
        <f>K930*E930</f>
        <v>63.249999999999993</v>
      </c>
      <c r="M930" t="str" cm="1">
        <f t="array" ref="M930">_xlfn.IFS(H930="Rob","Robusta",H930="Exc","Excelsa",H930="Ara","Arabica",H930="Lib","Liberica")</f>
        <v>Excelsa</v>
      </c>
      <c r="N930" t="str" cm="1">
        <f t="array" ref="N930">_xlfn.IFS(I930="M","Medium",I930="L","Light",I930="D","Dark")</f>
        <v>Medium</v>
      </c>
      <c r="O930" t="str">
        <f>_xlfn.XLOOKUP(Orders[[#This Row],[Customer ID]],customers!$A$2:$A$1001,customers!$I$2:$I$1001,,0)</f>
        <v>Yes</v>
      </c>
    </row>
    <row r="931" spans="1:15" x14ac:dyDescent="0.3">
      <c r="A931" s="2" t="s">
        <v>5742</v>
      </c>
      <c r="B931" s="3">
        <v>44165</v>
      </c>
      <c r="C931" s="2" t="s">
        <v>5743</v>
      </c>
      <c r="D931" t="s">
        <v>6184</v>
      </c>
      <c r="E931" s="2">
        <v>2</v>
      </c>
      <c r="F931" s="2" t="str">
        <f>_xlfn.XLOOKUP(C931,customers!$A$2:$A$1001,customers!$B$2:$B$1001,,0)</f>
        <v>Jarred Camillo</v>
      </c>
      <c r="G931" s="2" t="str">
        <f>_xlfn.XLOOKUP(C931,customers!$A$2:$A$1001,customers!$G$2:$G$1001,,0)</f>
        <v>United States</v>
      </c>
      <c r="H931" t="str">
        <f>INDEX(products!$A$1:$G$49,MATCH(orders!$D931,products!$A$1:$A$49,0),MATCH(orders!H$1,products!$A$1:$G$1,0))</f>
        <v>Exc</v>
      </c>
      <c r="I931" t="str">
        <f>INDEX(products!$A$1:$G$49,MATCH(orders!$D931,products!$A$1:$A$49,0),MATCH(orders!I$1,products!$A$1:$G$1,0))</f>
        <v>L</v>
      </c>
      <c r="J931" s="5">
        <f>INDEX(products!$A$1:$G$49,MATCH(orders!$D931,products!$A$1:$A$49,0),MATCH(orders!J$1,products!$A$1:$G$1,0))</f>
        <v>0.2</v>
      </c>
      <c r="K931" s="6">
        <f>INDEX(products!$A$1:$G$49,MATCH(orders!$D931,products!$A$1:$A$49,0),MATCH(orders!K$1,products!$A$1:$G$1,0))</f>
        <v>4.4550000000000001</v>
      </c>
      <c r="L931" s="6">
        <f>K931*E931</f>
        <v>8.91</v>
      </c>
      <c r="M931" t="str" cm="1">
        <f t="array" ref="M931">_xlfn.IFS(H931="Rob","Robusta",H931="Exc","Excelsa",H931="Ara","Arabica",H931="Lib","Liberica")</f>
        <v>Excelsa</v>
      </c>
      <c r="N931" t="str" cm="1">
        <f t="array" ref="N931">_xlfn.IFS(I931="M","Medium",I931="L","Light",I931="D","Dark")</f>
        <v>Light</v>
      </c>
      <c r="O931" t="str">
        <f>_xlfn.XLOOKUP(Orders[[#This Row],[Customer ID]],customers!$A$2:$A$1001,customers!$I$2:$I$1001,,0)</f>
        <v>Yes</v>
      </c>
    </row>
    <row r="932" spans="1:15" x14ac:dyDescent="0.3">
      <c r="A932" s="2" t="s">
        <v>5748</v>
      </c>
      <c r="B932" s="3">
        <v>43546</v>
      </c>
      <c r="C932" s="2" t="s">
        <v>5749</v>
      </c>
      <c r="D932" t="s">
        <v>6183</v>
      </c>
      <c r="E932" s="2">
        <v>1</v>
      </c>
      <c r="F932" s="2" t="str">
        <f>_xlfn.XLOOKUP(C932,customers!$A$2:$A$1001,customers!$B$2:$B$1001,,0)</f>
        <v>Kameko Philbrick</v>
      </c>
      <c r="G932" s="2" t="str">
        <f>_xlfn.XLOOKUP(C932,customers!$A$2:$A$1001,customers!$G$2:$G$1001,,0)</f>
        <v>United States</v>
      </c>
      <c r="H932" t="str">
        <f>INDEX(products!$A$1:$G$49,MATCH(orders!$D932,products!$A$1:$A$49,0),MATCH(orders!H$1,products!$A$1:$G$1,0))</f>
        <v>Exc</v>
      </c>
      <c r="I932" t="str">
        <f>INDEX(products!$A$1:$G$49,MATCH(orders!$D932,products!$A$1:$A$49,0),MATCH(orders!I$1,products!$A$1:$G$1,0))</f>
        <v>D</v>
      </c>
      <c r="J932" s="5">
        <f>INDEX(products!$A$1:$G$49,MATCH(orders!$D932,products!$A$1:$A$49,0),MATCH(orders!J$1,products!$A$1:$G$1,0))</f>
        <v>1</v>
      </c>
      <c r="K932" s="6">
        <f>INDEX(products!$A$1:$G$49,MATCH(orders!$D932,products!$A$1:$A$49,0),MATCH(orders!K$1,products!$A$1:$G$1,0))</f>
        <v>12.15</v>
      </c>
      <c r="L932" s="6">
        <f>K932*E932</f>
        <v>12.15</v>
      </c>
      <c r="M932" t="str" cm="1">
        <f t="array" ref="M932">_xlfn.IFS(H932="Rob","Robusta",H932="Exc","Excelsa",H932="Ara","Arabica",H932="Lib","Liberica")</f>
        <v>Excelsa</v>
      </c>
      <c r="N932" t="str" cm="1">
        <f t="array" ref="N932">_xlfn.IFS(I932="M","Medium",I932="L","Light",I932="D","Dark")</f>
        <v>Dark</v>
      </c>
      <c r="O932" t="str">
        <f>_xlfn.XLOOKUP(Orders[[#This Row],[Customer ID]],customers!$A$2:$A$1001,customers!$I$2:$I$1001,,0)</f>
        <v>Yes</v>
      </c>
    </row>
    <row r="933" spans="1:15" x14ac:dyDescent="0.3">
      <c r="A933" s="2" t="s">
        <v>5753</v>
      </c>
      <c r="B933" s="3">
        <v>44607</v>
      </c>
      <c r="C933" s="2" t="s">
        <v>5754</v>
      </c>
      <c r="D933" t="s">
        <v>6158</v>
      </c>
      <c r="E933" s="2">
        <v>4</v>
      </c>
      <c r="F933" s="2" t="str">
        <f>_xlfn.XLOOKUP(C933,customers!$A$2:$A$1001,customers!$B$2:$B$1001,,0)</f>
        <v>Mallory Shrimpling</v>
      </c>
      <c r="G933" s="2" t="str">
        <f>_xlfn.XLOOKUP(C933,customers!$A$2:$A$1001,customers!$G$2:$G$1001,,0)</f>
        <v>United States</v>
      </c>
      <c r="H933" t="str">
        <f>INDEX(products!$A$1:$G$49,MATCH(orders!$D933,products!$A$1:$A$49,0),MATCH(orders!H$1,products!$A$1:$G$1,0))</f>
        <v>Ara</v>
      </c>
      <c r="I933" t="str">
        <f>INDEX(products!$A$1:$G$49,MATCH(orders!$D933,products!$A$1:$A$49,0),MATCH(orders!I$1,products!$A$1:$G$1,0))</f>
        <v>D</v>
      </c>
      <c r="J933" s="5">
        <f>INDEX(products!$A$1:$G$49,MATCH(orders!$D933,products!$A$1:$A$49,0),MATCH(orders!J$1,products!$A$1:$G$1,0))</f>
        <v>0.5</v>
      </c>
      <c r="K933" s="6">
        <f>INDEX(products!$A$1:$G$49,MATCH(orders!$D933,products!$A$1:$A$49,0),MATCH(orders!K$1,products!$A$1:$G$1,0))</f>
        <v>5.97</v>
      </c>
      <c r="L933" s="6">
        <f>K933*E933</f>
        <v>23.88</v>
      </c>
      <c r="M933" t="str" cm="1">
        <f t="array" ref="M933">_xlfn.IFS(H933="Rob","Robusta",H933="Exc","Excelsa",H933="Ara","Arabica",H933="Lib","Liberica")</f>
        <v>Arabica</v>
      </c>
      <c r="N933" t="str" cm="1">
        <f t="array" ref="N933">_xlfn.IFS(I933="M","Medium",I933="L","Light",I933="D","Dark")</f>
        <v>Dark</v>
      </c>
      <c r="O933" t="str">
        <f>_xlfn.XLOOKUP(Orders[[#This Row],[Customer ID]],customers!$A$2:$A$1001,customers!$I$2:$I$1001,,0)</f>
        <v>Yes</v>
      </c>
    </row>
    <row r="934" spans="1:15" x14ac:dyDescent="0.3">
      <c r="A934" s="2" t="s">
        <v>5757</v>
      </c>
      <c r="B934" s="3">
        <v>44117</v>
      </c>
      <c r="C934" s="2" t="s">
        <v>5758</v>
      </c>
      <c r="D934" t="s">
        <v>6141</v>
      </c>
      <c r="E934" s="2">
        <v>4</v>
      </c>
      <c r="F934" s="2" t="str">
        <f>_xlfn.XLOOKUP(C934,customers!$A$2:$A$1001,customers!$B$2:$B$1001,,0)</f>
        <v>Barnett Sillis</v>
      </c>
      <c r="G934" s="2" t="str">
        <f>_xlfn.XLOOKUP(C934,customers!$A$2:$A$1001,customers!$G$2:$G$1001,,0)</f>
        <v>United States</v>
      </c>
      <c r="H934" t="str">
        <f>INDEX(products!$A$1:$G$49,MATCH(orders!$D934,products!$A$1:$A$49,0),MATCH(orders!H$1,products!$A$1:$G$1,0))</f>
        <v>Exc</v>
      </c>
      <c r="I934" t="str">
        <f>INDEX(products!$A$1:$G$49,MATCH(orders!$D934,products!$A$1:$A$49,0),MATCH(orders!I$1,products!$A$1:$G$1,0))</f>
        <v>M</v>
      </c>
      <c r="J934" s="5">
        <f>INDEX(products!$A$1:$G$49,MATCH(orders!$D934,products!$A$1:$A$49,0),MATCH(orders!J$1,products!$A$1:$G$1,0))</f>
        <v>1</v>
      </c>
      <c r="K934" s="6">
        <f>INDEX(products!$A$1:$G$49,MATCH(orders!$D934,products!$A$1:$A$49,0),MATCH(orders!K$1,products!$A$1:$G$1,0))</f>
        <v>13.75</v>
      </c>
      <c r="L934" s="6">
        <f>K934*E934</f>
        <v>55</v>
      </c>
      <c r="M934" t="str" cm="1">
        <f t="array" ref="M934">_xlfn.IFS(H934="Rob","Robusta",H934="Exc","Excelsa",H934="Ara","Arabica",H934="Lib","Liberica")</f>
        <v>Excelsa</v>
      </c>
      <c r="N934" t="str" cm="1">
        <f t="array" ref="N934">_xlfn.IFS(I934="M","Medium",I934="L","Light",I934="D","Dark")</f>
        <v>Medium</v>
      </c>
      <c r="O934" t="str">
        <f>_xlfn.XLOOKUP(Orders[[#This Row],[Customer ID]],customers!$A$2:$A$1001,customers!$I$2:$I$1001,,0)</f>
        <v>No</v>
      </c>
    </row>
    <row r="935" spans="1:15" x14ac:dyDescent="0.3">
      <c r="A935" s="2" t="s">
        <v>5763</v>
      </c>
      <c r="B935" s="3">
        <v>44557</v>
      </c>
      <c r="C935" s="2" t="s">
        <v>5764</v>
      </c>
      <c r="D935" t="s">
        <v>6177</v>
      </c>
      <c r="E935" s="2">
        <v>3</v>
      </c>
      <c r="F935" s="2" t="str">
        <f>_xlfn.XLOOKUP(C935,customers!$A$2:$A$1001,customers!$B$2:$B$1001,,0)</f>
        <v>Brenn Dundredge</v>
      </c>
      <c r="G935" s="2" t="str">
        <f>_xlfn.XLOOKUP(C935,customers!$A$2:$A$1001,customers!$G$2:$G$1001,,0)</f>
        <v>United States</v>
      </c>
      <c r="H935" t="str">
        <f>INDEX(products!$A$1:$G$49,MATCH(orders!$D935,products!$A$1:$A$49,0),MATCH(orders!H$1,products!$A$1:$G$1,0))</f>
        <v>Rob</v>
      </c>
      <c r="I935" t="str">
        <f>INDEX(products!$A$1:$G$49,MATCH(orders!$D935,products!$A$1:$A$49,0),MATCH(orders!I$1,products!$A$1:$G$1,0))</f>
        <v>D</v>
      </c>
      <c r="J935" s="5">
        <f>INDEX(products!$A$1:$G$49,MATCH(orders!$D935,products!$A$1:$A$49,0),MATCH(orders!J$1,products!$A$1:$G$1,0))</f>
        <v>1</v>
      </c>
      <c r="K935" s="6">
        <f>INDEX(products!$A$1:$G$49,MATCH(orders!$D935,products!$A$1:$A$49,0),MATCH(orders!K$1,products!$A$1:$G$1,0))</f>
        <v>8.9499999999999993</v>
      </c>
      <c r="L935" s="6">
        <f>K935*E935</f>
        <v>26.849999999999998</v>
      </c>
      <c r="M935" t="str" cm="1">
        <f t="array" ref="M935">_xlfn.IFS(H935="Rob","Robusta",H935="Exc","Excelsa",H935="Ara","Arabica",H935="Lib","Liberica")</f>
        <v>Robusta</v>
      </c>
      <c r="N935" t="str" cm="1">
        <f t="array" ref="N935">_xlfn.IFS(I935="M","Medium",I935="L","Light",I935="D","Dark")</f>
        <v>Dark</v>
      </c>
      <c r="O935" t="str">
        <f>_xlfn.XLOOKUP(Orders[[#This Row],[Customer ID]],customers!$A$2:$A$1001,customers!$I$2:$I$1001,,0)</f>
        <v>Yes</v>
      </c>
    </row>
    <row r="936" spans="1:15" x14ac:dyDescent="0.3">
      <c r="A936" s="2" t="s">
        <v>5768</v>
      </c>
      <c r="B936" s="3">
        <v>44409</v>
      </c>
      <c r="C936" s="2" t="s">
        <v>5769</v>
      </c>
      <c r="D936" t="s">
        <v>6151</v>
      </c>
      <c r="E936" s="2">
        <v>5</v>
      </c>
      <c r="F936" s="2" t="str">
        <f>_xlfn.XLOOKUP(C936,customers!$A$2:$A$1001,customers!$B$2:$B$1001,,0)</f>
        <v>Read Cutts</v>
      </c>
      <c r="G936" s="2" t="str">
        <f>_xlfn.XLOOKUP(C936,customers!$A$2:$A$1001,customers!$G$2:$G$1001,,0)</f>
        <v>United States</v>
      </c>
      <c r="H936" t="str">
        <f>INDEX(products!$A$1:$G$49,MATCH(orders!$D936,products!$A$1:$A$49,0),MATCH(orders!H$1,products!$A$1:$G$1,0))</f>
        <v>Rob</v>
      </c>
      <c r="I936" t="str">
        <f>INDEX(products!$A$1:$G$49,MATCH(orders!$D936,products!$A$1:$A$49,0),MATCH(orders!I$1,products!$A$1:$G$1,0))</f>
        <v>M</v>
      </c>
      <c r="J936" s="5">
        <f>INDEX(products!$A$1:$G$49,MATCH(orders!$D936,products!$A$1:$A$49,0),MATCH(orders!J$1,products!$A$1:$G$1,0))</f>
        <v>2.5</v>
      </c>
      <c r="K936" s="6">
        <f>INDEX(products!$A$1:$G$49,MATCH(orders!$D936,products!$A$1:$A$49,0),MATCH(orders!K$1,products!$A$1:$G$1,0))</f>
        <v>22.884999999999998</v>
      </c>
      <c r="L936" s="6">
        <f>K936*E936</f>
        <v>114.42499999999998</v>
      </c>
      <c r="M936" t="str" cm="1">
        <f t="array" ref="M936">_xlfn.IFS(H936="Rob","Robusta",H936="Exc","Excelsa",H936="Ara","Arabica",H936="Lib","Liberica")</f>
        <v>Robusta</v>
      </c>
      <c r="N936" t="str" cm="1">
        <f t="array" ref="N936">_xlfn.IFS(I936="M","Medium",I936="L","Light",I936="D","Dark")</f>
        <v>Medium</v>
      </c>
      <c r="O936" t="str">
        <f>_xlfn.XLOOKUP(Orders[[#This Row],[Customer ID]],customers!$A$2:$A$1001,customers!$I$2:$I$1001,,0)</f>
        <v>No</v>
      </c>
    </row>
    <row r="937" spans="1:15" x14ac:dyDescent="0.3">
      <c r="A937" s="2" t="s">
        <v>5774</v>
      </c>
      <c r="B937" s="3">
        <v>44153</v>
      </c>
      <c r="C937" s="2" t="s">
        <v>5775</v>
      </c>
      <c r="D937" t="s">
        <v>6175</v>
      </c>
      <c r="E937" s="2">
        <v>6</v>
      </c>
      <c r="F937" s="2" t="str">
        <f>_xlfn.XLOOKUP(C937,customers!$A$2:$A$1001,customers!$B$2:$B$1001,,0)</f>
        <v>Michale Delves</v>
      </c>
      <c r="G937" s="2" t="str">
        <f>_xlfn.XLOOKUP(C937,customers!$A$2:$A$1001,customers!$G$2:$G$1001,,0)</f>
        <v>United States</v>
      </c>
      <c r="H937" t="str">
        <f>INDEX(products!$A$1:$G$49,MATCH(orders!$D937,products!$A$1:$A$49,0),MATCH(orders!H$1,products!$A$1:$G$1,0))</f>
        <v>Ara</v>
      </c>
      <c r="I937" t="str">
        <f>INDEX(products!$A$1:$G$49,MATCH(orders!$D937,products!$A$1:$A$49,0),MATCH(orders!I$1,products!$A$1:$G$1,0))</f>
        <v>M</v>
      </c>
      <c r="J937" s="5">
        <f>INDEX(products!$A$1:$G$49,MATCH(orders!$D937,products!$A$1:$A$49,0),MATCH(orders!J$1,products!$A$1:$G$1,0))</f>
        <v>2.5</v>
      </c>
      <c r="K937" s="6">
        <f>INDEX(products!$A$1:$G$49,MATCH(orders!$D937,products!$A$1:$A$49,0),MATCH(orders!K$1,products!$A$1:$G$1,0))</f>
        <v>25.874999999999996</v>
      </c>
      <c r="L937" s="6">
        <f>K937*E937</f>
        <v>155.24999999999997</v>
      </c>
      <c r="M937" t="str" cm="1">
        <f t="array" ref="M937">_xlfn.IFS(H937="Rob","Robusta",H937="Exc","Excelsa",H937="Ara","Arabica",H937="Lib","Liberica")</f>
        <v>Arabica</v>
      </c>
      <c r="N937" t="str" cm="1">
        <f t="array" ref="N937">_xlfn.IFS(I937="M","Medium",I937="L","Light",I937="D","Dark")</f>
        <v>Medium</v>
      </c>
      <c r="O937" t="str">
        <f>_xlfn.XLOOKUP(Orders[[#This Row],[Customer ID]],customers!$A$2:$A$1001,customers!$I$2:$I$1001,,0)</f>
        <v>Yes</v>
      </c>
    </row>
    <row r="938" spans="1:15" x14ac:dyDescent="0.3">
      <c r="A938" s="2" t="s">
        <v>5780</v>
      </c>
      <c r="B938" s="3">
        <v>44493</v>
      </c>
      <c r="C938" s="2" t="s">
        <v>5781</v>
      </c>
      <c r="D938" t="s">
        <v>6169</v>
      </c>
      <c r="E938" s="2">
        <v>3</v>
      </c>
      <c r="F938" s="2" t="str">
        <f>_xlfn.XLOOKUP(C938,customers!$A$2:$A$1001,customers!$B$2:$B$1001,,0)</f>
        <v>Devland Gritton</v>
      </c>
      <c r="G938" s="2" t="str">
        <f>_xlfn.XLOOKUP(C938,customers!$A$2:$A$1001,customers!$G$2:$G$1001,,0)</f>
        <v>United States</v>
      </c>
      <c r="H938" t="str">
        <f>INDEX(products!$A$1:$G$49,MATCH(orders!$D938,products!$A$1:$A$49,0),MATCH(orders!H$1,products!$A$1:$G$1,0))</f>
        <v>Lib</v>
      </c>
      <c r="I938" t="str">
        <f>INDEX(products!$A$1:$G$49,MATCH(orders!$D938,products!$A$1:$A$49,0),MATCH(orders!I$1,products!$A$1:$G$1,0))</f>
        <v>D</v>
      </c>
      <c r="J938" s="5">
        <f>INDEX(products!$A$1:$G$49,MATCH(orders!$D938,products!$A$1:$A$49,0),MATCH(orders!J$1,products!$A$1:$G$1,0))</f>
        <v>0.5</v>
      </c>
      <c r="K938" s="6">
        <f>INDEX(products!$A$1:$G$49,MATCH(orders!$D938,products!$A$1:$A$49,0),MATCH(orders!K$1,products!$A$1:$G$1,0))</f>
        <v>7.77</v>
      </c>
      <c r="L938" s="6">
        <f>K938*E938</f>
        <v>23.31</v>
      </c>
      <c r="M938" t="str" cm="1">
        <f t="array" ref="M938">_xlfn.IFS(H938="Rob","Robusta",H938="Exc","Excelsa",H938="Ara","Arabica",H938="Lib","Liberica")</f>
        <v>Liberica</v>
      </c>
      <c r="N938" t="str" cm="1">
        <f t="array" ref="N938">_xlfn.IFS(I938="M","Medium",I938="L","Light",I938="D","Dark")</f>
        <v>Dark</v>
      </c>
      <c r="O938" t="str">
        <f>_xlfn.XLOOKUP(Orders[[#This Row],[Customer ID]],customers!$A$2:$A$1001,customers!$I$2:$I$1001,,0)</f>
        <v>Yes</v>
      </c>
    </row>
    <row r="939" spans="1:15" x14ac:dyDescent="0.3">
      <c r="A939" s="2" t="s">
        <v>5780</v>
      </c>
      <c r="B939" s="3">
        <v>44493</v>
      </c>
      <c r="C939" s="2" t="s">
        <v>5781</v>
      </c>
      <c r="D939" t="s">
        <v>6151</v>
      </c>
      <c r="E939" s="2">
        <v>4</v>
      </c>
      <c r="F939" s="2" t="str">
        <f>_xlfn.XLOOKUP(C939,customers!$A$2:$A$1001,customers!$B$2:$B$1001,,0)</f>
        <v>Devland Gritton</v>
      </c>
      <c r="G939" s="2" t="str">
        <f>_xlfn.XLOOKUP(C939,customers!$A$2:$A$1001,customers!$G$2:$G$1001,,0)</f>
        <v>United States</v>
      </c>
      <c r="H939" t="str">
        <f>INDEX(products!$A$1:$G$49,MATCH(orders!$D939,products!$A$1:$A$49,0),MATCH(orders!H$1,products!$A$1:$G$1,0))</f>
        <v>Rob</v>
      </c>
      <c r="I939" t="str">
        <f>INDEX(products!$A$1:$G$49,MATCH(orders!$D939,products!$A$1:$A$49,0),MATCH(orders!I$1,products!$A$1:$G$1,0))</f>
        <v>M</v>
      </c>
      <c r="J939" s="5">
        <f>INDEX(products!$A$1:$G$49,MATCH(orders!$D939,products!$A$1:$A$49,0),MATCH(orders!J$1,products!$A$1:$G$1,0))</f>
        <v>2.5</v>
      </c>
      <c r="K939" s="6">
        <f>INDEX(products!$A$1:$G$49,MATCH(orders!$D939,products!$A$1:$A$49,0),MATCH(orders!K$1,products!$A$1:$G$1,0))</f>
        <v>22.884999999999998</v>
      </c>
      <c r="L939" s="6">
        <f>K939*E939</f>
        <v>91.539999999999992</v>
      </c>
      <c r="M939" t="str" cm="1">
        <f t="array" ref="M939">_xlfn.IFS(H939="Rob","Robusta",H939="Exc","Excelsa",H939="Ara","Arabica",H939="Lib","Liberica")</f>
        <v>Robusta</v>
      </c>
      <c r="N939" t="str" cm="1">
        <f t="array" ref="N939">_xlfn.IFS(I939="M","Medium",I939="L","Light",I939="D","Dark")</f>
        <v>Medium</v>
      </c>
      <c r="O939" t="str">
        <f>_xlfn.XLOOKUP(Orders[[#This Row],[Customer ID]],customers!$A$2:$A$1001,customers!$I$2:$I$1001,,0)</f>
        <v>Yes</v>
      </c>
    </row>
    <row r="940" spans="1:15" x14ac:dyDescent="0.3">
      <c r="A940" s="2" t="s">
        <v>5791</v>
      </c>
      <c r="B940" s="3">
        <v>43829</v>
      </c>
      <c r="C940" s="2" t="s">
        <v>5792</v>
      </c>
      <c r="D940" t="s">
        <v>6171</v>
      </c>
      <c r="E940" s="2">
        <v>5</v>
      </c>
      <c r="F940" s="2" t="str">
        <f>_xlfn.XLOOKUP(C940,customers!$A$2:$A$1001,customers!$B$2:$B$1001,,0)</f>
        <v>Dell Gut</v>
      </c>
      <c r="G940" s="2" t="str">
        <f>_xlfn.XLOOKUP(C940,customers!$A$2:$A$1001,customers!$G$2:$G$1001,,0)</f>
        <v>United States</v>
      </c>
      <c r="H940" t="str">
        <f>INDEX(products!$A$1:$G$49,MATCH(orders!$D940,products!$A$1:$A$49,0),MATCH(orders!H$1,products!$A$1:$G$1,0))</f>
        <v>Exc</v>
      </c>
      <c r="I940" t="str">
        <f>INDEX(products!$A$1:$G$49,MATCH(orders!$D940,products!$A$1:$A$49,0),MATCH(orders!I$1,products!$A$1:$G$1,0))</f>
        <v>L</v>
      </c>
      <c r="J940" s="5">
        <f>INDEX(products!$A$1:$G$49,MATCH(orders!$D940,products!$A$1:$A$49,0),MATCH(orders!J$1,products!$A$1:$G$1,0))</f>
        <v>1</v>
      </c>
      <c r="K940" s="6">
        <f>INDEX(products!$A$1:$G$49,MATCH(orders!$D940,products!$A$1:$A$49,0),MATCH(orders!K$1,products!$A$1:$G$1,0))</f>
        <v>14.85</v>
      </c>
      <c r="L940" s="6">
        <f>K940*E940</f>
        <v>74.25</v>
      </c>
      <c r="M940" t="str" cm="1">
        <f t="array" ref="M940">_xlfn.IFS(H940="Rob","Robusta",H940="Exc","Excelsa",H940="Ara","Arabica",H940="Lib","Liberica")</f>
        <v>Excelsa</v>
      </c>
      <c r="N940" t="str" cm="1">
        <f t="array" ref="N940">_xlfn.IFS(I940="M","Medium",I940="L","Light",I940="D","Dark")</f>
        <v>Light</v>
      </c>
      <c r="O940" t="str">
        <f>_xlfn.XLOOKUP(Orders[[#This Row],[Customer ID]],customers!$A$2:$A$1001,customers!$I$2:$I$1001,,0)</f>
        <v>Yes</v>
      </c>
    </row>
    <row r="941" spans="1:15" x14ac:dyDescent="0.3">
      <c r="A941" s="2" t="s">
        <v>5797</v>
      </c>
      <c r="B941" s="3">
        <v>44229</v>
      </c>
      <c r="C941" s="2" t="s">
        <v>5798</v>
      </c>
      <c r="D941" t="s">
        <v>6145</v>
      </c>
      <c r="E941" s="2">
        <v>6</v>
      </c>
      <c r="F941" s="2" t="str">
        <f>_xlfn.XLOOKUP(C941,customers!$A$2:$A$1001,customers!$B$2:$B$1001,,0)</f>
        <v>Willy Pummery</v>
      </c>
      <c r="G941" s="2" t="str">
        <f>_xlfn.XLOOKUP(C941,customers!$A$2:$A$1001,customers!$G$2:$G$1001,,0)</f>
        <v>United States</v>
      </c>
      <c r="H941" t="str">
        <f>INDEX(products!$A$1:$G$49,MATCH(orders!$D941,products!$A$1:$A$49,0),MATCH(orders!H$1,products!$A$1:$G$1,0))</f>
        <v>Lib</v>
      </c>
      <c r="I941" t="str">
        <f>INDEX(products!$A$1:$G$49,MATCH(orders!$D941,products!$A$1:$A$49,0),MATCH(orders!I$1,products!$A$1:$G$1,0))</f>
        <v>L</v>
      </c>
      <c r="J941" s="5">
        <f>INDEX(products!$A$1:$G$49,MATCH(orders!$D941,products!$A$1:$A$49,0),MATCH(orders!J$1,products!$A$1:$G$1,0))</f>
        <v>0.2</v>
      </c>
      <c r="K941" s="6">
        <f>INDEX(products!$A$1:$G$49,MATCH(orders!$D941,products!$A$1:$A$49,0),MATCH(orders!K$1,products!$A$1:$G$1,0))</f>
        <v>4.7549999999999999</v>
      </c>
      <c r="L941" s="6">
        <f>K941*E941</f>
        <v>28.53</v>
      </c>
      <c r="M941" t="str" cm="1">
        <f t="array" ref="M941">_xlfn.IFS(H941="Rob","Robusta",H941="Exc","Excelsa",H941="Ara","Arabica",H941="Lib","Liberica")</f>
        <v>Liberica</v>
      </c>
      <c r="N941" t="str" cm="1">
        <f t="array" ref="N941">_xlfn.IFS(I941="M","Medium",I941="L","Light",I941="D","Dark")</f>
        <v>Light</v>
      </c>
      <c r="O941" t="str">
        <f>_xlfn.XLOOKUP(Orders[[#This Row],[Customer ID]],customers!$A$2:$A$1001,customers!$I$2:$I$1001,,0)</f>
        <v>No</v>
      </c>
    </row>
    <row r="942" spans="1:15" x14ac:dyDescent="0.3">
      <c r="A942" s="2" t="s">
        <v>5803</v>
      </c>
      <c r="B942" s="3">
        <v>44332</v>
      </c>
      <c r="C942" s="2" t="s">
        <v>5804</v>
      </c>
      <c r="D942" t="s">
        <v>6173</v>
      </c>
      <c r="E942" s="2">
        <v>2</v>
      </c>
      <c r="F942" s="2" t="str">
        <f>_xlfn.XLOOKUP(C942,customers!$A$2:$A$1001,customers!$B$2:$B$1001,,0)</f>
        <v>Geoffrey Siuda</v>
      </c>
      <c r="G942" s="2" t="str">
        <f>_xlfn.XLOOKUP(C942,customers!$A$2:$A$1001,customers!$G$2:$G$1001,,0)</f>
        <v>United States</v>
      </c>
      <c r="H942" t="str">
        <f>INDEX(products!$A$1:$G$49,MATCH(orders!$D942,products!$A$1:$A$49,0),MATCH(orders!H$1,products!$A$1:$G$1,0))</f>
        <v>Rob</v>
      </c>
      <c r="I942" t="str">
        <f>INDEX(products!$A$1:$G$49,MATCH(orders!$D942,products!$A$1:$A$49,0),MATCH(orders!I$1,products!$A$1:$G$1,0))</f>
        <v>L</v>
      </c>
      <c r="J942" s="5">
        <f>INDEX(products!$A$1:$G$49,MATCH(orders!$D942,products!$A$1:$A$49,0),MATCH(orders!J$1,products!$A$1:$G$1,0))</f>
        <v>0.5</v>
      </c>
      <c r="K942" s="6">
        <f>INDEX(products!$A$1:$G$49,MATCH(orders!$D942,products!$A$1:$A$49,0),MATCH(orders!K$1,products!$A$1:$G$1,0))</f>
        <v>7.169999999999999</v>
      </c>
      <c r="L942" s="6">
        <f>K942*E942</f>
        <v>14.339999999999998</v>
      </c>
      <c r="M942" t="str" cm="1">
        <f t="array" ref="M942">_xlfn.IFS(H942="Rob","Robusta",H942="Exc","Excelsa",H942="Ara","Arabica",H942="Lib","Liberica")</f>
        <v>Robusta</v>
      </c>
      <c r="N942" t="str" cm="1">
        <f t="array" ref="N942">_xlfn.IFS(I942="M","Medium",I942="L","Light",I942="D","Dark")</f>
        <v>Light</v>
      </c>
      <c r="O942" t="str">
        <f>_xlfn.XLOOKUP(Orders[[#This Row],[Customer ID]],customers!$A$2:$A$1001,customers!$I$2:$I$1001,,0)</f>
        <v>Yes</v>
      </c>
    </row>
    <row r="943" spans="1:15" x14ac:dyDescent="0.3">
      <c r="A943" s="2" t="s">
        <v>5809</v>
      </c>
      <c r="B943" s="3">
        <v>44674</v>
      </c>
      <c r="C943" s="2" t="s">
        <v>5810</v>
      </c>
      <c r="D943" t="s">
        <v>6180</v>
      </c>
      <c r="E943" s="2">
        <v>2</v>
      </c>
      <c r="F943" s="2" t="str">
        <f>_xlfn.XLOOKUP(C943,customers!$A$2:$A$1001,customers!$B$2:$B$1001,,0)</f>
        <v>Henderson Crowne</v>
      </c>
      <c r="G943" s="2" t="str">
        <f>_xlfn.XLOOKUP(C943,customers!$A$2:$A$1001,customers!$G$2:$G$1001,,0)</f>
        <v>Ireland</v>
      </c>
      <c r="H943" t="str">
        <f>INDEX(products!$A$1:$G$49,MATCH(orders!$D943,products!$A$1:$A$49,0),MATCH(orders!H$1,products!$A$1:$G$1,0))</f>
        <v>Ara</v>
      </c>
      <c r="I943" t="str">
        <f>INDEX(products!$A$1:$G$49,MATCH(orders!$D943,products!$A$1:$A$49,0),MATCH(orders!I$1,products!$A$1:$G$1,0))</f>
        <v>L</v>
      </c>
      <c r="J943" s="5">
        <f>INDEX(products!$A$1:$G$49,MATCH(orders!$D943,products!$A$1:$A$49,0),MATCH(orders!J$1,products!$A$1:$G$1,0))</f>
        <v>0.5</v>
      </c>
      <c r="K943" s="6">
        <f>INDEX(products!$A$1:$G$49,MATCH(orders!$D943,products!$A$1:$A$49,0),MATCH(orders!K$1,products!$A$1:$G$1,0))</f>
        <v>7.77</v>
      </c>
      <c r="L943" s="6">
        <f>K943*E943</f>
        <v>15.54</v>
      </c>
      <c r="M943" t="str" cm="1">
        <f t="array" ref="M943">_xlfn.IFS(H943="Rob","Robusta",H943="Exc","Excelsa",H943="Ara","Arabica",H943="Lib","Liberica")</f>
        <v>Arabica</v>
      </c>
      <c r="N943" t="str" cm="1">
        <f t="array" ref="N943">_xlfn.IFS(I943="M","Medium",I943="L","Light",I943="D","Dark")</f>
        <v>Light</v>
      </c>
      <c r="O943" t="str">
        <f>_xlfn.XLOOKUP(Orders[[#This Row],[Customer ID]],customers!$A$2:$A$1001,customers!$I$2:$I$1001,,0)</f>
        <v>Yes</v>
      </c>
    </row>
    <row r="944" spans="1:15" x14ac:dyDescent="0.3">
      <c r="A944" s="2" t="s">
        <v>5816</v>
      </c>
      <c r="B944" s="3">
        <v>44464</v>
      </c>
      <c r="C944" s="2" t="s">
        <v>5817</v>
      </c>
      <c r="D944" t="s">
        <v>6179</v>
      </c>
      <c r="E944" s="2">
        <v>3</v>
      </c>
      <c r="F944" s="2" t="str">
        <f>_xlfn.XLOOKUP(C944,customers!$A$2:$A$1001,customers!$B$2:$B$1001,,0)</f>
        <v>Vernor Pawsey</v>
      </c>
      <c r="G944" s="2" t="str">
        <f>_xlfn.XLOOKUP(C944,customers!$A$2:$A$1001,customers!$G$2:$G$1001,,0)</f>
        <v>United States</v>
      </c>
      <c r="H944" t="str">
        <f>INDEX(products!$A$1:$G$49,MATCH(orders!$D944,products!$A$1:$A$49,0),MATCH(orders!H$1,products!$A$1:$G$1,0))</f>
        <v>Rob</v>
      </c>
      <c r="I944" t="str">
        <f>INDEX(products!$A$1:$G$49,MATCH(orders!$D944,products!$A$1:$A$49,0),MATCH(orders!I$1,products!$A$1:$G$1,0))</f>
        <v>L</v>
      </c>
      <c r="J944" s="5">
        <f>INDEX(products!$A$1:$G$49,MATCH(orders!$D944,products!$A$1:$A$49,0),MATCH(orders!J$1,products!$A$1:$G$1,0))</f>
        <v>1</v>
      </c>
      <c r="K944" s="6">
        <f>INDEX(products!$A$1:$G$49,MATCH(orders!$D944,products!$A$1:$A$49,0),MATCH(orders!K$1,products!$A$1:$G$1,0))</f>
        <v>11.95</v>
      </c>
      <c r="L944" s="6">
        <f>K944*E944</f>
        <v>35.849999999999994</v>
      </c>
      <c r="M944" t="str" cm="1">
        <f t="array" ref="M944">_xlfn.IFS(H944="Rob","Robusta",H944="Exc","Excelsa",H944="Ara","Arabica",H944="Lib","Liberica")</f>
        <v>Robusta</v>
      </c>
      <c r="N944" t="str" cm="1">
        <f t="array" ref="N944">_xlfn.IFS(I944="M","Medium",I944="L","Light",I944="D","Dark")</f>
        <v>Light</v>
      </c>
      <c r="O944" t="str">
        <f>_xlfn.XLOOKUP(Orders[[#This Row],[Customer ID]],customers!$A$2:$A$1001,customers!$I$2:$I$1001,,0)</f>
        <v>No</v>
      </c>
    </row>
    <row r="945" spans="1:15" x14ac:dyDescent="0.3">
      <c r="A945" s="2" t="s">
        <v>5822</v>
      </c>
      <c r="B945" s="3">
        <v>44719</v>
      </c>
      <c r="C945" s="2" t="s">
        <v>5823</v>
      </c>
      <c r="D945" t="s">
        <v>6180</v>
      </c>
      <c r="E945" s="2">
        <v>6</v>
      </c>
      <c r="F945" s="2" t="str">
        <f>_xlfn.XLOOKUP(C945,customers!$A$2:$A$1001,customers!$B$2:$B$1001,,0)</f>
        <v>Augustin Waterhouse</v>
      </c>
      <c r="G945" s="2" t="str">
        <f>_xlfn.XLOOKUP(C945,customers!$A$2:$A$1001,customers!$G$2:$G$1001,,0)</f>
        <v>United States</v>
      </c>
      <c r="H945" t="str">
        <f>INDEX(products!$A$1:$G$49,MATCH(orders!$D945,products!$A$1:$A$49,0),MATCH(orders!H$1,products!$A$1:$G$1,0))</f>
        <v>Ara</v>
      </c>
      <c r="I945" t="str">
        <f>INDEX(products!$A$1:$G$49,MATCH(orders!$D945,products!$A$1:$A$49,0),MATCH(orders!I$1,products!$A$1:$G$1,0))</f>
        <v>L</v>
      </c>
      <c r="J945" s="5">
        <f>INDEX(products!$A$1:$G$49,MATCH(orders!$D945,products!$A$1:$A$49,0),MATCH(orders!J$1,products!$A$1:$G$1,0))</f>
        <v>0.5</v>
      </c>
      <c r="K945" s="6">
        <f>INDEX(products!$A$1:$G$49,MATCH(orders!$D945,products!$A$1:$A$49,0),MATCH(orders!K$1,products!$A$1:$G$1,0))</f>
        <v>7.77</v>
      </c>
      <c r="L945" s="6">
        <f>K945*E945</f>
        <v>46.62</v>
      </c>
      <c r="M945" t="str" cm="1">
        <f t="array" ref="M945">_xlfn.IFS(H945="Rob","Robusta",H945="Exc","Excelsa",H945="Ara","Arabica",H945="Lib","Liberica")</f>
        <v>Arabica</v>
      </c>
      <c r="N945" t="str" cm="1">
        <f t="array" ref="N945">_xlfn.IFS(I945="M","Medium",I945="L","Light",I945="D","Dark")</f>
        <v>Light</v>
      </c>
      <c r="O945" t="str">
        <f>_xlfn.XLOOKUP(Orders[[#This Row],[Customer ID]],customers!$A$2:$A$1001,customers!$I$2:$I$1001,,0)</f>
        <v>No</v>
      </c>
    </row>
    <row r="946" spans="1:15" x14ac:dyDescent="0.3">
      <c r="A946" s="2" t="s">
        <v>5828</v>
      </c>
      <c r="B946" s="3">
        <v>44054</v>
      </c>
      <c r="C946" s="2" t="s">
        <v>5829</v>
      </c>
      <c r="D946" t="s">
        <v>6173</v>
      </c>
      <c r="E946" s="2">
        <v>5</v>
      </c>
      <c r="F946" s="2" t="str">
        <f>_xlfn.XLOOKUP(C946,customers!$A$2:$A$1001,customers!$B$2:$B$1001,,0)</f>
        <v>Fanchon Haughian</v>
      </c>
      <c r="G946" s="2" t="str">
        <f>_xlfn.XLOOKUP(C946,customers!$A$2:$A$1001,customers!$G$2:$G$1001,,0)</f>
        <v>United States</v>
      </c>
      <c r="H946" t="str">
        <f>INDEX(products!$A$1:$G$49,MATCH(orders!$D946,products!$A$1:$A$49,0),MATCH(orders!H$1,products!$A$1:$G$1,0))</f>
        <v>Rob</v>
      </c>
      <c r="I946" t="str">
        <f>INDEX(products!$A$1:$G$49,MATCH(orders!$D946,products!$A$1:$A$49,0),MATCH(orders!I$1,products!$A$1:$G$1,0))</f>
        <v>L</v>
      </c>
      <c r="J946" s="5">
        <f>INDEX(products!$A$1:$G$49,MATCH(orders!$D946,products!$A$1:$A$49,0),MATCH(orders!J$1,products!$A$1:$G$1,0))</f>
        <v>0.5</v>
      </c>
      <c r="K946" s="6">
        <f>INDEX(products!$A$1:$G$49,MATCH(orders!$D946,products!$A$1:$A$49,0),MATCH(orders!K$1,products!$A$1:$G$1,0))</f>
        <v>7.169999999999999</v>
      </c>
      <c r="L946" s="6">
        <f>K946*E946</f>
        <v>35.849999999999994</v>
      </c>
      <c r="M946" t="str" cm="1">
        <f t="array" ref="M946">_xlfn.IFS(H946="Rob","Robusta",H946="Exc","Excelsa",H946="Ara","Arabica",H946="Lib","Liberica")</f>
        <v>Robusta</v>
      </c>
      <c r="N946" t="str" cm="1">
        <f t="array" ref="N946">_xlfn.IFS(I946="M","Medium",I946="L","Light",I946="D","Dark")</f>
        <v>Light</v>
      </c>
      <c r="O946" t="str">
        <f>_xlfn.XLOOKUP(Orders[[#This Row],[Customer ID]],customers!$A$2:$A$1001,customers!$I$2:$I$1001,,0)</f>
        <v>No</v>
      </c>
    </row>
    <row r="947" spans="1:15" x14ac:dyDescent="0.3">
      <c r="A947" s="2" t="s">
        <v>5834</v>
      </c>
      <c r="B947" s="3">
        <v>43524</v>
      </c>
      <c r="C947" s="2" t="s">
        <v>5835</v>
      </c>
      <c r="D947" t="s">
        <v>6165</v>
      </c>
      <c r="E947" s="2">
        <v>4</v>
      </c>
      <c r="F947" s="2" t="str">
        <f>_xlfn.XLOOKUP(C947,customers!$A$2:$A$1001,customers!$B$2:$B$1001,,0)</f>
        <v>Jaimie Hatz</v>
      </c>
      <c r="G947" s="2" t="str">
        <f>_xlfn.XLOOKUP(C947,customers!$A$2:$A$1001,customers!$G$2:$G$1001,,0)</f>
        <v>United States</v>
      </c>
      <c r="H947" t="str">
        <f>INDEX(products!$A$1:$G$49,MATCH(orders!$D947,products!$A$1:$A$49,0),MATCH(orders!H$1,products!$A$1:$G$1,0))</f>
        <v>Lib</v>
      </c>
      <c r="I947" t="str">
        <f>INDEX(products!$A$1:$G$49,MATCH(orders!$D947,products!$A$1:$A$49,0),MATCH(orders!I$1,products!$A$1:$G$1,0))</f>
        <v>D</v>
      </c>
      <c r="J947" s="5">
        <f>INDEX(products!$A$1:$G$49,MATCH(orders!$D947,products!$A$1:$A$49,0),MATCH(orders!J$1,products!$A$1:$G$1,0))</f>
        <v>2.5</v>
      </c>
      <c r="K947" s="6">
        <f>INDEX(products!$A$1:$G$49,MATCH(orders!$D947,products!$A$1:$A$49,0),MATCH(orders!K$1,products!$A$1:$G$1,0))</f>
        <v>29.784999999999997</v>
      </c>
      <c r="L947" s="6">
        <f>K947*E947</f>
        <v>119.13999999999999</v>
      </c>
      <c r="M947" t="str" cm="1">
        <f t="array" ref="M947">_xlfn.IFS(H947="Rob","Robusta",H947="Exc","Excelsa",H947="Ara","Arabica",H947="Lib","Liberica")</f>
        <v>Liberica</v>
      </c>
      <c r="N947" t="str" cm="1">
        <f t="array" ref="N947">_xlfn.IFS(I947="M","Medium",I947="L","Light",I947="D","Dark")</f>
        <v>Dark</v>
      </c>
      <c r="O947" t="str">
        <f>_xlfn.XLOOKUP(Orders[[#This Row],[Customer ID]],customers!$A$2:$A$1001,customers!$I$2:$I$1001,,0)</f>
        <v>No</v>
      </c>
    </row>
    <row r="948" spans="1:15" x14ac:dyDescent="0.3">
      <c r="A948" s="2" t="s">
        <v>5839</v>
      </c>
      <c r="B948" s="3">
        <v>43719</v>
      </c>
      <c r="C948" s="2" t="s">
        <v>5840</v>
      </c>
      <c r="D948" t="s">
        <v>6169</v>
      </c>
      <c r="E948" s="2">
        <v>3</v>
      </c>
      <c r="F948" s="2" t="str">
        <f>_xlfn.XLOOKUP(C948,customers!$A$2:$A$1001,customers!$B$2:$B$1001,,0)</f>
        <v>Edeline Edney</v>
      </c>
      <c r="G948" s="2" t="str">
        <f>_xlfn.XLOOKUP(C948,customers!$A$2:$A$1001,customers!$G$2:$G$1001,,0)</f>
        <v>United States</v>
      </c>
      <c r="H948" t="str">
        <f>INDEX(products!$A$1:$G$49,MATCH(orders!$D948,products!$A$1:$A$49,0),MATCH(orders!H$1,products!$A$1:$G$1,0))</f>
        <v>Lib</v>
      </c>
      <c r="I948" t="str">
        <f>INDEX(products!$A$1:$G$49,MATCH(orders!$D948,products!$A$1:$A$49,0),MATCH(orders!I$1,products!$A$1:$G$1,0))</f>
        <v>D</v>
      </c>
      <c r="J948" s="5">
        <f>INDEX(products!$A$1:$G$49,MATCH(orders!$D948,products!$A$1:$A$49,0),MATCH(orders!J$1,products!$A$1:$G$1,0))</f>
        <v>0.5</v>
      </c>
      <c r="K948" s="6">
        <f>INDEX(products!$A$1:$G$49,MATCH(orders!$D948,products!$A$1:$A$49,0),MATCH(orders!K$1,products!$A$1:$G$1,0))</f>
        <v>7.77</v>
      </c>
      <c r="L948" s="6">
        <f>K948*E948</f>
        <v>23.31</v>
      </c>
      <c r="M948" t="str" cm="1">
        <f t="array" ref="M948">_xlfn.IFS(H948="Rob","Robusta",H948="Exc","Excelsa",H948="Ara","Arabica",H948="Lib","Liberica")</f>
        <v>Liberica</v>
      </c>
      <c r="N948" t="str" cm="1">
        <f t="array" ref="N948">_xlfn.IFS(I948="M","Medium",I948="L","Light",I948="D","Dark")</f>
        <v>Dark</v>
      </c>
      <c r="O948" t="str">
        <f>_xlfn.XLOOKUP(Orders[[#This Row],[Customer ID]],customers!$A$2:$A$1001,customers!$I$2:$I$1001,,0)</f>
        <v>No</v>
      </c>
    </row>
    <row r="949" spans="1:15" x14ac:dyDescent="0.3">
      <c r="A949" s="2" t="s">
        <v>5844</v>
      </c>
      <c r="B949" s="3">
        <v>44294</v>
      </c>
      <c r="C949" s="2" t="s">
        <v>5845</v>
      </c>
      <c r="D949" t="s">
        <v>6155</v>
      </c>
      <c r="E949" s="2">
        <v>1</v>
      </c>
      <c r="F949" s="2" t="str">
        <f>_xlfn.XLOOKUP(C949,customers!$A$2:$A$1001,customers!$B$2:$B$1001,,0)</f>
        <v>Rickie Faltin</v>
      </c>
      <c r="G949" s="2" t="str">
        <f>_xlfn.XLOOKUP(C949,customers!$A$2:$A$1001,customers!$G$2:$G$1001,,0)</f>
        <v>Ireland</v>
      </c>
      <c r="H949" t="str">
        <f>INDEX(products!$A$1:$G$49,MATCH(orders!$D949,products!$A$1:$A$49,0),MATCH(orders!H$1,products!$A$1:$G$1,0))</f>
        <v>Ara</v>
      </c>
      <c r="I949" t="str">
        <f>INDEX(products!$A$1:$G$49,MATCH(orders!$D949,products!$A$1:$A$49,0),MATCH(orders!I$1,products!$A$1:$G$1,0))</f>
        <v>M</v>
      </c>
      <c r="J949" s="5">
        <f>INDEX(products!$A$1:$G$49,MATCH(orders!$D949,products!$A$1:$A$49,0),MATCH(orders!J$1,products!$A$1:$G$1,0))</f>
        <v>1</v>
      </c>
      <c r="K949" s="6">
        <f>INDEX(products!$A$1:$G$49,MATCH(orders!$D949,products!$A$1:$A$49,0),MATCH(orders!K$1,products!$A$1:$G$1,0))</f>
        <v>11.25</v>
      </c>
      <c r="L949" s="6">
        <f>K949*E949</f>
        <v>11.25</v>
      </c>
      <c r="M949" t="str" cm="1">
        <f t="array" ref="M949">_xlfn.IFS(H949="Rob","Robusta",H949="Exc","Excelsa",H949="Ara","Arabica",H949="Lib","Liberica")</f>
        <v>Arabica</v>
      </c>
      <c r="N949" t="str" cm="1">
        <f t="array" ref="N949">_xlfn.IFS(I949="M","Medium",I949="L","Light",I949="D","Dark")</f>
        <v>Medium</v>
      </c>
      <c r="O949" t="str">
        <f>_xlfn.XLOOKUP(Orders[[#This Row],[Customer ID]],customers!$A$2:$A$1001,customers!$I$2:$I$1001,,0)</f>
        <v>No</v>
      </c>
    </row>
    <row r="950" spans="1:15" x14ac:dyDescent="0.3">
      <c r="A950" s="2" t="s">
        <v>5849</v>
      </c>
      <c r="B950" s="3">
        <v>44445</v>
      </c>
      <c r="C950" s="2" t="s">
        <v>5850</v>
      </c>
      <c r="D950" t="s">
        <v>6185</v>
      </c>
      <c r="E950" s="2">
        <v>3</v>
      </c>
      <c r="F950" s="2" t="str">
        <f>_xlfn.XLOOKUP(C950,customers!$A$2:$A$1001,customers!$B$2:$B$1001,,0)</f>
        <v>Gnni Cheeke</v>
      </c>
      <c r="G950" s="2" t="str">
        <f>_xlfn.XLOOKUP(C950,customers!$A$2:$A$1001,customers!$G$2:$G$1001,,0)</f>
        <v>United Kingdom</v>
      </c>
      <c r="H950" t="str">
        <f>INDEX(products!$A$1:$G$49,MATCH(orders!$D950,products!$A$1:$A$49,0),MATCH(orders!H$1,products!$A$1:$G$1,0))</f>
        <v>Exc</v>
      </c>
      <c r="I950" t="str">
        <f>INDEX(products!$A$1:$G$49,MATCH(orders!$D950,products!$A$1:$A$49,0),MATCH(orders!I$1,products!$A$1:$G$1,0))</f>
        <v>D</v>
      </c>
      <c r="J950" s="5">
        <f>INDEX(products!$A$1:$G$49,MATCH(orders!$D950,products!$A$1:$A$49,0),MATCH(orders!J$1,products!$A$1:$G$1,0))</f>
        <v>2.5</v>
      </c>
      <c r="K950" s="6">
        <f>INDEX(products!$A$1:$G$49,MATCH(orders!$D950,products!$A$1:$A$49,0),MATCH(orders!K$1,products!$A$1:$G$1,0))</f>
        <v>27.945</v>
      </c>
      <c r="L950" s="6">
        <f>K950*E950</f>
        <v>83.835000000000008</v>
      </c>
      <c r="M950" t="str" cm="1">
        <f t="array" ref="M950">_xlfn.IFS(H950="Rob","Robusta",H950="Exc","Excelsa",H950="Ara","Arabica",H950="Lib","Liberica")</f>
        <v>Excelsa</v>
      </c>
      <c r="N950" t="str" cm="1">
        <f t="array" ref="N950">_xlfn.IFS(I950="M","Medium",I950="L","Light",I950="D","Dark")</f>
        <v>Dark</v>
      </c>
      <c r="O950" t="str">
        <f>_xlfn.XLOOKUP(Orders[[#This Row],[Customer ID]],customers!$A$2:$A$1001,customers!$I$2:$I$1001,,0)</f>
        <v>Yes</v>
      </c>
    </row>
    <row r="951" spans="1:15" x14ac:dyDescent="0.3">
      <c r="A951" s="2" t="s">
        <v>5855</v>
      </c>
      <c r="B951" s="3">
        <v>44449</v>
      </c>
      <c r="C951" s="2" t="s">
        <v>5856</v>
      </c>
      <c r="D951" t="s">
        <v>6142</v>
      </c>
      <c r="E951" s="2">
        <v>4</v>
      </c>
      <c r="F951" s="2" t="str">
        <f>_xlfn.XLOOKUP(C951,customers!$A$2:$A$1001,customers!$B$2:$B$1001,,0)</f>
        <v>Gwenni Ratt</v>
      </c>
      <c r="G951" s="2" t="str">
        <f>_xlfn.XLOOKUP(C951,customers!$A$2:$A$1001,customers!$G$2:$G$1001,,0)</f>
        <v>Ireland</v>
      </c>
      <c r="H951" t="str">
        <f>INDEX(products!$A$1:$G$49,MATCH(orders!$D951,products!$A$1:$A$49,0),MATCH(orders!H$1,products!$A$1:$G$1,0))</f>
        <v>Rob</v>
      </c>
      <c r="I951" t="str">
        <f>INDEX(products!$A$1:$G$49,MATCH(orders!$D951,products!$A$1:$A$49,0),MATCH(orders!I$1,products!$A$1:$G$1,0))</f>
        <v>L</v>
      </c>
      <c r="J951" s="5">
        <f>INDEX(products!$A$1:$G$49,MATCH(orders!$D951,products!$A$1:$A$49,0),MATCH(orders!J$1,products!$A$1:$G$1,0))</f>
        <v>2.5</v>
      </c>
      <c r="K951" s="6">
        <f>INDEX(products!$A$1:$G$49,MATCH(orders!$D951,products!$A$1:$A$49,0),MATCH(orders!K$1,products!$A$1:$G$1,0))</f>
        <v>27.484999999999996</v>
      </c>
      <c r="L951" s="6">
        <f>K951*E951</f>
        <v>109.93999999999998</v>
      </c>
      <c r="M951" t="str" cm="1">
        <f t="array" ref="M951">_xlfn.IFS(H951="Rob","Robusta",H951="Exc","Excelsa",H951="Ara","Arabica",H951="Lib","Liberica")</f>
        <v>Robusta</v>
      </c>
      <c r="N951" t="str" cm="1">
        <f t="array" ref="N951">_xlfn.IFS(I951="M","Medium",I951="L","Light",I951="D","Dark")</f>
        <v>Light</v>
      </c>
      <c r="O951" t="str">
        <f>_xlfn.XLOOKUP(Orders[[#This Row],[Customer ID]],customers!$A$2:$A$1001,customers!$I$2:$I$1001,,0)</f>
        <v>No</v>
      </c>
    </row>
    <row r="952" spans="1:15" x14ac:dyDescent="0.3">
      <c r="A952" s="2" t="s">
        <v>5861</v>
      </c>
      <c r="B952" s="3">
        <v>44703</v>
      </c>
      <c r="C952" s="2" t="s">
        <v>5862</v>
      </c>
      <c r="D952" t="s">
        <v>6178</v>
      </c>
      <c r="E952" s="2">
        <v>4</v>
      </c>
      <c r="F952" s="2" t="str">
        <f>_xlfn.XLOOKUP(C952,customers!$A$2:$A$1001,customers!$B$2:$B$1001,,0)</f>
        <v>Johnath Fairebrother</v>
      </c>
      <c r="G952" s="2" t="str">
        <f>_xlfn.XLOOKUP(C952,customers!$A$2:$A$1001,customers!$G$2:$G$1001,,0)</f>
        <v>United States</v>
      </c>
      <c r="H952" t="str">
        <f>INDEX(products!$A$1:$G$49,MATCH(orders!$D952,products!$A$1:$A$49,0),MATCH(orders!H$1,products!$A$1:$G$1,0))</f>
        <v>Rob</v>
      </c>
      <c r="I952" t="str">
        <f>INDEX(products!$A$1:$G$49,MATCH(orders!$D952,products!$A$1:$A$49,0),MATCH(orders!I$1,products!$A$1:$G$1,0))</f>
        <v>L</v>
      </c>
      <c r="J952" s="5">
        <f>INDEX(products!$A$1:$G$49,MATCH(orders!$D952,products!$A$1:$A$49,0),MATCH(orders!J$1,products!$A$1:$G$1,0))</f>
        <v>0.2</v>
      </c>
      <c r="K952" s="6">
        <f>INDEX(products!$A$1:$G$49,MATCH(orders!$D952,products!$A$1:$A$49,0),MATCH(orders!K$1,products!$A$1:$G$1,0))</f>
        <v>3.5849999999999995</v>
      </c>
      <c r="L952" s="6">
        <f>K952*E952</f>
        <v>14.339999999999998</v>
      </c>
      <c r="M952" t="str" cm="1">
        <f t="array" ref="M952">_xlfn.IFS(H952="Rob","Robusta",H952="Exc","Excelsa",H952="Ara","Arabica",H952="Lib","Liberica")</f>
        <v>Robusta</v>
      </c>
      <c r="N952" t="str" cm="1">
        <f t="array" ref="N952">_xlfn.IFS(I952="M","Medium",I952="L","Light",I952="D","Dark")</f>
        <v>Light</v>
      </c>
      <c r="O952" t="str">
        <f>_xlfn.XLOOKUP(Orders[[#This Row],[Customer ID]],customers!$A$2:$A$1001,customers!$I$2:$I$1001,,0)</f>
        <v>Yes</v>
      </c>
    </row>
    <row r="953" spans="1:15" x14ac:dyDescent="0.3">
      <c r="A953" s="2" t="s">
        <v>5866</v>
      </c>
      <c r="B953" s="3">
        <v>44092</v>
      </c>
      <c r="C953" s="2" t="s">
        <v>5867</v>
      </c>
      <c r="D953" t="s">
        <v>6178</v>
      </c>
      <c r="E953" s="2">
        <v>6</v>
      </c>
      <c r="F953" s="2" t="str">
        <f>_xlfn.XLOOKUP(C953,customers!$A$2:$A$1001,customers!$B$2:$B$1001,,0)</f>
        <v>Ingamar Eberlein</v>
      </c>
      <c r="G953" s="2" t="str">
        <f>_xlfn.XLOOKUP(C953,customers!$A$2:$A$1001,customers!$G$2:$G$1001,,0)</f>
        <v>United States</v>
      </c>
      <c r="H953" t="str">
        <f>INDEX(products!$A$1:$G$49,MATCH(orders!$D953,products!$A$1:$A$49,0),MATCH(orders!H$1,products!$A$1:$G$1,0))</f>
        <v>Rob</v>
      </c>
      <c r="I953" t="str">
        <f>INDEX(products!$A$1:$G$49,MATCH(orders!$D953,products!$A$1:$A$49,0),MATCH(orders!I$1,products!$A$1:$G$1,0))</f>
        <v>L</v>
      </c>
      <c r="J953" s="5">
        <f>INDEX(products!$A$1:$G$49,MATCH(orders!$D953,products!$A$1:$A$49,0),MATCH(orders!J$1,products!$A$1:$G$1,0))</f>
        <v>0.2</v>
      </c>
      <c r="K953" s="6">
        <f>INDEX(products!$A$1:$G$49,MATCH(orders!$D953,products!$A$1:$A$49,0),MATCH(orders!K$1,products!$A$1:$G$1,0))</f>
        <v>3.5849999999999995</v>
      </c>
      <c r="L953" s="6">
        <f>K953*E953</f>
        <v>21.509999999999998</v>
      </c>
      <c r="M953" t="str" cm="1">
        <f t="array" ref="M953">_xlfn.IFS(H953="Rob","Robusta",H953="Exc","Excelsa",H953="Ara","Arabica",H953="Lib","Liberica")</f>
        <v>Robusta</v>
      </c>
      <c r="N953" t="str" cm="1">
        <f t="array" ref="N953">_xlfn.IFS(I953="M","Medium",I953="L","Light",I953="D","Dark")</f>
        <v>Light</v>
      </c>
      <c r="O953" t="str">
        <f>_xlfn.XLOOKUP(Orders[[#This Row],[Customer ID]],customers!$A$2:$A$1001,customers!$I$2:$I$1001,,0)</f>
        <v>No</v>
      </c>
    </row>
    <row r="954" spans="1:15" x14ac:dyDescent="0.3">
      <c r="A954" s="2" t="s">
        <v>5872</v>
      </c>
      <c r="B954" s="3">
        <v>44439</v>
      </c>
      <c r="C954" s="2" t="s">
        <v>5873</v>
      </c>
      <c r="D954" t="s">
        <v>6155</v>
      </c>
      <c r="E954" s="2">
        <v>2</v>
      </c>
      <c r="F954" s="2" t="str">
        <f>_xlfn.XLOOKUP(C954,customers!$A$2:$A$1001,customers!$B$2:$B$1001,,0)</f>
        <v>Jilly Dreng</v>
      </c>
      <c r="G954" s="2" t="str">
        <f>_xlfn.XLOOKUP(C954,customers!$A$2:$A$1001,customers!$G$2:$G$1001,,0)</f>
        <v>Ireland</v>
      </c>
      <c r="H954" t="str">
        <f>INDEX(products!$A$1:$G$49,MATCH(orders!$D954,products!$A$1:$A$49,0),MATCH(orders!H$1,products!$A$1:$G$1,0))</f>
        <v>Ara</v>
      </c>
      <c r="I954" t="str">
        <f>INDEX(products!$A$1:$G$49,MATCH(orders!$D954,products!$A$1:$A$49,0),MATCH(orders!I$1,products!$A$1:$G$1,0))</f>
        <v>M</v>
      </c>
      <c r="J954" s="5">
        <f>INDEX(products!$A$1:$G$49,MATCH(orders!$D954,products!$A$1:$A$49,0),MATCH(orders!J$1,products!$A$1:$G$1,0))</f>
        <v>1</v>
      </c>
      <c r="K954" s="6">
        <f>INDEX(products!$A$1:$G$49,MATCH(orders!$D954,products!$A$1:$A$49,0),MATCH(orders!K$1,products!$A$1:$G$1,0))</f>
        <v>11.25</v>
      </c>
      <c r="L954" s="6">
        <f>K954*E954</f>
        <v>22.5</v>
      </c>
      <c r="M954" t="str" cm="1">
        <f t="array" ref="M954">_xlfn.IFS(H954="Rob","Robusta",H954="Exc","Excelsa",H954="Ara","Arabica",H954="Lib","Liberica")</f>
        <v>Arabica</v>
      </c>
      <c r="N954" t="str" cm="1">
        <f t="array" ref="N954">_xlfn.IFS(I954="M","Medium",I954="L","Light",I954="D","Dark")</f>
        <v>Medium</v>
      </c>
      <c r="O954" t="str">
        <f>_xlfn.XLOOKUP(Orders[[#This Row],[Customer ID]],customers!$A$2:$A$1001,customers!$I$2:$I$1001,,0)</f>
        <v>Yes</v>
      </c>
    </row>
    <row r="955" spans="1:15" x14ac:dyDescent="0.3">
      <c r="A955" s="2" t="s">
        <v>5878</v>
      </c>
      <c r="B955" s="3">
        <v>44582</v>
      </c>
      <c r="C955" s="2" t="s">
        <v>5764</v>
      </c>
      <c r="D955" t="s">
        <v>6167</v>
      </c>
      <c r="E955" s="2">
        <v>1</v>
      </c>
      <c r="F955" s="2" t="str">
        <f>_xlfn.XLOOKUP(C955,customers!$A$2:$A$1001,customers!$B$2:$B$1001,,0)</f>
        <v>Brenn Dundredge</v>
      </c>
      <c r="G955" s="2" t="str">
        <f>_xlfn.XLOOKUP(C955,customers!$A$2:$A$1001,customers!$G$2:$G$1001,,0)</f>
        <v>United States</v>
      </c>
      <c r="H955" t="str">
        <f>INDEX(products!$A$1:$G$49,MATCH(orders!$D955,products!$A$1:$A$49,0),MATCH(orders!H$1,products!$A$1:$G$1,0))</f>
        <v>Ara</v>
      </c>
      <c r="I955" t="str">
        <f>INDEX(products!$A$1:$G$49,MATCH(orders!$D955,products!$A$1:$A$49,0),MATCH(orders!I$1,products!$A$1:$G$1,0))</f>
        <v>L</v>
      </c>
      <c r="J955" s="5">
        <f>INDEX(products!$A$1:$G$49,MATCH(orders!$D955,products!$A$1:$A$49,0),MATCH(orders!J$1,products!$A$1:$G$1,0))</f>
        <v>0.2</v>
      </c>
      <c r="K955" s="6">
        <f>INDEX(products!$A$1:$G$49,MATCH(orders!$D955,products!$A$1:$A$49,0),MATCH(orders!K$1,products!$A$1:$G$1,0))</f>
        <v>3.8849999999999998</v>
      </c>
      <c r="L955" s="6">
        <f>K955*E955</f>
        <v>3.8849999999999998</v>
      </c>
      <c r="M955" t="str" cm="1">
        <f t="array" ref="M955">_xlfn.IFS(H955="Rob","Robusta",H955="Exc","Excelsa",H955="Ara","Arabica",H955="Lib","Liberica")</f>
        <v>Arabica</v>
      </c>
      <c r="N955" t="str" cm="1">
        <f t="array" ref="N955">_xlfn.IFS(I955="M","Medium",I955="L","Light",I955="D","Dark")</f>
        <v>Light</v>
      </c>
      <c r="O955" t="str">
        <f>_xlfn.XLOOKUP(Orders[[#This Row],[Customer ID]],customers!$A$2:$A$1001,customers!$I$2:$I$1001,,0)</f>
        <v>Yes</v>
      </c>
    </row>
    <row r="956" spans="1:15" x14ac:dyDescent="0.3">
      <c r="A956" s="2" t="s">
        <v>5884</v>
      </c>
      <c r="B956" s="3">
        <v>44722</v>
      </c>
      <c r="C956" s="2" t="s">
        <v>5764</v>
      </c>
      <c r="D956" t="s">
        <v>6185</v>
      </c>
      <c r="E956" s="2">
        <v>1</v>
      </c>
      <c r="F956" s="2" t="str">
        <f>_xlfn.XLOOKUP(C956,customers!$A$2:$A$1001,customers!$B$2:$B$1001,,0)</f>
        <v>Brenn Dundredge</v>
      </c>
      <c r="G956" s="2" t="str">
        <f>_xlfn.XLOOKUP(C956,customers!$A$2:$A$1001,customers!$G$2:$G$1001,,0)</f>
        <v>United States</v>
      </c>
      <c r="H956" t="str">
        <f>INDEX(products!$A$1:$G$49,MATCH(orders!$D956,products!$A$1:$A$49,0),MATCH(orders!H$1,products!$A$1:$G$1,0))</f>
        <v>Exc</v>
      </c>
      <c r="I956" t="str">
        <f>INDEX(products!$A$1:$G$49,MATCH(orders!$D956,products!$A$1:$A$49,0),MATCH(orders!I$1,products!$A$1:$G$1,0))</f>
        <v>D</v>
      </c>
      <c r="J956" s="5">
        <f>INDEX(products!$A$1:$G$49,MATCH(orders!$D956,products!$A$1:$A$49,0),MATCH(orders!J$1,products!$A$1:$G$1,0))</f>
        <v>2.5</v>
      </c>
      <c r="K956" s="6">
        <f>INDEX(products!$A$1:$G$49,MATCH(orders!$D956,products!$A$1:$A$49,0),MATCH(orders!K$1,products!$A$1:$G$1,0))</f>
        <v>27.945</v>
      </c>
      <c r="L956" s="6">
        <f>K956*E956</f>
        <v>27.945</v>
      </c>
      <c r="M956" t="str" cm="1">
        <f t="array" ref="M956">_xlfn.IFS(H956="Rob","Robusta",H956="Exc","Excelsa",H956="Ara","Arabica",H956="Lib","Liberica")</f>
        <v>Excelsa</v>
      </c>
      <c r="N956" t="str" cm="1">
        <f t="array" ref="N956">_xlfn.IFS(I956="M","Medium",I956="L","Light",I956="D","Dark")</f>
        <v>Dark</v>
      </c>
      <c r="O956" t="str">
        <f>_xlfn.XLOOKUP(Orders[[#This Row],[Customer ID]],customers!$A$2:$A$1001,customers!$I$2:$I$1001,,0)</f>
        <v>Yes</v>
      </c>
    </row>
    <row r="957" spans="1:15" x14ac:dyDescent="0.3">
      <c r="A957" s="2" t="s">
        <v>5890</v>
      </c>
      <c r="B957" s="3">
        <v>43582</v>
      </c>
      <c r="C957" s="2" t="s">
        <v>5764</v>
      </c>
      <c r="D957" t="s">
        <v>6148</v>
      </c>
      <c r="E957" s="2">
        <v>5</v>
      </c>
      <c r="F957" s="2" t="str">
        <f>_xlfn.XLOOKUP(C957,customers!$A$2:$A$1001,customers!$B$2:$B$1001,,0)</f>
        <v>Brenn Dundredge</v>
      </c>
      <c r="G957" s="2" t="str">
        <f>_xlfn.XLOOKUP(C957,customers!$A$2:$A$1001,customers!$G$2:$G$1001,,0)</f>
        <v>United States</v>
      </c>
      <c r="H957" t="str">
        <f>INDEX(products!$A$1:$G$49,MATCH(orders!$D957,products!$A$1:$A$49,0),MATCH(orders!H$1,products!$A$1:$G$1,0))</f>
        <v>Exc</v>
      </c>
      <c r="I957" t="str">
        <f>INDEX(products!$A$1:$G$49,MATCH(orders!$D957,products!$A$1:$A$49,0),MATCH(orders!I$1,products!$A$1:$G$1,0))</f>
        <v>L</v>
      </c>
      <c r="J957" s="5">
        <f>INDEX(products!$A$1:$G$49,MATCH(orders!$D957,products!$A$1:$A$49,0),MATCH(orders!J$1,products!$A$1:$G$1,0))</f>
        <v>2.5</v>
      </c>
      <c r="K957" s="6">
        <f>INDEX(products!$A$1:$G$49,MATCH(orders!$D957,products!$A$1:$A$49,0),MATCH(orders!K$1,products!$A$1:$G$1,0))</f>
        <v>34.154999999999994</v>
      </c>
      <c r="L957" s="6">
        <f>K957*E957</f>
        <v>170.77499999999998</v>
      </c>
      <c r="M957" t="str" cm="1">
        <f t="array" ref="M957">_xlfn.IFS(H957="Rob","Robusta",H957="Exc","Excelsa",H957="Ara","Arabica",H957="Lib","Liberica")</f>
        <v>Excelsa</v>
      </c>
      <c r="N957" t="str" cm="1">
        <f t="array" ref="N957">_xlfn.IFS(I957="M","Medium",I957="L","Light",I957="D","Dark")</f>
        <v>Light</v>
      </c>
      <c r="O957" t="str">
        <f>_xlfn.XLOOKUP(Orders[[#This Row],[Customer ID]],customers!$A$2:$A$1001,customers!$I$2:$I$1001,,0)</f>
        <v>Yes</v>
      </c>
    </row>
    <row r="958" spans="1:15" x14ac:dyDescent="0.3">
      <c r="A958" s="2" t="s">
        <v>5890</v>
      </c>
      <c r="B958" s="3">
        <v>43582</v>
      </c>
      <c r="C958" s="2" t="s">
        <v>5764</v>
      </c>
      <c r="D958" t="s">
        <v>6142</v>
      </c>
      <c r="E958" s="2">
        <v>2</v>
      </c>
      <c r="F958" s="2" t="str">
        <f>_xlfn.XLOOKUP(C958,customers!$A$2:$A$1001,customers!$B$2:$B$1001,,0)</f>
        <v>Brenn Dundredge</v>
      </c>
      <c r="G958" s="2" t="str">
        <f>_xlfn.XLOOKUP(C958,customers!$A$2:$A$1001,customers!$G$2:$G$1001,,0)</f>
        <v>United States</v>
      </c>
      <c r="H958" t="str">
        <f>INDEX(products!$A$1:$G$49,MATCH(orders!$D958,products!$A$1:$A$49,0),MATCH(orders!H$1,products!$A$1:$G$1,0))</f>
        <v>Rob</v>
      </c>
      <c r="I958" t="str">
        <f>INDEX(products!$A$1:$G$49,MATCH(orders!$D958,products!$A$1:$A$49,0),MATCH(orders!I$1,products!$A$1:$G$1,0))</f>
        <v>L</v>
      </c>
      <c r="J958" s="5">
        <f>INDEX(products!$A$1:$G$49,MATCH(orders!$D958,products!$A$1:$A$49,0),MATCH(orders!J$1,products!$A$1:$G$1,0))</f>
        <v>2.5</v>
      </c>
      <c r="K958" s="6">
        <f>INDEX(products!$A$1:$G$49,MATCH(orders!$D958,products!$A$1:$A$49,0),MATCH(orders!K$1,products!$A$1:$G$1,0))</f>
        <v>27.484999999999996</v>
      </c>
      <c r="L958" s="6">
        <f>K958*E958</f>
        <v>54.969999999999992</v>
      </c>
      <c r="M958" t="str" cm="1">
        <f t="array" ref="M958">_xlfn.IFS(H958="Rob","Robusta",H958="Exc","Excelsa",H958="Ara","Arabica",H958="Lib","Liberica")</f>
        <v>Robusta</v>
      </c>
      <c r="N958" t="str" cm="1">
        <f t="array" ref="N958">_xlfn.IFS(I958="M","Medium",I958="L","Light",I958="D","Dark")</f>
        <v>Light</v>
      </c>
      <c r="O958" t="str">
        <f>_xlfn.XLOOKUP(Orders[[#This Row],[Customer ID]],customers!$A$2:$A$1001,customers!$I$2:$I$1001,,0)</f>
        <v>Yes</v>
      </c>
    </row>
    <row r="959" spans="1:15" x14ac:dyDescent="0.3">
      <c r="A959" s="2" t="s">
        <v>5890</v>
      </c>
      <c r="B959" s="3">
        <v>43582</v>
      </c>
      <c r="C959" s="2" t="s">
        <v>5764</v>
      </c>
      <c r="D959" t="s">
        <v>6171</v>
      </c>
      <c r="E959" s="2">
        <v>1</v>
      </c>
      <c r="F959" s="2" t="str">
        <f>_xlfn.XLOOKUP(C959,customers!$A$2:$A$1001,customers!$B$2:$B$1001,,0)</f>
        <v>Brenn Dundredge</v>
      </c>
      <c r="G959" s="2" t="str">
        <f>_xlfn.XLOOKUP(C959,customers!$A$2:$A$1001,customers!$G$2:$G$1001,,0)</f>
        <v>United States</v>
      </c>
      <c r="H959" t="str">
        <f>INDEX(products!$A$1:$G$49,MATCH(orders!$D959,products!$A$1:$A$49,0),MATCH(orders!H$1,products!$A$1:$G$1,0))</f>
        <v>Exc</v>
      </c>
      <c r="I959" t="str">
        <f>INDEX(products!$A$1:$G$49,MATCH(orders!$D959,products!$A$1:$A$49,0),MATCH(orders!I$1,products!$A$1:$G$1,0))</f>
        <v>L</v>
      </c>
      <c r="J959" s="5">
        <f>INDEX(products!$A$1:$G$49,MATCH(orders!$D959,products!$A$1:$A$49,0),MATCH(orders!J$1,products!$A$1:$G$1,0))</f>
        <v>1</v>
      </c>
      <c r="K959" s="6">
        <f>INDEX(products!$A$1:$G$49,MATCH(orders!$D959,products!$A$1:$A$49,0),MATCH(orders!K$1,products!$A$1:$G$1,0))</f>
        <v>14.85</v>
      </c>
      <c r="L959" s="6">
        <f>K959*E959</f>
        <v>14.85</v>
      </c>
      <c r="M959" t="str" cm="1">
        <f t="array" ref="M959">_xlfn.IFS(H959="Rob","Robusta",H959="Exc","Excelsa",H959="Ara","Arabica",H959="Lib","Liberica")</f>
        <v>Excelsa</v>
      </c>
      <c r="N959" t="str" cm="1">
        <f t="array" ref="N959">_xlfn.IFS(I959="M","Medium",I959="L","Light",I959="D","Dark")</f>
        <v>Light</v>
      </c>
      <c r="O959" t="str">
        <f>_xlfn.XLOOKUP(Orders[[#This Row],[Customer ID]],customers!$A$2:$A$1001,customers!$I$2:$I$1001,,0)</f>
        <v>Yes</v>
      </c>
    </row>
    <row r="960" spans="1:15" x14ac:dyDescent="0.3">
      <c r="A960" s="2" t="s">
        <v>5890</v>
      </c>
      <c r="B960" s="3">
        <v>43582</v>
      </c>
      <c r="C960" s="2" t="s">
        <v>5764</v>
      </c>
      <c r="D960" t="s">
        <v>6167</v>
      </c>
      <c r="E960" s="2">
        <v>2</v>
      </c>
      <c r="F960" s="2" t="str">
        <f>_xlfn.XLOOKUP(C960,customers!$A$2:$A$1001,customers!$B$2:$B$1001,,0)</f>
        <v>Brenn Dundredge</v>
      </c>
      <c r="G960" s="2" t="str">
        <f>_xlfn.XLOOKUP(C960,customers!$A$2:$A$1001,customers!$G$2:$G$1001,,0)</f>
        <v>United States</v>
      </c>
      <c r="H960" t="str">
        <f>INDEX(products!$A$1:$G$49,MATCH(orders!$D960,products!$A$1:$A$49,0),MATCH(orders!H$1,products!$A$1:$G$1,0))</f>
        <v>Ara</v>
      </c>
      <c r="I960" t="str">
        <f>INDEX(products!$A$1:$G$49,MATCH(orders!$D960,products!$A$1:$A$49,0),MATCH(orders!I$1,products!$A$1:$G$1,0))</f>
        <v>L</v>
      </c>
      <c r="J960" s="5">
        <f>INDEX(products!$A$1:$G$49,MATCH(orders!$D960,products!$A$1:$A$49,0),MATCH(orders!J$1,products!$A$1:$G$1,0))</f>
        <v>0.2</v>
      </c>
      <c r="K960" s="6">
        <f>INDEX(products!$A$1:$G$49,MATCH(orders!$D960,products!$A$1:$A$49,0),MATCH(orders!K$1,products!$A$1:$G$1,0))</f>
        <v>3.8849999999999998</v>
      </c>
      <c r="L960" s="6">
        <f>K960*E960</f>
        <v>7.77</v>
      </c>
      <c r="M960" t="str" cm="1">
        <f t="array" ref="M960">_xlfn.IFS(H960="Rob","Robusta",H960="Exc","Excelsa",H960="Ara","Arabica",H960="Lib","Liberica")</f>
        <v>Arabica</v>
      </c>
      <c r="N960" t="str" cm="1">
        <f t="array" ref="N960">_xlfn.IFS(I960="M","Medium",I960="L","Light",I960="D","Dark")</f>
        <v>Light</v>
      </c>
      <c r="O960" t="str">
        <f>_xlfn.XLOOKUP(Orders[[#This Row],[Customer ID]],customers!$A$2:$A$1001,customers!$I$2:$I$1001,,0)</f>
        <v>Yes</v>
      </c>
    </row>
    <row r="961" spans="1:15" x14ac:dyDescent="0.3">
      <c r="A961" s="2" t="s">
        <v>5910</v>
      </c>
      <c r="B961" s="3">
        <v>44598</v>
      </c>
      <c r="C961" s="2" t="s">
        <v>5911</v>
      </c>
      <c r="D961" t="s">
        <v>6145</v>
      </c>
      <c r="E961" s="2">
        <v>5</v>
      </c>
      <c r="F961" s="2" t="str">
        <f>_xlfn.XLOOKUP(C961,customers!$A$2:$A$1001,customers!$B$2:$B$1001,,0)</f>
        <v>Rhodie Strathern</v>
      </c>
      <c r="G961" s="2" t="str">
        <f>_xlfn.XLOOKUP(C961,customers!$A$2:$A$1001,customers!$G$2:$G$1001,,0)</f>
        <v>United States</v>
      </c>
      <c r="H961" t="str">
        <f>INDEX(products!$A$1:$G$49,MATCH(orders!$D961,products!$A$1:$A$49,0),MATCH(orders!H$1,products!$A$1:$G$1,0))</f>
        <v>Lib</v>
      </c>
      <c r="I961" t="str">
        <f>INDEX(products!$A$1:$G$49,MATCH(orders!$D961,products!$A$1:$A$49,0),MATCH(orders!I$1,products!$A$1:$G$1,0))</f>
        <v>L</v>
      </c>
      <c r="J961" s="5">
        <f>INDEX(products!$A$1:$G$49,MATCH(orders!$D961,products!$A$1:$A$49,0),MATCH(orders!J$1,products!$A$1:$G$1,0))</f>
        <v>0.2</v>
      </c>
      <c r="K961" s="6">
        <f>INDEX(products!$A$1:$G$49,MATCH(orders!$D961,products!$A$1:$A$49,0),MATCH(orders!K$1,products!$A$1:$G$1,0))</f>
        <v>4.7549999999999999</v>
      </c>
      <c r="L961" s="6">
        <f>K961*E961</f>
        <v>23.774999999999999</v>
      </c>
      <c r="M961" t="str" cm="1">
        <f t="array" ref="M961">_xlfn.IFS(H961="Rob","Robusta",H961="Exc","Excelsa",H961="Ara","Arabica",H961="Lib","Liberica")</f>
        <v>Liberica</v>
      </c>
      <c r="N961" t="str" cm="1">
        <f t="array" ref="N961">_xlfn.IFS(I961="M","Medium",I961="L","Light",I961="D","Dark")</f>
        <v>Light</v>
      </c>
      <c r="O961" t="str">
        <f>_xlfn.XLOOKUP(Orders[[#This Row],[Customer ID]],customers!$A$2:$A$1001,customers!$I$2:$I$1001,,0)</f>
        <v>Yes</v>
      </c>
    </row>
    <row r="962" spans="1:15" x14ac:dyDescent="0.3">
      <c r="A962" s="2" t="s">
        <v>5915</v>
      </c>
      <c r="B962" s="3">
        <v>44591</v>
      </c>
      <c r="C962" s="2" t="s">
        <v>5916</v>
      </c>
      <c r="D962" t="s">
        <v>6170</v>
      </c>
      <c r="E962" s="2">
        <v>5</v>
      </c>
      <c r="F962" s="2" t="str">
        <f>_xlfn.XLOOKUP(C962,customers!$A$2:$A$1001,customers!$B$2:$B$1001,,0)</f>
        <v>Chad Miguel</v>
      </c>
      <c r="G962" s="2" t="str">
        <f>_xlfn.XLOOKUP(C962,customers!$A$2:$A$1001,customers!$G$2:$G$1001,,0)</f>
        <v>United States</v>
      </c>
      <c r="H962" t="str">
        <f>INDEX(products!$A$1:$G$49,MATCH(orders!$D962,products!$A$1:$A$49,0),MATCH(orders!H$1,products!$A$1:$G$1,0))</f>
        <v>Lib</v>
      </c>
      <c r="I962" t="str">
        <f>INDEX(products!$A$1:$G$49,MATCH(orders!$D962,products!$A$1:$A$49,0),MATCH(orders!I$1,products!$A$1:$G$1,0))</f>
        <v>L</v>
      </c>
      <c r="J962" s="5">
        <f>INDEX(products!$A$1:$G$49,MATCH(orders!$D962,products!$A$1:$A$49,0),MATCH(orders!J$1,products!$A$1:$G$1,0))</f>
        <v>1</v>
      </c>
      <c r="K962" s="6">
        <f>INDEX(products!$A$1:$G$49,MATCH(orders!$D962,products!$A$1:$A$49,0),MATCH(orders!K$1,products!$A$1:$G$1,0))</f>
        <v>15.85</v>
      </c>
      <c r="L962" s="6">
        <f>K962*E962</f>
        <v>79.25</v>
      </c>
      <c r="M962" t="str" cm="1">
        <f t="array" ref="M962">_xlfn.IFS(H962="Rob","Robusta",H962="Exc","Excelsa",H962="Ara","Arabica",H962="Lib","Liberica")</f>
        <v>Liberica</v>
      </c>
      <c r="N962" t="str" cm="1">
        <f t="array" ref="N962">_xlfn.IFS(I962="M","Medium",I962="L","Light",I962="D","Dark")</f>
        <v>Light</v>
      </c>
      <c r="O962" t="str">
        <f>_xlfn.XLOOKUP(Orders[[#This Row],[Customer ID]],customers!$A$2:$A$1001,customers!$I$2:$I$1001,,0)</f>
        <v>Yes</v>
      </c>
    </row>
    <row r="963" spans="1:15" x14ac:dyDescent="0.3">
      <c r="A963" s="2" t="s">
        <v>5921</v>
      </c>
      <c r="B963" s="3">
        <v>44158</v>
      </c>
      <c r="C963" s="2" t="s">
        <v>5922</v>
      </c>
      <c r="D963" t="s">
        <v>6168</v>
      </c>
      <c r="E963" s="2">
        <v>2</v>
      </c>
      <c r="F963" s="2" t="str">
        <f>_xlfn.XLOOKUP(C963,customers!$A$2:$A$1001,customers!$B$2:$B$1001,,0)</f>
        <v>Florinda Matusovsky</v>
      </c>
      <c r="G963" s="2" t="str">
        <f>_xlfn.XLOOKUP(C963,customers!$A$2:$A$1001,customers!$G$2:$G$1001,,0)</f>
        <v>United States</v>
      </c>
      <c r="H963" t="str">
        <f>INDEX(products!$A$1:$G$49,MATCH(orders!$D963,products!$A$1:$A$49,0),MATCH(orders!H$1,products!$A$1:$G$1,0))</f>
        <v>Ara</v>
      </c>
      <c r="I963" t="str">
        <f>INDEX(products!$A$1:$G$49,MATCH(orders!$D963,products!$A$1:$A$49,0),MATCH(orders!I$1,products!$A$1:$G$1,0))</f>
        <v>D</v>
      </c>
      <c r="J963" s="5">
        <f>INDEX(products!$A$1:$G$49,MATCH(orders!$D963,products!$A$1:$A$49,0),MATCH(orders!J$1,products!$A$1:$G$1,0))</f>
        <v>2.5</v>
      </c>
      <c r="K963" s="6">
        <f>INDEX(products!$A$1:$G$49,MATCH(orders!$D963,products!$A$1:$A$49,0),MATCH(orders!K$1,products!$A$1:$G$1,0))</f>
        <v>22.884999999999998</v>
      </c>
      <c r="L963" s="6">
        <f>K963*E963</f>
        <v>45.769999999999996</v>
      </c>
      <c r="M963" t="str" cm="1">
        <f t="array" ref="M963">_xlfn.IFS(H963="Rob","Robusta",H963="Exc","Excelsa",H963="Ara","Arabica",H963="Lib","Liberica")</f>
        <v>Arabica</v>
      </c>
      <c r="N963" t="str" cm="1">
        <f t="array" ref="N963">_xlfn.IFS(I963="M","Medium",I963="L","Light",I963="D","Dark")</f>
        <v>Dark</v>
      </c>
      <c r="O963" t="str">
        <f>_xlfn.XLOOKUP(Orders[[#This Row],[Customer ID]],customers!$A$2:$A$1001,customers!$I$2:$I$1001,,0)</f>
        <v>Yes</v>
      </c>
    </row>
    <row r="964" spans="1:15" x14ac:dyDescent="0.3">
      <c r="A964" s="2" t="s">
        <v>5926</v>
      </c>
      <c r="B964" s="3">
        <v>44664</v>
      </c>
      <c r="C964" s="2" t="s">
        <v>5927</v>
      </c>
      <c r="D964" t="s">
        <v>6177</v>
      </c>
      <c r="E964" s="2">
        <v>1</v>
      </c>
      <c r="F964" s="2" t="str">
        <f>_xlfn.XLOOKUP(C964,customers!$A$2:$A$1001,customers!$B$2:$B$1001,,0)</f>
        <v>Morly Rocks</v>
      </c>
      <c r="G964" s="2" t="str">
        <f>_xlfn.XLOOKUP(C964,customers!$A$2:$A$1001,customers!$G$2:$G$1001,,0)</f>
        <v>Ireland</v>
      </c>
      <c r="H964" t="str">
        <f>INDEX(products!$A$1:$G$49,MATCH(orders!$D964,products!$A$1:$A$49,0),MATCH(orders!H$1,products!$A$1:$G$1,0))</f>
        <v>Rob</v>
      </c>
      <c r="I964" t="str">
        <f>INDEX(products!$A$1:$G$49,MATCH(orders!$D964,products!$A$1:$A$49,0),MATCH(orders!I$1,products!$A$1:$G$1,0))</f>
        <v>D</v>
      </c>
      <c r="J964" s="5">
        <f>INDEX(products!$A$1:$G$49,MATCH(orders!$D964,products!$A$1:$A$49,0),MATCH(orders!J$1,products!$A$1:$G$1,0))</f>
        <v>1</v>
      </c>
      <c r="K964" s="6">
        <f>INDEX(products!$A$1:$G$49,MATCH(orders!$D964,products!$A$1:$A$49,0),MATCH(orders!K$1,products!$A$1:$G$1,0))</f>
        <v>8.9499999999999993</v>
      </c>
      <c r="L964" s="6">
        <f>K964*E964</f>
        <v>8.9499999999999993</v>
      </c>
      <c r="M964" t="str" cm="1">
        <f t="array" ref="M964">_xlfn.IFS(H964="Rob","Robusta",H964="Exc","Excelsa",H964="Ara","Arabica",H964="Lib","Liberica")</f>
        <v>Robusta</v>
      </c>
      <c r="N964" t="str" cm="1">
        <f t="array" ref="N964">_xlfn.IFS(I964="M","Medium",I964="L","Light",I964="D","Dark")</f>
        <v>Dark</v>
      </c>
      <c r="O964" t="str">
        <f>_xlfn.XLOOKUP(Orders[[#This Row],[Customer ID]],customers!$A$2:$A$1001,customers!$I$2:$I$1001,,0)</f>
        <v>Yes</v>
      </c>
    </row>
    <row r="965" spans="1:15" x14ac:dyDescent="0.3">
      <c r="A965" s="2" t="s">
        <v>5932</v>
      </c>
      <c r="B965" s="3">
        <v>44203</v>
      </c>
      <c r="C965" s="2" t="s">
        <v>5933</v>
      </c>
      <c r="D965" t="s">
        <v>6146</v>
      </c>
      <c r="E965" s="2">
        <v>4</v>
      </c>
      <c r="F965" s="2" t="str">
        <f>_xlfn.XLOOKUP(C965,customers!$A$2:$A$1001,customers!$B$2:$B$1001,,0)</f>
        <v>Yuri Burrells</v>
      </c>
      <c r="G965" s="2" t="str">
        <f>_xlfn.XLOOKUP(C965,customers!$A$2:$A$1001,customers!$G$2:$G$1001,,0)</f>
        <v>United States</v>
      </c>
      <c r="H965" t="str">
        <f>INDEX(products!$A$1:$G$49,MATCH(orders!$D965,products!$A$1:$A$49,0),MATCH(orders!H$1,products!$A$1:$G$1,0))</f>
        <v>Rob</v>
      </c>
      <c r="I965" t="str">
        <f>INDEX(products!$A$1:$G$49,MATCH(orders!$D965,products!$A$1:$A$49,0),MATCH(orders!I$1,products!$A$1:$G$1,0))</f>
        <v>M</v>
      </c>
      <c r="J965" s="5">
        <f>INDEX(products!$A$1:$G$49,MATCH(orders!$D965,products!$A$1:$A$49,0),MATCH(orders!J$1,products!$A$1:$G$1,0))</f>
        <v>0.5</v>
      </c>
      <c r="K965" s="6">
        <f>INDEX(products!$A$1:$G$49,MATCH(orders!$D965,products!$A$1:$A$49,0),MATCH(orders!K$1,products!$A$1:$G$1,0))</f>
        <v>5.97</v>
      </c>
      <c r="L965" s="6">
        <f>K965*E965</f>
        <v>23.88</v>
      </c>
      <c r="M965" t="str" cm="1">
        <f t="array" ref="M965">_xlfn.IFS(H965="Rob","Robusta",H965="Exc","Excelsa",H965="Ara","Arabica",H965="Lib","Liberica")</f>
        <v>Robusta</v>
      </c>
      <c r="N965" t="str" cm="1">
        <f t="array" ref="N965">_xlfn.IFS(I965="M","Medium",I965="L","Light",I965="D","Dark")</f>
        <v>Medium</v>
      </c>
      <c r="O965" t="str">
        <f>_xlfn.XLOOKUP(Orders[[#This Row],[Customer ID]],customers!$A$2:$A$1001,customers!$I$2:$I$1001,,0)</f>
        <v>Yes</v>
      </c>
    </row>
    <row r="966" spans="1:15" x14ac:dyDescent="0.3">
      <c r="A966" s="2" t="s">
        <v>5938</v>
      </c>
      <c r="B966" s="3">
        <v>43865</v>
      </c>
      <c r="C966" s="2" t="s">
        <v>5939</v>
      </c>
      <c r="D966" t="s">
        <v>6184</v>
      </c>
      <c r="E966" s="2">
        <v>5</v>
      </c>
      <c r="F966" s="2" t="str">
        <f>_xlfn.XLOOKUP(C966,customers!$A$2:$A$1001,customers!$B$2:$B$1001,,0)</f>
        <v>Cleopatra Goodrum</v>
      </c>
      <c r="G966" s="2" t="str">
        <f>_xlfn.XLOOKUP(C966,customers!$A$2:$A$1001,customers!$G$2:$G$1001,,0)</f>
        <v>United States</v>
      </c>
      <c r="H966" t="str">
        <f>INDEX(products!$A$1:$G$49,MATCH(orders!$D966,products!$A$1:$A$49,0),MATCH(orders!H$1,products!$A$1:$G$1,0))</f>
        <v>Exc</v>
      </c>
      <c r="I966" t="str">
        <f>INDEX(products!$A$1:$G$49,MATCH(orders!$D966,products!$A$1:$A$49,0),MATCH(orders!I$1,products!$A$1:$G$1,0))</f>
        <v>L</v>
      </c>
      <c r="J966" s="5">
        <f>INDEX(products!$A$1:$G$49,MATCH(orders!$D966,products!$A$1:$A$49,0),MATCH(orders!J$1,products!$A$1:$G$1,0))</f>
        <v>0.2</v>
      </c>
      <c r="K966" s="6">
        <f>INDEX(products!$A$1:$G$49,MATCH(orders!$D966,products!$A$1:$A$49,0),MATCH(orders!K$1,products!$A$1:$G$1,0))</f>
        <v>4.4550000000000001</v>
      </c>
      <c r="L966" s="6">
        <f>K966*E966</f>
        <v>22.274999999999999</v>
      </c>
      <c r="M966" t="str" cm="1">
        <f t="array" ref="M966">_xlfn.IFS(H966="Rob","Robusta",H966="Exc","Excelsa",H966="Ara","Arabica",H966="Lib","Liberica")</f>
        <v>Excelsa</v>
      </c>
      <c r="N966" t="str" cm="1">
        <f t="array" ref="N966">_xlfn.IFS(I966="M","Medium",I966="L","Light",I966="D","Dark")</f>
        <v>Light</v>
      </c>
      <c r="O966" t="str">
        <f>_xlfn.XLOOKUP(Orders[[#This Row],[Customer ID]],customers!$A$2:$A$1001,customers!$I$2:$I$1001,,0)</f>
        <v>No</v>
      </c>
    </row>
    <row r="967" spans="1:15" x14ac:dyDescent="0.3">
      <c r="A967" s="2" t="s">
        <v>5944</v>
      </c>
      <c r="B967" s="3">
        <v>43724</v>
      </c>
      <c r="C967" s="2" t="s">
        <v>5945</v>
      </c>
      <c r="D967" t="s">
        <v>6138</v>
      </c>
      <c r="E967" s="2">
        <v>3</v>
      </c>
      <c r="F967" s="2" t="str">
        <f>_xlfn.XLOOKUP(C967,customers!$A$2:$A$1001,customers!$B$2:$B$1001,,0)</f>
        <v>Joey Jefferys</v>
      </c>
      <c r="G967" s="2" t="str">
        <f>_xlfn.XLOOKUP(C967,customers!$A$2:$A$1001,customers!$G$2:$G$1001,,0)</f>
        <v>United States</v>
      </c>
      <c r="H967" t="str">
        <f>INDEX(products!$A$1:$G$49,MATCH(orders!$D967,products!$A$1:$A$49,0),MATCH(orders!H$1,products!$A$1:$G$1,0))</f>
        <v>Rob</v>
      </c>
      <c r="I967" t="str">
        <f>INDEX(products!$A$1:$G$49,MATCH(orders!$D967,products!$A$1:$A$49,0),MATCH(orders!I$1,products!$A$1:$G$1,0))</f>
        <v>M</v>
      </c>
      <c r="J967" s="5">
        <f>INDEX(products!$A$1:$G$49,MATCH(orders!$D967,products!$A$1:$A$49,0),MATCH(orders!J$1,products!$A$1:$G$1,0))</f>
        <v>1</v>
      </c>
      <c r="K967" s="6">
        <f>INDEX(products!$A$1:$G$49,MATCH(orders!$D967,products!$A$1:$A$49,0),MATCH(orders!K$1,products!$A$1:$G$1,0))</f>
        <v>9.9499999999999993</v>
      </c>
      <c r="L967" s="6">
        <f>K967*E967</f>
        <v>29.849999999999998</v>
      </c>
      <c r="M967" t="str" cm="1">
        <f t="array" ref="M967">_xlfn.IFS(H967="Rob","Robusta",H967="Exc","Excelsa",H967="Ara","Arabica",H967="Lib","Liberica")</f>
        <v>Robusta</v>
      </c>
      <c r="N967" t="str" cm="1">
        <f t="array" ref="N967">_xlfn.IFS(I967="M","Medium",I967="L","Light",I967="D","Dark")</f>
        <v>Medium</v>
      </c>
      <c r="O967" t="str">
        <f>_xlfn.XLOOKUP(Orders[[#This Row],[Customer ID]],customers!$A$2:$A$1001,customers!$I$2:$I$1001,,0)</f>
        <v>Yes</v>
      </c>
    </row>
    <row r="968" spans="1:15" x14ac:dyDescent="0.3">
      <c r="A968" s="2" t="s">
        <v>5949</v>
      </c>
      <c r="B968" s="3">
        <v>43491</v>
      </c>
      <c r="C968" s="2" t="s">
        <v>5950</v>
      </c>
      <c r="D968" t="s">
        <v>6176</v>
      </c>
      <c r="E968" s="2">
        <v>6</v>
      </c>
      <c r="F968" s="2" t="str">
        <f>_xlfn.XLOOKUP(C968,customers!$A$2:$A$1001,customers!$B$2:$B$1001,,0)</f>
        <v>Bearnard Wardell</v>
      </c>
      <c r="G968" s="2" t="str">
        <f>_xlfn.XLOOKUP(C968,customers!$A$2:$A$1001,customers!$G$2:$G$1001,,0)</f>
        <v>United States</v>
      </c>
      <c r="H968" t="str">
        <f>INDEX(products!$A$1:$G$49,MATCH(orders!$D968,products!$A$1:$A$49,0),MATCH(orders!H$1,products!$A$1:$G$1,0))</f>
        <v>Exc</v>
      </c>
      <c r="I968" t="str">
        <f>INDEX(products!$A$1:$G$49,MATCH(orders!$D968,products!$A$1:$A$49,0),MATCH(orders!I$1,products!$A$1:$G$1,0))</f>
        <v>L</v>
      </c>
      <c r="J968" s="5">
        <f>INDEX(products!$A$1:$G$49,MATCH(orders!$D968,products!$A$1:$A$49,0),MATCH(orders!J$1,products!$A$1:$G$1,0))</f>
        <v>0.5</v>
      </c>
      <c r="K968" s="6">
        <f>INDEX(products!$A$1:$G$49,MATCH(orders!$D968,products!$A$1:$A$49,0),MATCH(orders!K$1,products!$A$1:$G$1,0))</f>
        <v>8.91</v>
      </c>
      <c r="L968" s="6">
        <f>K968*E968</f>
        <v>53.46</v>
      </c>
      <c r="M968" t="str" cm="1">
        <f t="array" ref="M968">_xlfn.IFS(H968="Rob","Robusta",H968="Exc","Excelsa",H968="Ara","Arabica",H968="Lib","Liberica")</f>
        <v>Excelsa</v>
      </c>
      <c r="N968" t="str" cm="1">
        <f t="array" ref="N968">_xlfn.IFS(I968="M","Medium",I968="L","Light",I968="D","Dark")</f>
        <v>Light</v>
      </c>
      <c r="O968" t="str">
        <f>_xlfn.XLOOKUP(Orders[[#This Row],[Customer ID]],customers!$A$2:$A$1001,customers!$I$2:$I$1001,,0)</f>
        <v>Yes</v>
      </c>
    </row>
    <row r="969" spans="1:15" x14ac:dyDescent="0.3">
      <c r="A969" s="2" t="s">
        <v>5955</v>
      </c>
      <c r="B969" s="3">
        <v>44246</v>
      </c>
      <c r="C969" s="2" t="s">
        <v>5956</v>
      </c>
      <c r="D969" t="s">
        <v>6163</v>
      </c>
      <c r="E969" s="2">
        <v>1</v>
      </c>
      <c r="F969" s="2" t="str">
        <f>_xlfn.XLOOKUP(C969,customers!$A$2:$A$1001,customers!$B$2:$B$1001,,0)</f>
        <v>Zeke Walisiak</v>
      </c>
      <c r="G969" s="2" t="str">
        <f>_xlfn.XLOOKUP(C969,customers!$A$2:$A$1001,customers!$G$2:$G$1001,,0)</f>
        <v>Ireland</v>
      </c>
      <c r="H969" t="str">
        <f>INDEX(products!$A$1:$G$49,MATCH(orders!$D969,products!$A$1:$A$49,0),MATCH(orders!H$1,products!$A$1:$G$1,0))</f>
        <v>Rob</v>
      </c>
      <c r="I969" t="str">
        <f>INDEX(products!$A$1:$G$49,MATCH(orders!$D969,products!$A$1:$A$49,0),MATCH(orders!I$1,products!$A$1:$G$1,0))</f>
        <v>D</v>
      </c>
      <c r="J969" s="5">
        <f>INDEX(products!$A$1:$G$49,MATCH(orders!$D969,products!$A$1:$A$49,0),MATCH(orders!J$1,products!$A$1:$G$1,0))</f>
        <v>0.2</v>
      </c>
      <c r="K969" s="6">
        <f>INDEX(products!$A$1:$G$49,MATCH(orders!$D969,products!$A$1:$A$49,0),MATCH(orders!K$1,products!$A$1:$G$1,0))</f>
        <v>2.6849999999999996</v>
      </c>
      <c r="L969" s="6">
        <f>K969*E969</f>
        <v>2.6849999999999996</v>
      </c>
      <c r="M969" t="str" cm="1">
        <f t="array" ref="M969">_xlfn.IFS(H969="Rob","Robusta",H969="Exc","Excelsa",H969="Ara","Arabica",H969="Lib","Liberica")</f>
        <v>Robusta</v>
      </c>
      <c r="N969" t="str" cm="1">
        <f t="array" ref="N969">_xlfn.IFS(I969="M","Medium",I969="L","Light",I969="D","Dark")</f>
        <v>Dark</v>
      </c>
      <c r="O969" t="str">
        <f>_xlfn.XLOOKUP(Orders[[#This Row],[Customer ID]],customers!$A$2:$A$1001,customers!$I$2:$I$1001,,0)</f>
        <v>Yes</v>
      </c>
    </row>
    <row r="970" spans="1:15" x14ac:dyDescent="0.3">
      <c r="A970" s="2" t="s">
        <v>5961</v>
      </c>
      <c r="B970" s="3">
        <v>44642</v>
      </c>
      <c r="C970" s="2" t="s">
        <v>5962</v>
      </c>
      <c r="D970" t="s">
        <v>6174</v>
      </c>
      <c r="E970" s="2">
        <v>2</v>
      </c>
      <c r="F970" s="2" t="str">
        <f>_xlfn.XLOOKUP(C970,customers!$A$2:$A$1001,customers!$B$2:$B$1001,,0)</f>
        <v>Wiley Leopold</v>
      </c>
      <c r="G970" s="2" t="str">
        <f>_xlfn.XLOOKUP(C970,customers!$A$2:$A$1001,customers!$G$2:$G$1001,,0)</f>
        <v>United States</v>
      </c>
      <c r="H970" t="str">
        <f>INDEX(products!$A$1:$G$49,MATCH(orders!$D970,products!$A$1:$A$49,0),MATCH(orders!H$1,products!$A$1:$G$1,0))</f>
        <v>Rob</v>
      </c>
      <c r="I970" t="str">
        <f>INDEX(products!$A$1:$G$49,MATCH(orders!$D970,products!$A$1:$A$49,0),MATCH(orders!I$1,products!$A$1:$G$1,0))</f>
        <v>M</v>
      </c>
      <c r="J970" s="5">
        <f>INDEX(products!$A$1:$G$49,MATCH(orders!$D970,products!$A$1:$A$49,0),MATCH(orders!J$1,products!$A$1:$G$1,0))</f>
        <v>0.2</v>
      </c>
      <c r="K970" s="6">
        <f>INDEX(products!$A$1:$G$49,MATCH(orders!$D970,products!$A$1:$A$49,0),MATCH(orders!K$1,products!$A$1:$G$1,0))</f>
        <v>2.9849999999999999</v>
      </c>
      <c r="L970" s="6">
        <f>K970*E970</f>
        <v>5.97</v>
      </c>
      <c r="M970" t="str" cm="1">
        <f t="array" ref="M970">_xlfn.IFS(H970="Rob","Robusta",H970="Exc","Excelsa",H970="Ara","Arabica",H970="Lib","Liberica")</f>
        <v>Robusta</v>
      </c>
      <c r="N970" t="str" cm="1">
        <f t="array" ref="N970">_xlfn.IFS(I970="M","Medium",I970="L","Light",I970="D","Dark")</f>
        <v>Medium</v>
      </c>
      <c r="O970" t="str">
        <f>_xlfn.XLOOKUP(Orders[[#This Row],[Customer ID]],customers!$A$2:$A$1001,customers!$I$2:$I$1001,,0)</f>
        <v>No</v>
      </c>
    </row>
    <row r="971" spans="1:15" x14ac:dyDescent="0.3">
      <c r="A971" s="2" t="s">
        <v>5967</v>
      </c>
      <c r="B971" s="3">
        <v>43649</v>
      </c>
      <c r="C971" s="2" t="s">
        <v>5968</v>
      </c>
      <c r="D971" t="s">
        <v>6143</v>
      </c>
      <c r="E971" s="2">
        <v>1</v>
      </c>
      <c r="F971" s="2" t="str">
        <f>_xlfn.XLOOKUP(C971,customers!$A$2:$A$1001,customers!$B$2:$B$1001,,0)</f>
        <v>Chiarra Shalders</v>
      </c>
      <c r="G971" s="2" t="str">
        <f>_xlfn.XLOOKUP(C971,customers!$A$2:$A$1001,customers!$G$2:$G$1001,,0)</f>
        <v>United States</v>
      </c>
      <c r="H971" t="str">
        <f>INDEX(products!$A$1:$G$49,MATCH(orders!$D971,products!$A$1:$A$49,0),MATCH(orders!H$1,products!$A$1:$G$1,0))</f>
        <v>Lib</v>
      </c>
      <c r="I971" t="str">
        <f>INDEX(products!$A$1:$G$49,MATCH(orders!$D971,products!$A$1:$A$49,0),MATCH(orders!I$1,products!$A$1:$G$1,0))</f>
        <v>D</v>
      </c>
      <c r="J971" s="5">
        <f>INDEX(products!$A$1:$G$49,MATCH(orders!$D971,products!$A$1:$A$49,0),MATCH(orders!J$1,products!$A$1:$G$1,0))</f>
        <v>1</v>
      </c>
      <c r="K971" s="6">
        <f>INDEX(products!$A$1:$G$49,MATCH(orders!$D971,products!$A$1:$A$49,0),MATCH(orders!K$1,products!$A$1:$G$1,0))</f>
        <v>12.95</v>
      </c>
      <c r="L971" s="6">
        <f>K971*E971</f>
        <v>12.95</v>
      </c>
      <c r="M971" t="str" cm="1">
        <f t="array" ref="M971">_xlfn.IFS(H971="Rob","Robusta",H971="Exc","Excelsa",H971="Ara","Arabica",H971="Lib","Liberica")</f>
        <v>Liberica</v>
      </c>
      <c r="N971" t="str" cm="1">
        <f t="array" ref="N971">_xlfn.IFS(I971="M","Medium",I971="L","Light",I971="D","Dark")</f>
        <v>Dark</v>
      </c>
      <c r="O971" t="str">
        <f>_xlfn.XLOOKUP(Orders[[#This Row],[Customer ID]],customers!$A$2:$A$1001,customers!$I$2:$I$1001,,0)</f>
        <v>Yes</v>
      </c>
    </row>
    <row r="972" spans="1:15" x14ac:dyDescent="0.3">
      <c r="A972" s="2" t="s">
        <v>5973</v>
      </c>
      <c r="B972" s="3">
        <v>43729</v>
      </c>
      <c r="C972" s="2" t="s">
        <v>5974</v>
      </c>
      <c r="D972" t="s">
        <v>6139</v>
      </c>
      <c r="E972" s="2">
        <v>1</v>
      </c>
      <c r="F972" s="2" t="str">
        <f>_xlfn.XLOOKUP(C972,customers!$A$2:$A$1001,customers!$B$2:$B$1001,,0)</f>
        <v>Sharl Southerill</v>
      </c>
      <c r="G972" s="2" t="str">
        <f>_xlfn.XLOOKUP(C972,customers!$A$2:$A$1001,customers!$G$2:$G$1001,,0)</f>
        <v>United States</v>
      </c>
      <c r="H972" t="str">
        <f>INDEX(products!$A$1:$G$49,MATCH(orders!$D972,products!$A$1:$A$49,0),MATCH(orders!H$1,products!$A$1:$G$1,0))</f>
        <v>Exc</v>
      </c>
      <c r="I972" t="str">
        <f>INDEX(products!$A$1:$G$49,MATCH(orders!$D972,products!$A$1:$A$49,0),MATCH(orders!I$1,products!$A$1:$G$1,0))</f>
        <v>M</v>
      </c>
      <c r="J972" s="5">
        <f>INDEX(products!$A$1:$G$49,MATCH(orders!$D972,products!$A$1:$A$49,0),MATCH(orders!J$1,products!$A$1:$G$1,0))</f>
        <v>0.5</v>
      </c>
      <c r="K972" s="6">
        <f>INDEX(products!$A$1:$G$49,MATCH(orders!$D972,products!$A$1:$A$49,0),MATCH(orders!K$1,products!$A$1:$G$1,0))</f>
        <v>8.25</v>
      </c>
      <c r="L972" s="6">
        <f>K972*E972</f>
        <v>8.25</v>
      </c>
      <c r="M972" t="str" cm="1">
        <f t="array" ref="M972">_xlfn.IFS(H972="Rob","Robusta",H972="Exc","Excelsa",H972="Ara","Arabica",H972="Lib","Liberica")</f>
        <v>Excelsa</v>
      </c>
      <c r="N972" t="str" cm="1">
        <f t="array" ref="N972">_xlfn.IFS(I972="M","Medium",I972="L","Light",I972="D","Dark")</f>
        <v>Medium</v>
      </c>
      <c r="O972" t="str">
        <f>_xlfn.XLOOKUP(Orders[[#This Row],[Customer ID]],customers!$A$2:$A$1001,customers!$I$2:$I$1001,,0)</f>
        <v>No</v>
      </c>
    </row>
    <row r="973" spans="1:15" x14ac:dyDescent="0.3">
      <c r="A973" s="2" t="s">
        <v>5978</v>
      </c>
      <c r="B973" s="3">
        <v>43703</v>
      </c>
      <c r="C973" s="2" t="s">
        <v>5979</v>
      </c>
      <c r="D973" t="s">
        <v>6182</v>
      </c>
      <c r="E973" s="2">
        <v>5</v>
      </c>
      <c r="F973" s="2" t="str">
        <f>_xlfn.XLOOKUP(C973,customers!$A$2:$A$1001,customers!$B$2:$B$1001,,0)</f>
        <v>Noni Furber</v>
      </c>
      <c r="G973" s="2" t="str">
        <f>_xlfn.XLOOKUP(C973,customers!$A$2:$A$1001,customers!$G$2:$G$1001,,0)</f>
        <v>United States</v>
      </c>
      <c r="H973" t="str">
        <f>INDEX(products!$A$1:$G$49,MATCH(orders!$D973,products!$A$1:$A$49,0),MATCH(orders!H$1,products!$A$1:$G$1,0))</f>
        <v>Ara</v>
      </c>
      <c r="I973" t="str">
        <f>INDEX(products!$A$1:$G$49,MATCH(orders!$D973,products!$A$1:$A$49,0),MATCH(orders!I$1,products!$A$1:$G$1,0))</f>
        <v>L</v>
      </c>
      <c r="J973" s="5">
        <f>INDEX(products!$A$1:$G$49,MATCH(orders!$D973,products!$A$1:$A$49,0),MATCH(orders!J$1,products!$A$1:$G$1,0))</f>
        <v>2.5</v>
      </c>
      <c r="K973" s="6">
        <f>INDEX(products!$A$1:$G$49,MATCH(orders!$D973,products!$A$1:$A$49,0),MATCH(orders!K$1,products!$A$1:$G$1,0))</f>
        <v>29.784999999999997</v>
      </c>
      <c r="L973" s="6">
        <f>K973*E973</f>
        <v>148.92499999999998</v>
      </c>
      <c r="M973" t="str" cm="1">
        <f t="array" ref="M973">_xlfn.IFS(H973="Rob","Robusta",H973="Exc","Excelsa",H973="Ara","Arabica",H973="Lib","Liberica")</f>
        <v>Arabica</v>
      </c>
      <c r="N973" t="str" cm="1">
        <f t="array" ref="N973">_xlfn.IFS(I973="M","Medium",I973="L","Light",I973="D","Dark")</f>
        <v>Light</v>
      </c>
      <c r="O973" t="str">
        <f>_xlfn.XLOOKUP(Orders[[#This Row],[Customer ID]],customers!$A$2:$A$1001,customers!$I$2:$I$1001,,0)</f>
        <v>No</v>
      </c>
    </row>
    <row r="974" spans="1:15" x14ac:dyDescent="0.3">
      <c r="A974" s="2" t="s">
        <v>5984</v>
      </c>
      <c r="B974" s="3">
        <v>44411</v>
      </c>
      <c r="C974" s="2" t="s">
        <v>5985</v>
      </c>
      <c r="D974" t="s">
        <v>6182</v>
      </c>
      <c r="E974" s="2">
        <v>3</v>
      </c>
      <c r="F974" s="2" t="str">
        <f>_xlfn.XLOOKUP(C974,customers!$A$2:$A$1001,customers!$B$2:$B$1001,,0)</f>
        <v>Dinah Crutcher</v>
      </c>
      <c r="G974" s="2" t="str">
        <f>_xlfn.XLOOKUP(C974,customers!$A$2:$A$1001,customers!$G$2:$G$1001,,0)</f>
        <v>Ireland</v>
      </c>
      <c r="H974" t="str">
        <f>INDEX(products!$A$1:$G$49,MATCH(orders!$D974,products!$A$1:$A$49,0),MATCH(orders!H$1,products!$A$1:$G$1,0))</f>
        <v>Ara</v>
      </c>
      <c r="I974" t="str">
        <f>INDEX(products!$A$1:$G$49,MATCH(orders!$D974,products!$A$1:$A$49,0),MATCH(orders!I$1,products!$A$1:$G$1,0))</f>
        <v>L</v>
      </c>
      <c r="J974" s="5">
        <f>INDEX(products!$A$1:$G$49,MATCH(orders!$D974,products!$A$1:$A$49,0),MATCH(orders!J$1,products!$A$1:$G$1,0))</f>
        <v>2.5</v>
      </c>
      <c r="K974" s="6">
        <f>INDEX(products!$A$1:$G$49,MATCH(orders!$D974,products!$A$1:$A$49,0),MATCH(orders!K$1,products!$A$1:$G$1,0))</f>
        <v>29.784999999999997</v>
      </c>
      <c r="L974" s="6">
        <f>K974*E974</f>
        <v>89.35499999999999</v>
      </c>
      <c r="M974" t="str" cm="1">
        <f t="array" ref="M974">_xlfn.IFS(H974="Rob","Robusta",H974="Exc","Excelsa",H974="Ara","Arabica",H974="Lib","Liberica")</f>
        <v>Arabica</v>
      </c>
      <c r="N974" t="str" cm="1">
        <f t="array" ref="N974">_xlfn.IFS(I974="M","Medium",I974="L","Light",I974="D","Dark")</f>
        <v>Light</v>
      </c>
      <c r="O974" t="str">
        <f>_xlfn.XLOOKUP(Orders[[#This Row],[Customer ID]],customers!$A$2:$A$1001,customers!$I$2:$I$1001,,0)</f>
        <v>Yes</v>
      </c>
    </row>
    <row r="975" spans="1:15" x14ac:dyDescent="0.3">
      <c r="A975" s="2" t="s">
        <v>5989</v>
      </c>
      <c r="B975" s="3">
        <v>44493</v>
      </c>
      <c r="C975" s="2" t="s">
        <v>5990</v>
      </c>
      <c r="D975" t="s">
        <v>6162</v>
      </c>
      <c r="E975" s="2">
        <v>6</v>
      </c>
      <c r="F975" s="2" t="str">
        <f>_xlfn.XLOOKUP(C975,customers!$A$2:$A$1001,customers!$B$2:$B$1001,,0)</f>
        <v>Charlean Keave</v>
      </c>
      <c r="G975" s="2" t="str">
        <f>_xlfn.XLOOKUP(C975,customers!$A$2:$A$1001,customers!$G$2:$G$1001,,0)</f>
        <v>United States</v>
      </c>
      <c r="H975" t="str">
        <f>INDEX(products!$A$1:$G$49,MATCH(orders!$D975,products!$A$1:$A$49,0),MATCH(orders!H$1,products!$A$1:$G$1,0))</f>
        <v>Lib</v>
      </c>
      <c r="I975" t="str">
        <f>INDEX(products!$A$1:$G$49,MATCH(orders!$D975,products!$A$1:$A$49,0),MATCH(orders!I$1,products!$A$1:$G$1,0))</f>
        <v>M</v>
      </c>
      <c r="J975" s="5">
        <f>INDEX(products!$A$1:$G$49,MATCH(orders!$D975,products!$A$1:$A$49,0),MATCH(orders!J$1,products!$A$1:$G$1,0))</f>
        <v>1</v>
      </c>
      <c r="K975" s="6">
        <f>INDEX(products!$A$1:$G$49,MATCH(orders!$D975,products!$A$1:$A$49,0),MATCH(orders!K$1,products!$A$1:$G$1,0))</f>
        <v>14.55</v>
      </c>
      <c r="L975" s="6">
        <f>K975*E975</f>
        <v>87.300000000000011</v>
      </c>
      <c r="M975" t="str" cm="1">
        <f t="array" ref="M975">_xlfn.IFS(H975="Rob","Robusta",H975="Exc","Excelsa",H975="Ara","Arabica",H975="Lib","Liberica")</f>
        <v>Liberica</v>
      </c>
      <c r="N975" t="str" cm="1">
        <f t="array" ref="N975">_xlfn.IFS(I975="M","Medium",I975="L","Light",I975="D","Dark")</f>
        <v>Medium</v>
      </c>
      <c r="O975" t="str">
        <f>_xlfn.XLOOKUP(Orders[[#This Row],[Customer ID]],customers!$A$2:$A$1001,customers!$I$2:$I$1001,,0)</f>
        <v>No</v>
      </c>
    </row>
    <row r="976" spans="1:15" x14ac:dyDescent="0.3">
      <c r="A976" s="2" t="s">
        <v>5995</v>
      </c>
      <c r="B976" s="3">
        <v>43556</v>
      </c>
      <c r="C976" s="2" t="s">
        <v>5996</v>
      </c>
      <c r="D976" t="s">
        <v>6172</v>
      </c>
      <c r="E976" s="2">
        <v>1</v>
      </c>
      <c r="F976" s="2" t="str">
        <f>_xlfn.XLOOKUP(C976,customers!$A$2:$A$1001,customers!$B$2:$B$1001,,0)</f>
        <v>Sada Roseborough</v>
      </c>
      <c r="G976" s="2" t="str">
        <f>_xlfn.XLOOKUP(C976,customers!$A$2:$A$1001,customers!$G$2:$G$1001,,0)</f>
        <v>United States</v>
      </c>
      <c r="H976" t="str">
        <f>INDEX(products!$A$1:$G$49,MATCH(orders!$D976,products!$A$1:$A$49,0),MATCH(orders!H$1,products!$A$1:$G$1,0))</f>
        <v>Rob</v>
      </c>
      <c r="I976" t="str">
        <f>INDEX(products!$A$1:$G$49,MATCH(orders!$D976,products!$A$1:$A$49,0),MATCH(orders!I$1,products!$A$1:$G$1,0))</f>
        <v>D</v>
      </c>
      <c r="J976" s="5">
        <f>INDEX(products!$A$1:$G$49,MATCH(orders!$D976,products!$A$1:$A$49,0),MATCH(orders!J$1,products!$A$1:$G$1,0))</f>
        <v>0.5</v>
      </c>
      <c r="K976" s="6">
        <f>INDEX(products!$A$1:$G$49,MATCH(orders!$D976,products!$A$1:$A$49,0),MATCH(orders!K$1,products!$A$1:$G$1,0))</f>
        <v>5.3699999999999992</v>
      </c>
      <c r="L976" s="6">
        <f>K976*E976</f>
        <v>5.3699999999999992</v>
      </c>
      <c r="M976" t="str" cm="1">
        <f t="array" ref="M976">_xlfn.IFS(H976="Rob","Robusta",H976="Exc","Excelsa",H976="Ara","Arabica",H976="Lib","Liberica")</f>
        <v>Robusta</v>
      </c>
      <c r="N976" t="str" cm="1">
        <f t="array" ref="N976">_xlfn.IFS(I976="M","Medium",I976="L","Light",I976="D","Dark")</f>
        <v>Dark</v>
      </c>
      <c r="O976" t="str">
        <f>_xlfn.XLOOKUP(Orders[[#This Row],[Customer ID]],customers!$A$2:$A$1001,customers!$I$2:$I$1001,,0)</f>
        <v>Yes</v>
      </c>
    </row>
    <row r="977" spans="1:15" x14ac:dyDescent="0.3">
      <c r="A977" s="2" t="s">
        <v>6001</v>
      </c>
      <c r="B977" s="3">
        <v>44538</v>
      </c>
      <c r="C977" s="2" t="s">
        <v>6002</v>
      </c>
      <c r="D977" t="s">
        <v>6154</v>
      </c>
      <c r="E977" s="2">
        <v>3</v>
      </c>
      <c r="F977" s="2" t="str">
        <f>_xlfn.XLOOKUP(C977,customers!$A$2:$A$1001,customers!$B$2:$B$1001,,0)</f>
        <v>Clayton Kingwell</v>
      </c>
      <c r="G977" s="2" t="str">
        <f>_xlfn.XLOOKUP(C977,customers!$A$2:$A$1001,customers!$G$2:$G$1001,,0)</f>
        <v>Ireland</v>
      </c>
      <c r="H977" t="str">
        <f>INDEX(products!$A$1:$G$49,MATCH(orders!$D977,products!$A$1:$A$49,0),MATCH(orders!H$1,products!$A$1:$G$1,0))</f>
        <v>Ara</v>
      </c>
      <c r="I977" t="str">
        <f>INDEX(products!$A$1:$G$49,MATCH(orders!$D977,products!$A$1:$A$49,0),MATCH(orders!I$1,products!$A$1:$G$1,0))</f>
        <v>D</v>
      </c>
      <c r="J977" s="5">
        <f>INDEX(products!$A$1:$G$49,MATCH(orders!$D977,products!$A$1:$A$49,0),MATCH(orders!J$1,products!$A$1:$G$1,0))</f>
        <v>0.2</v>
      </c>
      <c r="K977" s="6">
        <f>INDEX(products!$A$1:$G$49,MATCH(orders!$D977,products!$A$1:$A$49,0),MATCH(orders!K$1,products!$A$1:$G$1,0))</f>
        <v>2.9849999999999999</v>
      </c>
      <c r="L977" s="6">
        <f>K977*E977</f>
        <v>8.9550000000000001</v>
      </c>
      <c r="M977" t="str" cm="1">
        <f t="array" ref="M977">_xlfn.IFS(H977="Rob","Robusta",H977="Exc","Excelsa",H977="Ara","Arabica",H977="Lib","Liberica")</f>
        <v>Arabica</v>
      </c>
      <c r="N977" t="str" cm="1">
        <f t="array" ref="N977">_xlfn.IFS(I977="M","Medium",I977="L","Light",I977="D","Dark")</f>
        <v>Dark</v>
      </c>
      <c r="O977" t="str">
        <f>_xlfn.XLOOKUP(Orders[[#This Row],[Customer ID]],customers!$A$2:$A$1001,customers!$I$2:$I$1001,,0)</f>
        <v>Yes</v>
      </c>
    </row>
    <row r="978" spans="1:15" x14ac:dyDescent="0.3">
      <c r="A978" s="2" t="s">
        <v>6007</v>
      </c>
      <c r="B978" s="3">
        <v>43643</v>
      </c>
      <c r="C978" s="2" t="s">
        <v>6008</v>
      </c>
      <c r="D978" t="s">
        <v>6142</v>
      </c>
      <c r="E978" s="2">
        <v>5</v>
      </c>
      <c r="F978" s="2" t="str">
        <f>_xlfn.XLOOKUP(C978,customers!$A$2:$A$1001,customers!$B$2:$B$1001,,0)</f>
        <v>Kacy Canto</v>
      </c>
      <c r="G978" s="2" t="str">
        <f>_xlfn.XLOOKUP(C978,customers!$A$2:$A$1001,customers!$G$2:$G$1001,,0)</f>
        <v>United States</v>
      </c>
      <c r="H978" t="str">
        <f>INDEX(products!$A$1:$G$49,MATCH(orders!$D978,products!$A$1:$A$49,0),MATCH(orders!H$1,products!$A$1:$G$1,0))</f>
        <v>Rob</v>
      </c>
      <c r="I978" t="str">
        <f>INDEX(products!$A$1:$G$49,MATCH(orders!$D978,products!$A$1:$A$49,0),MATCH(orders!I$1,products!$A$1:$G$1,0))</f>
        <v>L</v>
      </c>
      <c r="J978" s="5">
        <f>INDEX(products!$A$1:$G$49,MATCH(orders!$D978,products!$A$1:$A$49,0),MATCH(orders!J$1,products!$A$1:$G$1,0))</f>
        <v>2.5</v>
      </c>
      <c r="K978" s="6">
        <f>INDEX(products!$A$1:$G$49,MATCH(orders!$D978,products!$A$1:$A$49,0),MATCH(orders!K$1,products!$A$1:$G$1,0))</f>
        <v>27.484999999999996</v>
      </c>
      <c r="L978" s="6">
        <f>K978*E978</f>
        <v>137.42499999999998</v>
      </c>
      <c r="M978" t="str" cm="1">
        <f t="array" ref="M978">_xlfn.IFS(H978="Rob","Robusta",H978="Exc","Excelsa",H978="Ara","Arabica",H978="Lib","Liberica")</f>
        <v>Robusta</v>
      </c>
      <c r="N978" t="str" cm="1">
        <f t="array" ref="N978">_xlfn.IFS(I978="M","Medium",I978="L","Light",I978="D","Dark")</f>
        <v>Light</v>
      </c>
      <c r="O978" t="str">
        <f>_xlfn.XLOOKUP(Orders[[#This Row],[Customer ID]],customers!$A$2:$A$1001,customers!$I$2:$I$1001,,0)</f>
        <v>Yes</v>
      </c>
    </row>
    <row r="979" spans="1:15" x14ac:dyDescent="0.3">
      <c r="A979" s="2" t="s">
        <v>6013</v>
      </c>
      <c r="B979" s="3">
        <v>44026</v>
      </c>
      <c r="C979" s="2" t="s">
        <v>6014</v>
      </c>
      <c r="D979" t="s">
        <v>6179</v>
      </c>
      <c r="E979" s="2">
        <v>5</v>
      </c>
      <c r="F979" s="2" t="str">
        <f>_xlfn.XLOOKUP(C979,customers!$A$2:$A$1001,customers!$B$2:$B$1001,,0)</f>
        <v>Mab Blakemore</v>
      </c>
      <c r="G979" s="2" t="str">
        <f>_xlfn.XLOOKUP(C979,customers!$A$2:$A$1001,customers!$G$2:$G$1001,,0)</f>
        <v>United States</v>
      </c>
      <c r="H979" t="str">
        <f>INDEX(products!$A$1:$G$49,MATCH(orders!$D979,products!$A$1:$A$49,0),MATCH(orders!H$1,products!$A$1:$G$1,0))</f>
        <v>Rob</v>
      </c>
      <c r="I979" t="str">
        <f>INDEX(products!$A$1:$G$49,MATCH(orders!$D979,products!$A$1:$A$49,0),MATCH(orders!I$1,products!$A$1:$G$1,0))</f>
        <v>L</v>
      </c>
      <c r="J979" s="5">
        <f>INDEX(products!$A$1:$G$49,MATCH(orders!$D979,products!$A$1:$A$49,0),MATCH(orders!J$1,products!$A$1:$G$1,0))</f>
        <v>1</v>
      </c>
      <c r="K979" s="6">
        <f>INDEX(products!$A$1:$G$49,MATCH(orders!$D979,products!$A$1:$A$49,0),MATCH(orders!K$1,products!$A$1:$G$1,0))</f>
        <v>11.95</v>
      </c>
      <c r="L979" s="6">
        <f>K979*E979</f>
        <v>59.75</v>
      </c>
      <c r="M979" t="str" cm="1">
        <f t="array" ref="M979">_xlfn.IFS(H979="Rob","Robusta",H979="Exc","Excelsa",H979="Ara","Arabica",H979="Lib","Liberica")</f>
        <v>Robusta</v>
      </c>
      <c r="N979" t="str" cm="1">
        <f t="array" ref="N979">_xlfn.IFS(I979="M","Medium",I979="L","Light",I979="D","Dark")</f>
        <v>Light</v>
      </c>
      <c r="O979" t="str">
        <f>_xlfn.XLOOKUP(Orders[[#This Row],[Customer ID]],customers!$A$2:$A$1001,customers!$I$2:$I$1001,,0)</f>
        <v>No</v>
      </c>
    </row>
    <row r="980" spans="1:15" x14ac:dyDescent="0.3">
      <c r="A980" s="2" t="s">
        <v>6019</v>
      </c>
      <c r="B980" s="3">
        <v>43913</v>
      </c>
      <c r="C980" s="2" t="s">
        <v>5990</v>
      </c>
      <c r="D980" t="s">
        <v>6180</v>
      </c>
      <c r="E980" s="2">
        <v>3</v>
      </c>
      <c r="F980" s="2" t="str">
        <f>_xlfn.XLOOKUP(C980,customers!$A$2:$A$1001,customers!$B$2:$B$1001,,0)</f>
        <v>Charlean Keave</v>
      </c>
      <c r="G980" s="2" t="str">
        <f>_xlfn.XLOOKUP(C980,customers!$A$2:$A$1001,customers!$G$2:$G$1001,,0)</f>
        <v>United States</v>
      </c>
      <c r="H980" t="str">
        <f>INDEX(products!$A$1:$G$49,MATCH(orders!$D980,products!$A$1:$A$49,0),MATCH(orders!H$1,products!$A$1:$G$1,0))</f>
        <v>Ara</v>
      </c>
      <c r="I980" t="str">
        <f>INDEX(products!$A$1:$G$49,MATCH(orders!$D980,products!$A$1:$A$49,0),MATCH(orders!I$1,products!$A$1:$G$1,0))</f>
        <v>L</v>
      </c>
      <c r="J980" s="5">
        <f>INDEX(products!$A$1:$G$49,MATCH(orders!$D980,products!$A$1:$A$49,0),MATCH(orders!J$1,products!$A$1:$G$1,0))</f>
        <v>0.5</v>
      </c>
      <c r="K980" s="6">
        <f>INDEX(products!$A$1:$G$49,MATCH(orders!$D980,products!$A$1:$A$49,0),MATCH(orders!K$1,products!$A$1:$G$1,0))</f>
        <v>7.77</v>
      </c>
      <c r="L980" s="6">
        <f>K980*E980</f>
        <v>23.31</v>
      </c>
      <c r="M980" t="str" cm="1">
        <f t="array" ref="M980">_xlfn.IFS(H980="Rob","Robusta",H980="Exc","Excelsa",H980="Ara","Arabica",H980="Lib","Liberica")</f>
        <v>Arabica</v>
      </c>
      <c r="N980" t="str" cm="1">
        <f t="array" ref="N980">_xlfn.IFS(I980="M","Medium",I980="L","Light",I980="D","Dark")</f>
        <v>Light</v>
      </c>
      <c r="O980" t="str">
        <f>_xlfn.XLOOKUP(Orders[[#This Row],[Customer ID]],customers!$A$2:$A$1001,customers!$I$2:$I$1001,,0)</f>
        <v>No</v>
      </c>
    </row>
    <row r="981" spans="1:15" x14ac:dyDescent="0.3">
      <c r="A981" s="2" t="s">
        <v>6025</v>
      </c>
      <c r="B981" s="3">
        <v>43856</v>
      </c>
      <c r="C981" s="2" t="s">
        <v>6026</v>
      </c>
      <c r="D981" t="s">
        <v>6172</v>
      </c>
      <c r="E981" s="2">
        <v>2</v>
      </c>
      <c r="F981" s="2" t="str">
        <f>_xlfn.XLOOKUP(C981,customers!$A$2:$A$1001,customers!$B$2:$B$1001,,0)</f>
        <v>Javier Causnett</v>
      </c>
      <c r="G981" s="2" t="str">
        <f>_xlfn.XLOOKUP(C981,customers!$A$2:$A$1001,customers!$G$2:$G$1001,,0)</f>
        <v>United States</v>
      </c>
      <c r="H981" t="str">
        <f>INDEX(products!$A$1:$G$49,MATCH(orders!$D981,products!$A$1:$A$49,0),MATCH(orders!H$1,products!$A$1:$G$1,0))</f>
        <v>Rob</v>
      </c>
      <c r="I981" t="str">
        <f>INDEX(products!$A$1:$G$49,MATCH(orders!$D981,products!$A$1:$A$49,0),MATCH(orders!I$1,products!$A$1:$G$1,0))</f>
        <v>D</v>
      </c>
      <c r="J981" s="5">
        <f>INDEX(products!$A$1:$G$49,MATCH(orders!$D981,products!$A$1:$A$49,0),MATCH(orders!J$1,products!$A$1:$G$1,0))</f>
        <v>0.5</v>
      </c>
      <c r="K981" s="6">
        <f>INDEX(products!$A$1:$G$49,MATCH(orders!$D981,products!$A$1:$A$49,0),MATCH(orders!K$1,products!$A$1:$G$1,0))</f>
        <v>5.3699999999999992</v>
      </c>
      <c r="L981" s="6">
        <f>K981*E981</f>
        <v>10.739999999999998</v>
      </c>
      <c r="M981" t="str" cm="1">
        <f t="array" ref="M981">_xlfn.IFS(H981="Rob","Robusta",H981="Exc","Excelsa",H981="Ara","Arabica",H981="Lib","Liberica")</f>
        <v>Robusta</v>
      </c>
      <c r="N981" t="str" cm="1">
        <f t="array" ref="N981">_xlfn.IFS(I981="M","Medium",I981="L","Light",I981="D","Dark")</f>
        <v>Dark</v>
      </c>
      <c r="O981" t="str">
        <f>_xlfn.XLOOKUP(Orders[[#This Row],[Customer ID]],customers!$A$2:$A$1001,customers!$I$2:$I$1001,,0)</f>
        <v>No</v>
      </c>
    </row>
    <row r="982" spans="1:15" x14ac:dyDescent="0.3">
      <c r="A982" s="2" t="s">
        <v>6030</v>
      </c>
      <c r="B982" s="3">
        <v>43982</v>
      </c>
      <c r="C982" s="2" t="s">
        <v>6031</v>
      </c>
      <c r="D982" t="s">
        <v>6185</v>
      </c>
      <c r="E982" s="2">
        <v>6</v>
      </c>
      <c r="F982" s="2" t="str">
        <f>_xlfn.XLOOKUP(C982,customers!$A$2:$A$1001,customers!$B$2:$B$1001,,0)</f>
        <v>Demetris Micheli</v>
      </c>
      <c r="G982" s="2" t="str">
        <f>_xlfn.XLOOKUP(C982,customers!$A$2:$A$1001,customers!$G$2:$G$1001,,0)</f>
        <v>United States</v>
      </c>
      <c r="H982" t="str">
        <f>INDEX(products!$A$1:$G$49,MATCH(orders!$D982,products!$A$1:$A$49,0),MATCH(orders!H$1,products!$A$1:$G$1,0))</f>
        <v>Exc</v>
      </c>
      <c r="I982" t="str">
        <f>INDEX(products!$A$1:$G$49,MATCH(orders!$D982,products!$A$1:$A$49,0),MATCH(orders!I$1,products!$A$1:$G$1,0))</f>
        <v>D</v>
      </c>
      <c r="J982" s="5">
        <f>INDEX(products!$A$1:$G$49,MATCH(orders!$D982,products!$A$1:$A$49,0),MATCH(orders!J$1,products!$A$1:$G$1,0))</f>
        <v>2.5</v>
      </c>
      <c r="K982" s="6">
        <f>INDEX(products!$A$1:$G$49,MATCH(orders!$D982,products!$A$1:$A$49,0),MATCH(orders!K$1,products!$A$1:$G$1,0))</f>
        <v>27.945</v>
      </c>
      <c r="L982" s="6">
        <f>K982*E982</f>
        <v>167.67000000000002</v>
      </c>
      <c r="M982" t="str" cm="1">
        <f t="array" ref="M982">_xlfn.IFS(H982="Rob","Robusta",H982="Exc","Excelsa",H982="Ara","Arabica",H982="Lib","Liberica")</f>
        <v>Excelsa</v>
      </c>
      <c r="N982" t="str" cm="1">
        <f t="array" ref="N982">_xlfn.IFS(I982="M","Medium",I982="L","Light",I982="D","Dark")</f>
        <v>Dark</v>
      </c>
      <c r="O982" t="str">
        <f>_xlfn.XLOOKUP(Orders[[#This Row],[Customer ID]],customers!$A$2:$A$1001,customers!$I$2:$I$1001,,0)</f>
        <v>Yes</v>
      </c>
    </row>
    <row r="983" spans="1:15" x14ac:dyDescent="0.3">
      <c r="A983" s="2" t="s">
        <v>6035</v>
      </c>
      <c r="B983" s="3">
        <v>44397</v>
      </c>
      <c r="C983" s="2" t="s">
        <v>6036</v>
      </c>
      <c r="D983" t="s">
        <v>6153</v>
      </c>
      <c r="E983" s="2">
        <v>6</v>
      </c>
      <c r="F983" s="2" t="str">
        <f>_xlfn.XLOOKUP(C983,customers!$A$2:$A$1001,customers!$B$2:$B$1001,,0)</f>
        <v>Chloette Bernardot</v>
      </c>
      <c r="G983" s="2" t="str">
        <f>_xlfn.XLOOKUP(C983,customers!$A$2:$A$1001,customers!$G$2:$G$1001,,0)</f>
        <v>United States</v>
      </c>
      <c r="H983" t="str">
        <f>INDEX(products!$A$1:$G$49,MATCH(orders!$D983,products!$A$1:$A$49,0),MATCH(orders!H$1,products!$A$1:$G$1,0))</f>
        <v>Exc</v>
      </c>
      <c r="I983" t="str">
        <f>INDEX(products!$A$1:$G$49,MATCH(orders!$D983,products!$A$1:$A$49,0),MATCH(orders!I$1,products!$A$1:$G$1,0))</f>
        <v>D</v>
      </c>
      <c r="J983" s="5">
        <f>INDEX(products!$A$1:$G$49,MATCH(orders!$D983,products!$A$1:$A$49,0),MATCH(orders!J$1,products!$A$1:$G$1,0))</f>
        <v>0.2</v>
      </c>
      <c r="K983" s="6">
        <f>INDEX(products!$A$1:$G$49,MATCH(orders!$D983,products!$A$1:$A$49,0),MATCH(orders!K$1,products!$A$1:$G$1,0))</f>
        <v>3.645</v>
      </c>
      <c r="L983" s="6">
        <f>K983*E983</f>
        <v>21.87</v>
      </c>
      <c r="M983" t="str" cm="1">
        <f t="array" ref="M983">_xlfn.IFS(H983="Rob","Robusta",H983="Exc","Excelsa",H983="Ara","Arabica",H983="Lib","Liberica")</f>
        <v>Excelsa</v>
      </c>
      <c r="N983" t="str" cm="1">
        <f t="array" ref="N983">_xlfn.IFS(I983="M","Medium",I983="L","Light",I983="D","Dark")</f>
        <v>Dark</v>
      </c>
      <c r="O983" t="str">
        <f>_xlfn.XLOOKUP(Orders[[#This Row],[Customer ID]],customers!$A$2:$A$1001,customers!$I$2:$I$1001,,0)</f>
        <v>Yes</v>
      </c>
    </row>
    <row r="984" spans="1:15" x14ac:dyDescent="0.3">
      <c r="A984" s="2" t="s">
        <v>6041</v>
      </c>
      <c r="B984" s="3">
        <v>44785</v>
      </c>
      <c r="C984" s="2" t="s">
        <v>6042</v>
      </c>
      <c r="D984" t="s">
        <v>6179</v>
      </c>
      <c r="E984" s="2">
        <v>2</v>
      </c>
      <c r="F984" s="2" t="str">
        <f>_xlfn.XLOOKUP(C984,customers!$A$2:$A$1001,customers!$B$2:$B$1001,,0)</f>
        <v>Kim Kemery</v>
      </c>
      <c r="G984" s="2" t="str">
        <f>_xlfn.XLOOKUP(C984,customers!$A$2:$A$1001,customers!$G$2:$G$1001,,0)</f>
        <v>United States</v>
      </c>
      <c r="H984" t="str">
        <f>INDEX(products!$A$1:$G$49,MATCH(orders!$D984,products!$A$1:$A$49,0),MATCH(orders!H$1,products!$A$1:$G$1,0))</f>
        <v>Rob</v>
      </c>
      <c r="I984" t="str">
        <f>INDEX(products!$A$1:$G$49,MATCH(orders!$D984,products!$A$1:$A$49,0),MATCH(orders!I$1,products!$A$1:$G$1,0))</f>
        <v>L</v>
      </c>
      <c r="J984" s="5">
        <f>INDEX(products!$A$1:$G$49,MATCH(orders!$D984,products!$A$1:$A$49,0),MATCH(orders!J$1,products!$A$1:$G$1,0))</f>
        <v>1</v>
      </c>
      <c r="K984" s="6">
        <f>INDEX(products!$A$1:$G$49,MATCH(orders!$D984,products!$A$1:$A$49,0),MATCH(orders!K$1,products!$A$1:$G$1,0))</f>
        <v>11.95</v>
      </c>
      <c r="L984" s="6">
        <f>K984*E984</f>
        <v>23.9</v>
      </c>
      <c r="M984" t="str" cm="1">
        <f t="array" ref="M984">_xlfn.IFS(H984="Rob","Robusta",H984="Exc","Excelsa",H984="Ara","Arabica",H984="Lib","Liberica")</f>
        <v>Robusta</v>
      </c>
      <c r="N984" t="str" cm="1">
        <f t="array" ref="N984">_xlfn.IFS(I984="M","Medium",I984="L","Light",I984="D","Dark")</f>
        <v>Light</v>
      </c>
      <c r="O984" t="str">
        <f>_xlfn.XLOOKUP(Orders[[#This Row],[Customer ID]],customers!$A$2:$A$1001,customers!$I$2:$I$1001,,0)</f>
        <v>Yes</v>
      </c>
    </row>
    <row r="985" spans="1:15" x14ac:dyDescent="0.3">
      <c r="A985" s="2" t="s">
        <v>6047</v>
      </c>
      <c r="B985" s="3">
        <v>43831</v>
      </c>
      <c r="C985" s="2" t="s">
        <v>6048</v>
      </c>
      <c r="D985" t="s">
        <v>6152</v>
      </c>
      <c r="E985" s="2">
        <v>2</v>
      </c>
      <c r="F985" s="2" t="str">
        <f>_xlfn.XLOOKUP(C985,customers!$A$2:$A$1001,customers!$B$2:$B$1001,,0)</f>
        <v>Fanchette Parlot</v>
      </c>
      <c r="G985" s="2" t="str">
        <f>_xlfn.XLOOKUP(C985,customers!$A$2:$A$1001,customers!$G$2:$G$1001,,0)</f>
        <v>United States</v>
      </c>
      <c r="H985" t="str">
        <f>INDEX(products!$A$1:$G$49,MATCH(orders!$D985,products!$A$1:$A$49,0),MATCH(orders!H$1,products!$A$1:$G$1,0))</f>
        <v>Ara</v>
      </c>
      <c r="I985" t="str">
        <f>INDEX(products!$A$1:$G$49,MATCH(orders!$D985,products!$A$1:$A$49,0),MATCH(orders!I$1,products!$A$1:$G$1,0))</f>
        <v>M</v>
      </c>
      <c r="J985" s="5">
        <f>INDEX(products!$A$1:$G$49,MATCH(orders!$D985,products!$A$1:$A$49,0),MATCH(orders!J$1,products!$A$1:$G$1,0))</f>
        <v>0.2</v>
      </c>
      <c r="K985" s="6">
        <f>INDEX(products!$A$1:$G$49,MATCH(orders!$D985,products!$A$1:$A$49,0),MATCH(orders!K$1,products!$A$1:$G$1,0))</f>
        <v>3.375</v>
      </c>
      <c r="L985" s="6">
        <f>K985*E985</f>
        <v>6.75</v>
      </c>
      <c r="M985" t="str" cm="1">
        <f t="array" ref="M985">_xlfn.IFS(H985="Rob","Robusta",H985="Exc","Excelsa",H985="Ara","Arabica",H985="Lib","Liberica")</f>
        <v>Arabica</v>
      </c>
      <c r="N985" t="str" cm="1">
        <f t="array" ref="N985">_xlfn.IFS(I985="M","Medium",I985="L","Light",I985="D","Dark")</f>
        <v>Medium</v>
      </c>
      <c r="O985" t="str">
        <f>_xlfn.XLOOKUP(Orders[[#This Row],[Customer ID]],customers!$A$2:$A$1001,customers!$I$2:$I$1001,,0)</f>
        <v>Yes</v>
      </c>
    </row>
    <row r="986" spans="1:15" x14ac:dyDescent="0.3">
      <c r="A986" s="2" t="s">
        <v>6053</v>
      </c>
      <c r="B986" s="3">
        <v>44214</v>
      </c>
      <c r="C986" s="2" t="s">
        <v>6054</v>
      </c>
      <c r="D986" t="s">
        <v>6166</v>
      </c>
      <c r="E986" s="2">
        <v>1</v>
      </c>
      <c r="F986" s="2" t="str">
        <f>_xlfn.XLOOKUP(C986,customers!$A$2:$A$1001,customers!$B$2:$B$1001,,0)</f>
        <v>Ramon Cheak</v>
      </c>
      <c r="G986" s="2" t="str">
        <f>_xlfn.XLOOKUP(C986,customers!$A$2:$A$1001,customers!$G$2:$G$1001,,0)</f>
        <v>Ireland</v>
      </c>
      <c r="H986" t="str">
        <f>INDEX(products!$A$1:$G$49,MATCH(orders!$D986,products!$A$1:$A$49,0),MATCH(orders!H$1,products!$A$1:$G$1,0))</f>
        <v>Exc</v>
      </c>
      <c r="I986" t="str">
        <f>INDEX(products!$A$1:$G$49,MATCH(orders!$D986,products!$A$1:$A$49,0),MATCH(orders!I$1,products!$A$1:$G$1,0))</f>
        <v>M</v>
      </c>
      <c r="J986" s="5">
        <f>INDEX(products!$A$1:$G$49,MATCH(orders!$D986,products!$A$1:$A$49,0),MATCH(orders!J$1,products!$A$1:$G$1,0))</f>
        <v>2.5</v>
      </c>
      <c r="K986" s="6">
        <f>INDEX(products!$A$1:$G$49,MATCH(orders!$D986,products!$A$1:$A$49,0),MATCH(orders!K$1,products!$A$1:$G$1,0))</f>
        <v>31.624999999999996</v>
      </c>
      <c r="L986" s="6">
        <f>K986*E986</f>
        <v>31.624999999999996</v>
      </c>
      <c r="M986" t="str" cm="1">
        <f t="array" ref="M986">_xlfn.IFS(H986="Rob","Robusta",H986="Exc","Excelsa",H986="Ara","Arabica",H986="Lib","Liberica")</f>
        <v>Excelsa</v>
      </c>
      <c r="N986" t="str" cm="1">
        <f t="array" ref="N986">_xlfn.IFS(I986="M","Medium",I986="L","Light",I986="D","Dark")</f>
        <v>Medium</v>
      </c>
      <c r="O986" t="str">
        <f>_xlfn.XLOOKUP(Orders[[#This Row],[Customer ID]],customers!$A$2:$A$1001,customers!$I$2:$I$1001,,0)</f>
        <v>Yes</v>
      </c>
    </row>
    <row r="987" spans="1:15" x14ac:dyDescent="0.3">
      <c r="A987" s="2" t="s">
        <v>6058</v>
      </c>
      <c r="B987" s="3">
        <v>44561</v>
      </c>
      <c r="C987" s="2" t="s">
        <v>6059</v>
      </c>
      <c r="D987" t="s">
        <v>6179</v>
      </c>
      <c r="E987" s="2">
        <v>4</v>
      </c>
      <c r="F987" s="2" t="str">
        <f>_xlfn.XLOOKUP(C987,customers!$A$2:$A$1001,customers!$B$2:$B$1001,,0)</f>
        <v>Koressa O'Geneay</v>
      </c>
      <c r="G987" s="2" t="str">
        <f>_xlfn.XLOOKUP(C987,customers!$A$2:$A$1001,customers!$G$2:$G$1001,,0)</f>
        <v>United States</v>
      </c>
      <c r="H987" t="str">
        <f>INDEX(products!$A$1:$G$49,MATCH(orders!$D987,products!$A$1:$A$49,0),MATCH(orders!H$1,products!$A$1:$G$1,0))</f>
        <v>Rob</v>
      </c>
      <c r="I987" t="str">
        <f>INDEX(products!$A$1:$G$49,MATCH(orders!$D987,products!$A$1:$A$49,0),MATCH(orders!I$1,products!$A$1:$G$1,0))</f>
        <v>L</v>
      </c>
      <c r="J987" s="5">
        <f>INDEX(products!$A$1:$G$49,MATCH(orders!$D987,products!$A$1:$A$49,0),MATCH(orders!J$1,products!$A$1:$G$1,0))</f>
        <v>1</v>
      </c>
      <c r="K987" s="6">
        <f>INDEX(products!$A$1:$G$49,MATCH(orders!$D987,products!$A$1:$A$49,0),MATCH(orders!K$1,products!$A$1:$G$1,0))</f>
        <v>11.95</v>
      </c>
      <c r="L987" s="6">
        <f>K987*E987</f>
        <v>47.8</v>
      </c>
      <c r="M987" t="str" cm="1">
        <f t="array" ref="M987">_xlfn.IFS(H987="Rob","Robusta",H987="Exc","Excelsa",H987="Ara","Arabica",H987="Lib","Liberica")</f>
        <v>Robusta</v>
      </c>
      <c r="N987" t="str" cm="1">
        <f t="array" ref="N987">_xlfn.IFS(I987="M","Medium",I987="L","Light",I987="D","Dark")</f>
        <v>Light</v>
      </c>
      <c r="O987" t="str">
        <f>_xlfn.XLOOKUP(Orders[[#This Row],[Customer ID]],customers!$A$2:$A$1001,customers!$I$2:$I$1001,,0)</f>
        <v>No</v>
      </c>
    </row>
    <row r="988" spans="1:15" x14ac:dyDescent="0.3">
      <c r="A988" s="2" t="s">
        <v>6064</v>
      </c>
      <c r="B988" s="3">
        <v>43955</v>
      </c>
      <c r="C988" s="2" t="s">
        <v>6065</v>
      </c>
      <c r="D988" t="s">
        <v>6181</v>
      </c>
      <c r="E988" s="2">
        <v>1</v>
      </c>
      <c r="F988" s="2" t="str">
        <f>_xlfn.XLOOKUP(C988,customers!$A$2:$A$1001,customers!$B$2:$B$1001,,0)</f>
        <v>Claudell Ayre</v>
      </c>
      <c r="G988" s="2" t="str">
        <f>_xlfn.XLOOKUP(C988,customers!$A$2:$A$1001,customers!$G$2:$G$1001,,0)</f>
        <v>United States</v>
      </c>
      <c r="H988" t="str">
        <f>INDEX(products!$A$1:$G$49,MATCH(orders!$D988,products!$A$1:$A$49,0),MATCH(orders!H$1,products!$A$1:$G$1,0))</f>
        <v>Lib</v>
      </c>
      <c r="I988" t="str">
        <f>INDEX(products!$A$1:$G$49,MATCH(orders!$D988,products!$A$1:$A$49,0),MATCH(orders!I$1,products!$A$1:$G$1,0))</f>
        <v>M</v>
      </c>
      <c r="J988" s="5">
        <f>INDEX(products!$A$1:$G$49,MATCH(orders!$D988,products!$A$1:$A$49,0),MATCH(orders!J$1,products!$A$1:$G$1,0))</f>
        <v>2.5</v>
      </c>
      <c r="K988" s="6">
        <f>INDEX(products!$A$1:$G$49,MATCH(orders!$D988,products!$A$1:$A$49,0),MATCH(orders!K$1,products!$A$1:$G$1,0))</f>
        <v>33.464999999999996</v>
      </c>
      <c r="L988" s="6">
        <f>K988*E988</f>
        <v>33.464999999999996</v>
      </c>
      <c r="M988" t="str" cm="1">
        <f t="array" ref="M988">_xlfn.IFS(H988="Rob","Robusta",H988="Exc","Excelsa",H988="Ara","Arabica",H988="Lib","Liberica")</f>
        <v>Liberica</v>
      </c>
      <c r="N988" t="str" cm="1">
        <f t="array" ref="N988">_xlfn.IFS(I988="M","Medium",I988="L","Light",I988="D","Dark")</f>
        <v>Medium</v>
      </c>
      <c r="O988" t="str">
        <f>_xlfn.XLOOKUP(Orders[[#This Row],[Customer ID]],customers!$A$2:$A$1001,customers!$I$2:$I$1001,,0)</f>
        <v>No</v>
      </c>
    </row>
    <row r="989" spans="1:15" x14ac:dyDescent="0.3">
      <c r="A989" s="2" t="s">
        <v>6070</v>
      </c>
      <c r="B989" s="3">
        <v>44247</v>
      </c>
      <c r="C989" s="2" t="s">
        <v>6071</v>
      </c>
      <c r="D989" t="s">
        <v>6158</v>
      </c>
      <c r="E989" s="2">
        <v>5</v>
      </c>
      <c r="F989" s="2" t="str">
        <f>_xlfn.XLOOKUP(C989,customers!$A$2:$A$1001,customers!$B$2:$B$1001,,0)</f>
        <v>Lorianne Kyneton</v>
      </c>
      <c r="G989" s="2" t="str">
        <f>_xlfn.XLOOKUP(C989,customers!$A$2:$A$1001,customers!$G$2:$G$1001,,0)</f>
        <v>United Kingdom</v>
      </c>
      <c r="H989" t="str">
        <f>INDEX(products!$A$1:$G$49,MATCH(orders!$D989,products!$A$1:$A$49,0),MATCH(orders!H$1,products!$A$1:$G$1,0))</f>
        <v>Ara</v>
      </c>
      <c r="I989" t="str">
        <f>INDEX(products!$A$1:$G$49,MATCH(orders!$D989,products!$A$1:$A$49,0),MATCH(orders!I$1,products!$A$1:$G$1,0))</f>
        <v>D</v>
      </c>
      <c r="J989" s="5">
        <f>INDEX(products!$A$1:$G$49,MATCH(orders!$D989,products!$A$1:$A$49,0),MATCH(orders!J$1,products!$A$1:$G$1,0))</f>
        <v>0.5</v>
      </c>
      <c r="K989" s="6">
        <f>INDEX(products!$A$1:$G$49,MATCH(orders!$D989,products!$A$1:$A$49,0),MATCH(orders!K$1,products!$A$1:$G$1,0))</f>
        <v>5.97</v>
      </c>
      <c r="L989" s="6">
        <f>K989*E989</f>
        <v>29.849999999999998</v>
      </c>
      <c r="M989" t="str" cm="1">
        <f t="array" ref="M989">_xlfn.IFS(H989="Rob","Robusta",H989="Exc","Excelsa",H989="Ara","Arabica",H989="Lib","Liberica")</f>
        <v>Arabica</v>
      </c>
      <c r="N989" t="str" cm="1">
        <f t="array" ref="N989">_xlfn.IFS(I989="M","Medium",I989="L","Light",I989="D","Dark")</f>
        <v>Dark</v>
      </c>
      <c r="O989" t="str">
        <f>_xlfn.XLOOKUP(Orders[[#This Row],[Customer ID]],customers!$A$2:$A$1001,customers!$I$2:$I$1001,,0)</f>
        <v>Yes</v>
      </c>
    </row>
    <row r="990" spans="1:15" x14ac:dyDescent="0.3">
      <c r="A990" s="2" t="s">
        <v>6076</v>
      </c>
      <c r="B990" s="3">
        <v>43897</v>
      </c>
      <c r="C990" s="2" t="s">
        <v>6077</v>
      </c>
      <c r="D990" t="s">
        <v>6138</v>
      </c>
      <c r="E990" s="2">
        <v>3</v>
      </c>
      <c r="F990" s="2" t="str">
        <f>_xlfn.XLOOKUP(C990,customers!$A$2:$A$1001,customers!$B$2:$B$1001,,0)</f>
        <v>Adele McFayden</v>
      </c>
      <c r="G990" s="2" t="str">
        <f>_xlfn.XLOOKUP(C990,customers!$A$2:$A$1001,customers!$G$2:$G$1001,,0)</f>
        <v>United Kingdom</v>
      </c>
      <c r="H990" t="str">
        <f>INDEX(products!$A$1:$G$49,MATCH(orders!$D990,products!$A$1:$A$49,0),MATCH(orders!H$1,products!$A$1:$G$1,0))</f>
        <v>Rob</v>
      </c>
      <c r="I990" t="str">
        <f>INDEX(products!$A$1:$G$49,MATCH(orders!$D990,products!$A$1:$A$49,0),MATCH(orders!I$1,products!$A$1:$G$1,0))</f>
        <v>M</v>
      </c>
      <c r="J990" s="5">
        <f>INDEX(products!$A$1:$G$49,MATCH(orders!$D990,products!$A$1:$A$49,0),MATCH(orders!J$1,products!$A$1:$G$1,0))</f>
        <v>1</v>
      </c>
      <c r="K990" s="6">
        <f>INDEX(products!$A$1:$G$49,MATCH(orders!$D990,products!$A$1:$A$49,0),MATCH(orders!K$1,products!$A$1:$G$1,0))</f>
        <v>9.9499999999999993</v>
      </c>
      <c r="L990" s="6">
        <f>K990*E990</f>
        <v>29.849999999999998</v>
      </c>
      <c r="M990" t="str" cm="1">
        <f t="array" ref="M990">_xlfn.IFS(H990="Rob","Robusta",H990="Exc","Excelsa",H990="Ara","Arabica",H990="Lib","Liberica")</f>
        <v>Robusta</v>
      </c>
      <c r="N990" t="str" cm="1">
        <f t="array" ref="N990">_xlfn.IFS(I990="M","Medium",I990="L","Light",I990="D","Dark")</f>
        <v>Medium</v>
      </c>
      <c r="O990" t="str">
        <f>_xlfn.XLOOKUP(Orders[[#This Row],[Customer ID]],customers!$A$2:$A$1001,customers!$I$2:$I$1001,,0)</f>
        <v>Yes</v>
      </c>
    </row>
    <row r="991" spans="1:15" x14ac:dyDescent="0.3">
      <c r="A991" s="2" t="s">
        <v>6081</v>
      </c>
      <c r="B991" s="3">
        <v>43560</v>
      </c>
      <c r="C991" s="2" t="s">
        <v>6082</v>
      </c>
      <c r="D991" t="s">
        <v>6175</v>
      </c>
      <c r="E991" s="2">
        <v>6</v>
      </c>
      <c r="F991" s="2" t="str">
        <f>_xlfn.XLOOKUP(C991,customers!$A$2:$A$1001,customers!$B$2:$B$1001,,0)</f>
        <v>Herta Layne</v>
      </c>
      <c r="G991" s="2" t="str">
        <f>_xlfn.XLOOKUP(C991,customers!$A$2:$A$1001,customers!$G$2:$G$1001,,0)</f>
        <v>United States</v>
      </c>
      <c r="H991" t="str">
        <f>INDEX(products!$A$1:$G$49,MATCH(orders!$D991,products!$A$1:$A$49,0),MATCH(orders!H$1,products!$A$1:$G$1,0))</f>
        <v>Ara</v>
      </c>
      <c r="I991" t="str">
        <f>INDEX(products!$A$1:$G$49,MATCH(orders!$D991,products!$A$1:$A$49,0),MATCH(orders!I$1,products!$A$1:$G$1,0))</f>
        <v>M</v>
      </c>
      <c r="J991" s="5">
        <f>INDEX(products!$A$1:$G$49,MATCH(orders!$D991,products!$A$1:$A$49,0),MATCH(orders!J$1,products!$A$1:$G$1,0))</f>
        <v>2.5</v>
      </c>
      <c r="K991" s="6">
        <f>INDEX(products!$A$1:$G$49,MATCH(orders!$D991,products!$A$1:$A$49,0),MATCH(orders!K$1,products!$A$1:$G$1,0))</f>
        <v>25.874999999999996</v>
      </c>
      <c r="L991" s="6">
        <f>K991*E991</f>
        <v>155.24999999999997</v>
      </c>
      <c r="M991" t="str" cm="1">
        <f t="array" ref="M991">_xlfn.IFS(H991="Rob","Robusta",H991="Exc","Excelsa",H991="Ara","Arabica",H991="Lib","Liberica")</f>
        <v>Arabica</v>
      </c>
      <c r="N991" t="str" cm="1">
        <f t="array" ref="N991">_xlfn.IFS(I991="M","Medium",I991="L","Light",I991="D","Dark")</f>
        <v>Medium</v>
      </c>
      <c r="O991" t="str">
        <f>_xlfn.XLOOKUP(Orders[[#This Row],[Customer ID]],customers!$A$2:$A$1001,customers!$I$2:$I$1001,,0)</f>
        <v>Yes</v>
      </c>
    </row>
    <row r="992" spans="1:15" x14ac:dyDescent="0.3">
      <c r="A992" s="2" t="s">
        <v>6086</v>
      </c>
      <c r="B992" s="3">
        <v>44718</v>
      </c>
      <c r="C992" s="2" t="s">
        <v>6118</v>
      </c>
      <c r="D992" t="s">
        <v>6153</v>
      </c>
      <c r="E992" s="2">
        <v>5</v>
      </c>
      <c r="F992" s="2" t="str">
        <f>_xlfn.XLOOKUP(C992,customers!$A$2:$A$1001,customers!$B$2:$B$1001,,0)</f>
        <v>Marguerite Graves</v>
      </c>
      <c r="G992" s="2" t="str">
        <f>_xlfn.XLOOKUP(C992,customers!$A$2:$A$1001,customers!$G$2:$G$1001,,0)</f>
        <v>United States</v>
      </c>
      <c r="H992" t="str">
        <f>INDEX(products!$A$1:$G$49,MATCH(orders!$D992,products!$A$1:$A$49,0),MATCH(orders!H$1,products!$A$1:$G$1,0))</f>
        <v>Exc</v>
      </c>
      <c r="I992" t="str">
        <f>INDEX(products!$A$1:$G$49,MATCH(orders!$D992,products!$A$1:$A$49,0),MATCH(orders!I$1,products!$A$1:$G$1,0))</f>
        <v>D</v>
      </c>
      <c r="J992" s="5">
        <f>INDEX(products!$A$1:$G$49,MATCH(orders!$D992,products!$A$1:$A$49,0),MATCH(orders!J$1,products!$A$1:$G$1,0))</f>
        <v>0.2</v>
      </c>
      <c r="K992" s="6">
        <f>INDEX(products!$A$1:$G$49,MATCH(orders!$D992,products!$A$1:$A$49,0),MATCH(orders!K$1,products!$A$1:$G$1,0))</f>
        <v>3.645</v>
      </c>
      <c r="L992" s="6">
        <f>K992*E992</f>
        <v>18.225000000000001</v>
      </c>
      <c r="M992" t="str" cm="1">
        <f t="array" ref="M992">_xlfn.IFS(H992="Rob","Robusta",H992="Exc","Excelsa",H992="Ara","Arabica",H992="Lib","Liberica")</f>
        <v>Excelsa</v>
      </c>
      <c r="N992" t="str" cm="1">
        <f t="array" ref="N992">_xlfn.IFS(I992="M","Medium",I992="L","Light",I992="D","Dark")</f>
        <v>Dark</v>
      </c>
      <c r="O992" t="str">
        <f>_xlfn.XLOOKUP(Orders[[#This Row],[Customer ID]],customers!$A$2:$A$1001,customers!$I$2:$I$1001,,0)</f>
        <v>No</v>
      </c>
    </row>
    <row r="993" spans="1:15" x14ac:dyDescent="0.3">
      <c r="A993" s="2" t="s">
        <v>6086</v>
      </c>
      <c r="B993" s="3">
        <v>44718</v>
      </c>
      <c r="C993" s="2" t="s">
        <v>6118</v>
      </c>
      <c r="D993" t="s">
        <v>6169</v>
      </c>
      <c r="E993" s="2">
        <v>2</v>
      </c>
      <c r="F993" s="2" t="str">
        <f>_xlfn.XLOOKUP(C993,customers!$A$2:$A$1001,customers!$B$2:$B$1001,,0)</f>
        <v>Marguerite Graves</v>
      </c>
      <c r="G993" s="2" t="str">
        <f>_xlfn.XLOOKUP(C993,customers!$A$2:$A$1001,customers!$G$2:$G$1001,,0)</f>
        <v>United States</v>
      </c>
      <c r="H993" t="str">
        <f>INDEX(products!$A$1:$G$49,MATCH(orders!$D993,products!$A$1:$A$49,0),MATCH(orders!H$1,products!$A$1:$G$1,0))</f>
        <v>Lib</v>
      </c>
      <c r="I993" t="str">
        <f>INDEX(products!$A$1:$G$49,MATCH(orders!$D993,products!$A$1:$A$49,0),MATCH(orders!I$1,products!$A$1:$G$1,0))</f>
        <v>D</v>
      </c>
      <c r="J993" s="5">
        <f>INDEX(products!$A$1:$G$49,MATCH(orders!$D993,products!$A$1:$A$49,0),MATCH(orders!J$1,products!$A$1:$G$1,0))</f>
        <v>0.5</v>
      </c>
      <c r="K993" s="6">
        <f>INDEX(products!$A$1:$G$49,MATCH(orders!$D993,products!$A$1:$A$49,0),MATCH(orders!K$1,products!$A$1:$G$1,0))</f>
        <v>7.77</v>
      </c>
      <c r="L993" s="6">
        <f>K993*E993</f>
        <v>15.54</v>
      </c>
      <c r="M993" t="str" cm="1">
        <f t="array" ref="M993">_xlfn.IFS(H993="Rob","Robusta",H993="Exc","Excelsa",H993="Ara","Arabica",H993="Lib","Liberica")</f>
        <v>Liberica</v>
      </c>
      <c r="N993" t="str" cm="1">
        <f t="array" ref="N993">_xlfn.IFS(I993="M","Medium",I993="L","Light",I993="D","Dark")</f>
        <v>Dark</v>
      </c>
      <c r="O993" t="str">
        <f>_xlfn.XLOOKUP(Orders[[#This Row],[Customer ID]],customers!$A$2:$A$1001,customers!$I$2:$I$1001,,0)</f>
        <v>No</v>
      </c>
    </row>
    <row r="994" spans="1:15" x14ac:dyDescent="0.3">
      <c r="A994" s="2" t="s">
        <v>6096</v>
      </c>
      <c r="B994" s="3">
        <v>44276</v>
      </c>
      <c r="C994" s="2" t="s">
        <v>6097</v>
      </c>
      <c r="D994" t="s">
        <v>6164</v>
      </c>
      <c r="E994" s="2">
        <v>3</v>
      </c>
      <c r="F994" s="2" t="str">
        <f>_xlfn.XLOOKUP(C994,customers!$A$2:$A$1001,customers!$B$2:$B$1001,,0)</f>
        <v>Desdemona Eye</v>
      </c>
      <c r="G994" s="2" t="str">
        <f>_xlfn.XLOOKUP(C994,customers!$A$2:$A$1001,customers!$G$2:$G$1001,,0)</f>
        <v>Ireland</v>
      </c>
      <c r="H994" t="str">
        <f>INDEX(products!$A$1:$G$49,MATCH(orders!$D994,products!$A$1:$A$49,0),MATCH(orders!H$1,products!$A$1:$G$1,0))</f>
        <v>Lib</v>
      </c>
      <c r="I994" t="str">
        <f>INDEX(products!$A$1:$G$49,MATCH(orders!$D994,products!$A$1:$A$49,0),MATCH(orders!I$1,products!$A$1:$G$1,0))</f>
        <v>L</v>
      </c>
      <c r="J994" s="5">
        <f>INDEX(products!$A$1:$G$49,MATCH(orders!$D994,products!$A$1:$A$49,0),MATCH(orders!J$1,products!$A$1:$G$1,0))</f>
        <v>2.5</v>
      </c>
      <c r="K994" s="6">
        <f>INDEX(products!$A$1:$G$49,MATCH(orders!$D994,products!$A$1:$A$49,0),MATCH(orders!K$1,products!$A$1:$G$1,0))</f>
        <v>36.454999999999998</v>
      </c>
      <c r="L994" s="6">
        <f>K994*E994</f>
        <v>109.36499999999999</v>
      </c>
      <c r="M994" t="str" cm="1">
        <f t="array" ref="M994">_xlfn.IFS(H994="Rob","Robusta",H994="Exc","Excelsa",H994="Ara","Arabica",H994="Lib","Liberica")</f>
        <v>Liberica</v>
      </c>
      <c r="N994" t="str" cm="1">
        <f t="array" ref="N994">_xlfn.IFS(I994="M","Medium",I994="L","Light",I994="D","Dark")</f>
        <v>Light</v>
      </c>
      <c r="O994" t="str">
        <f>_xlfn.XLOOKUP(Orders[[#This Row],[Customer ID]],customers!$A$2:$A$1001,customers!$I$2:$I$1001,,0)</f>
        <v>No</v>
      </c>
    </row>
    <row r="995" spans="1:15" x14ac:dyDescent="0.3">
      <c r="A995" s="2" t="s">
        <v>6101</v>
      </c>
      <c r="B995" s="3">
        <v>44549</v>
      </c>
      <c r="C995" s="2" t="s">
        <v>6102</v>
      </c>
      <c r="D995" t="s">
        <v>6140</v>
      </c>
      <c r="E995" s="2">
        <v>6</v>
      </c>
      <c r="F995" s="2" t="str">
        <f>_xlfn.XLOOKUP(C995,customers!$A$2:$A$1001,customers!$B$2:$B$1001,,0)</f>
        <v>Margarette Sterland</v>
      </c>
      <c r="G995" s="2" t="str">
        <f>_xlfn.XLOOKUP(C995,customers!$A$2:$A$1001,customers!$G$2:$G$1001,,0)</f>
        <v>United States</v>
      </c>
      <c r="H995" t="str">
        <f>INDEX(products!$A$1:$G$49,MATCH(orders!$D995,products!$A$1:$A$49,0),MATCH(orders!H$1,products!$A$1:$G$1,0))</f>
        <v>Ara</v>
      </c>
      <c r="I995" t="str">
        <f>INDEX(products!$A$1:$G$49,MATCH(orders!$D995,products!$A$1:$A$49,0),MATCH(orders!I$1,products!$A$1:$G$1,0))</f>
        <v>L</v>
      </c>
      <c r="J995" s="5">
        <f>INDEX(products!$A$1:$G$49,MATCH(orders!$D995,products!$A$1:$A$49,0),MATCH(orders!J$1,products!$A$1:$G$1,0))</f>
        <v>1</v>
      </c>
      <c r="K995" s="6">
        <f>INDEX(products!$A$1:$G$49,MATCH(orders!$D995,products!$A$1:$A$49,0),MATCH(orders!K$1,products!$A$1:$G$1,0))</f>
        <v>12.95</v>
      </c>
      <c r="L995" s="6">
        <f>K995*E995</f>
        <v>77.699999999999989</v>
      </c>
      <c r="M995" t="str" cm="1">
        <f t="array" ref="M995">_xlfn.IFS(H995="Rob","Robusta",H995="Exc","Excelsa",H995="Ara","Arabica",H995="Lib","Liberica")</f>
        <v>Arabica</v>
      </c>
      <c r="N995" t="str" cm="1">
        <f t="array" ref="N995">_xlfn.IFS(I995="M","Medium",I995="L","Light",I995="D","Dark")</f>
        <v>Light</v>
      </c>
      <c r="O995" t="str">
        <f>_xlfn.XLOOKUP(Orders[[#This Row],[Customer ID]],customers!$A$2:$A$1001,customers!$I$2:$I$1001,,0)</f>
        <v>No</v>
      </c>
    </row>
    <row r="996" spans="1:15" x14ac:dyDescent="0.3">
      <c r="A996" s="2" t="s">
        <v>6106</v>
      </c>
      <c r="B996" s="3">
        <v>44244</v>
      </c>
      <c r="C996" s="2" t="s">
        <v>6107</v>
      </c>
      <c r="D996" t="s">
        <v>6154</v>
      </c>
      <c r="E996" s="2">
        <v>3</v>
      </c>
      <c r="F996" s="2" t="str">
        <f>_xlfn.XLOOKUP(C996,customers!$A$2:$A$1001,customers!$B$2:$B$1001,,0)</f>
        <v>Catharine Scoines</v>
      </c>
      <c r="G996" s="2" t="str">
        <f>_xlfn.XLOOKUP(C996,customers!$A$2:$A$1001,customers!$G$2:$G$1001,,0)</f>
        <v>Ireland</v>
      </c>
      <c r="H996" t="str">
        <f>INDEX(products!$A$1:$G$49,MATCH(orders!$D996,products!$A$1:$A$49,0),MATCH(orders!H$1,products!$A$1:$G$1,0))</f>
        <v>Ara</v>
      </c>
      <c r="I996" t="str">
        <f>INDEX(products!$A$1:$G$49,MATCH(orders!$D996,products!$A$1:$A$49,0),MATCH(orders!I$1,products!$A$1:$G$1,0))</f>
        <v>D</v>
      </c>
      <c r="J996" s="5">
        <f>INDEX(products!$A$1:$G$49,MATCH(orders!$D996,products!$A$1:$A$49,0),MATCH(orders!J$1,products!$A$1:$G$1,0))</f>
        <v>0.2</v>
      </c>
      <c r="K996" s="6">
        <f>INDEX(products!$A$1:$G$49,MATCH(orders!$D996,products!$A$1:$A$49,0),MATCH(orders!K$1,products!$A$1:$G$1,0))</f>
        <v>2.9849999999999999</v>
      </c>
      <c r="L996" s="6">
        <f>K996*E996</f>
        <v>8.9550000000000001</v>
      </c>
      <c r="M996" t="str" cm="1">
        <f t="array" ref="M996">_xlfn.IFS(H996="Rob","Robusta",H996="Exc","Excelsa",H996="Ara","Arabica",H996="Lib","Liberica")</f>
        <v>Arabica</v>
      </c>
      <c r="N996" t="str" cm="1">
        <f t="array" ref="N996">_xlfn.IFS(I996="M","Medium",I996="L","Light",I996="D","Dark")</f>
        <v>Dark</v>
      </c>
      <c r="O996" t="str">
        <f>_xlfn.XLOOKUP(Orders[[#This Row],[Customer ID]],customers!$A$2:$A$1001,customers!$I$2:$I$1001,,0)</f>
        <v>No</v>
      </c>
    </row>
    <row r="997" spans="1:15" x14ac:dyDescent="0.3">
      <c r="A997" s="2" t="s">
        <v>6111</v>
      </c>
      <c r="B997" s="3">
        <v>43836</v>
      </c>
      <c r="C997" s="2" t="s">
        <v>6112</v>
      </c>
      <c r="D997" t="s">
        <v>6142</v>
      </c>
      <c r="E997" s="2">
        <v>1</v>
      </c>
      <c r="F997" s="2" t="str">
        <f>_xlfn.XLOOKUP(C997,customers!$A$2:$A$1001,customers!$B$2:$B$1001,,0)</f>
        <v>Jennica Tewelson</v>
      </c>
      <c r="G997" s="2" t="str">
        <f>_xlfn.XLOOKUP(C997,customers!$A$2:$A$1001,customers!$G$2:$G$1001,,0)</f>
        <v>United States</v>
      </c>
      <c r="H997" t="str">
        <f>INDEX(products!$A$1:$G$49,MATCH(orders!$D997,products!$A$1:$A$49,0),MATCH(orders!H$1,products!$A$1:$G$1,0))</f>
        <v>Rob</v>
      </c>
      <c r="I997" t="str">
        <f>INDEX(products!$A$1:$G$49,MATCH(orders!$D997,products!$A$1:$A$49,0),MATCH(orders!I$1,products!$A$1:$G$1,0))</f>
        <v>L</v>
      </c>
      <c r="J997" s="5">
        <f>INDEX(products!$A$1:$G$49,MATCH(orders!$D997,products!$A$1:$A$49,0),MATCH(orders!J$1,products!$A$1:$G$1,0))</f>
        <v>2.5</v>
      </c>
      <c r="K997" s="6">
        <f>INDEX(products!$A$1:$G$49,MATCH(orders!$D997,products!$A$1:$A$49,0),MATCH(orders!K$1,products!$A$1:$G$1,0))</f>
        <v>27.484999999999996</v>
      </c>
      <c r="L997" s="6">
        <f>K997*E997</f>
        <v>27.484999999999996</v>
      </c>
      <c r="M997" t="str" cm="1">
        <f t="array" ref="M997">_xlfn.IFS(H997="Rob","Robusta",H997="Exc","Excelsa",H997="Ara","Arabica",H997="Lib","Liberica")</f>
        <v>Robusta</v>
      </c>
      <c r="N997" t="str" cm="1">
        <f t="array" ref="N997">_xlfn.IFS(I997="M","Medium",I997="L","Light",I997="D","Dark")</f>
        <v>Light</v>
      </c>
      <c r="O997" t="str">
        <f>_xlfn.XLOOKUP(Orders[[#This Row],[Customer ID]],customers!$A$2:$A$1001,customers!$I$2:$I$1001,,0)</f>
        <v>No</v>
      </c>
    </row>
    <row r="998" spans="1:15" x14ac:dyDescent="0.3">
      <c r="A998" s="2" t="s">
        <v>6117</v>
      </c>
      <c r="B998" s="3">
        <v>44685</v>
      </c>
      <c r="C998" s="2" t="s">
        <v>6118</v>
      </c>
      <c r="D998" t="s">
        <v>6146</v>
      </c>
      <c r="E998" s="2">
        <v>5</v>
      </c>
      <c r="F998" s="2" t="str">
        <f>_xlfn.XLOOKUP(C998,customers!$A$2:$A$1001,customers!$B$2:$B$1001,,0)</f>
        <v>Marguerite Graves</v>
      </c>
      <c r="G998" s="2" t="str">
        <f>_xlfn.XLOOKUP(C998,customers!$A$2:$A$1001,customers!$G$2:$G$1001,,0)</f>
        <v>United States</v>
      </c>
      <c r="H998" t="str">
        <f>INDEX(products!$A$1:$G$49,MATCH(orders!$D998,products!$A$1:$A$49,0),MATCH(orders!H$1,products!$A$1:$G$1,0))</f>
        <v>Rob</v>
      </c>
      <c r="I998" t="str">
        <f>INDEX(products!$A$1:$G$49,MATCH(orders!$D998,products!$A$1:$A$49,0),MATCH(orders!I$1,products!$A$1:$G$1,0))</f>
        <v>M</v>
      </c>
      <c r="J998" s="5">
        <f>INDEX(products!$A$1:$G$49,MATCH(orders!$D998,products!$A$1:$A$49,0),MATCH(orders!J$1,products!$A$1:$G$1,0))</f>
        <v>0.5</v>
      </c>
      <c r="K998" s="6">
        <f>INDEX(products!$A$1:$G$49,MATCH(orders!$D998,products!$A$1:$A$49,0),MATCH(orders!K$1,products!$A$1:$G$1,0))</f>
        <v>5.97</v>
      </c>
      <c r="L998" s="6">
        <f>K998*E998</f>
        <v>29.849999999999998</v>
      </c>
      <c r="M998" t="str" cm="1">
        <f t="array" ref="M998">_xlfn.IFS(H998="Rob","Robusta",H998="Exc","Excelsa",H998="Ara","Arabica",H998="Lib","Liberica")</f>
        <v>Robusta</v>
      </c>
      <c r="N998" t="str" cm="1">
        <f t="array" ref="N998">_xlfn.IFS(I998="M","Medium",I998="L","Light",I998="D","Dark")</f>
        <v>Medium</v>
      </c>
      <c r="O998" t="str">
        <f>_xlfn.XLOOKUP(Orders[[#This Row],[Customer ID]],customers!$A$2:$A$1001,customers!$I$2:$I$1001,,0)</f>
        <v>No</v>
      </c>
    </row>
    <row r="999" spans="1:15" x14ac:dyDescent="0.3">
      <c r="A999" s="2" t="s">
        <v>6122</v>
      </c>
      <c r="B999" s="3">
        <v>43749</v>
      </c>
      <c r="C999" s="2" t="s">
        <v>6118</v>
      </c>
      <c r="D999" t="s">
        <v>6157</v>
      </c>
      <c r="E999" s="2">
        <v>4</v>
      </c>
      <c r="F999" s="2" t="str">
        <f>_xlfn.XLOOKUP(C999,customers!$A$2:$A$1001,customers!$B$2:$B$1001,,0)</f>
        <v>Marguerite Graves</v>
      </c>
      <c r="G999" s="2" t="str">
        <f>_xlfn.XLOOKUP(C999,customers!$A$2:$A$1001,customers!$G$2:$G$1001,,0)</f>
        <v>United States</v>
      </c>
      <c r="H999" t="str">
        <f>INDEX(products!$A$1:$G$49,MATCH(orders!$D999,products!$A$1:$A$49,0),MATCH(orders!H$1,products!$A$1:$G$1,0))</f>
        <v>Ara</v>
      </c>
      <c r="I999" t="str">
        <f>INDEX(products!$A$1:$G$49,MATCH(orders!$D999,products!$A$1:$A$49,0),MATCH(orders!I$1,products!$A$1:$G$1,0))</f>
        <v>M</v>
      </c>
      <c r="J999" s="5">
        <f>INDEX(products!$A$1:$G$49,MATCH(orders!$D999,products!$A$1:$A$49,0),MATCH(orders!J$1,products!$A$1:$G$1,0))</f>
        <v>0.5</v>
      </c>
      <c r="K999" s="6">
        <f>INDEX(products!$A$1:$G$49,MATCH(orders!$D999,products!$A$1:$A$49,0),MATCH(orders!K$1,products!$A$1:$G$1,0))</f>
        <v>6.75</v>
      </c>
      <c r="L999" s="6">
        <f>K999*E999</f>
        <v>27</v>
      </c>
      <c r="M999" t="str" cm="1">
        <f t="array" ref="M999">_xlfn.IFS(H999="Rob","Robusta",H999="Exc","Excelsa",H999="Ara","Arabica",H999="Lib","Liberica")</f>
        <v>Arabica</v>
      </c>
      <c r="N999" t="str" cm="1">
        <f t="array" ref="N999">_xlfn.IFS(I999="M","Medium",I999="L","Light",I999="D","Dark")</f>
        <v>Medium</v>
      </c>
      <c r="O999" t="str">
        <f>_xlfn.XLOOKUP(Orders[[#This Row],[Customer ID]],customers!$A$2:$A$1001,customers!$I$2:$I$1001,,0)</f>
        <v>No</v>
      </c>
    </row>
    <row r="1000" spans="1:15" x14ac:dyDescent="0.3">
      <c r="A1000" s="2" t="s">
        <v>6127</v>
      </c>
      <c r="B1000" s="3">
        <v>44411</v>
      </c>
      <c r="C1000" s="2" t="s">
        <v>6128</v>
      </c>
      <c r="D1000" t="s">
        <v>6147</v>
      </c>
      <c r="E1000" s="2">
        <v>1</v>
      </c>
      <c r="F1000" s="2" t="str">
        <f>_xlfn.XLOOKUP(C1000,customers!$A$2:$A$1001,customers!$B$2:$B$1001,,0)</f>
        <v>Nicolina Jenny</v>
      </c>
      <c r="G1000" s="2" t="str">
        <f>_xlfn.XLOOKUP(C1000,customers!$A$2:$A$1001,customers!$G$2:$G$1001,,0)</f>
        <v>United States</v>
      </c>
      <c r="H1000" t="str">
        <f>INDEX(products!$A$1:$G$49,MATCH(orders!$D1000,products!$A$1:$A$49,0),MATCH(orders!H$1,products!$A$1:$G$1,0))</f>
        <v>Ara</v>
      </c>
      <c r="I1000" t="str">
        <f>INDEX(products!$A$1:$G$49,MATCH(orders!$D1000,products!$A$1:$A$49,0),MATCH(orders!I$1,products!$A$1:$G$1,0))</f>
        <v>D</v>
      </c>
      <c r="J1000" s="5">
        <f>INDEX(products!$A$1:$G$49,MATCH(orders!$D1000,products!$A$1:$A$49,0),MATCH(orders!J$1,products!$A$1:$G$1,0))</f>
        <v>1</v>
      </c>
      <c r="K1000" s="6">
        <f>INDEX(products!$A$1:$G$49,MATCH(orders!$D1000,products!$A$1:$A$49,0),MATCH(orders!K$1,products!$A$1:$G$1,0))</f>
        <v>9.9499999999999993</v>
      </c>
      <c r="L1000" s="6">
        <f>K1000*E1000</f>
        <v>9.9499999999999993</v>
      </c>
      <c r="M1000" t="str" cm="1">
        <f t="array" ref="M1000">_xlfn.IFS(H1000="Rob","Robusta",H1000="Exc","Excelsa",H1000="Ara","Arabica",H1000="Lib","Liberica")</f>
        <v>Arabica</v>
      </c>
      <c r="N1000" t="str" cm="1">
        <f t="array" ref="N1000">_xlfn.IFS(I1000="M","Medium",I1000="L","Light",I1000="D","Dark")</f>
        <v>Dark</v>
      </c>
      <c r="O1000" t="str">
        <f>_xlfn.XLOOKUP(Orders[[#This Row],[Customer ID]],customers!$A$2:$A$1001,customers!$I$2:$I$1001,,0)</f>
        <v>No</v>
      </c>
    </row>
    <row r="1001" spans="1:15" x14ac:dyDescent="0.3">
      <c r="A1001" s="2" t="s">
        <v>6133</v>
      </c>
      <c r="B1001" s="3">
        <v>44119</v>
      </c>
      <c r="C1001" s="2" t="s">
        <v>6134</v>
      </c>
      <c r="D1001" t="s">
        <v>6156</v>
      </c>
      <c r="E1001" s="2">
        <v>3</v>
      </c>
      <c r="F1001" s="2" t="str">
        <f>_xlfn.XLOOKUP(C1001,customers!$A$2:$A$1001,customers!$B$2:$B$1001,,0)</f>
        <v>Vidovic Antonelli</v>
      </c>
      <c r="G1001" s="2" t="str">
        <f>_xlfn.XLOOKUP(C1001,customers!$A$2:$A$1001,customers!$G$2:$G$1001,,0)</f>
        <v>United Kingdom</v>
      </c>
      <c r="H1001" t="str">
        <f>INDEX(products!$A$1:$G$49,MATCH(orders!$D1001,products!$A$1:$A$49,0),MATCH(orders!H$1,products!$A$1:$G$1,0))</f>
        <v>Exc</v>
      </c>
      <c r="I1001" t="str">
        <f>INDEX(products!$A$1:$G$49,MATCH(orders!$D1001,products!$A$1:$A$49,0),MATCH(orders!I$1,products!$A$1:$G$1,0))</f>
        <v>M</v>
      </c>
      <c r="J1001" s="5">
        <f>INDEX(products!$A$1:$G$49,MATCH(orders!$D1001,products!$A$1:$A$49,0),MATCH(orders!J$1,products!$A$1:$G$1,0))</f>
        <v>0.2</v>
      </c>
      <c r="K1001" s="6">
        <f>INDEX(products!$A$1:$G$49,MATCH(orders!$D1001,products!$A$1:$A$49,0),MATCH(orders!K$1,products!$A$1:$G$1,0))</f>
        <v>4.125</v>
      </c>
      <c r="L1001" s="6">
        <f>K1001*E1001</f>
        <v>12.375</v>
      </c>
      <c r="M1001" t="str" cm="1">
        <f t="array" ref="M1001">_xlfn.IFS(H1001="Rob","Robusta",H1001="Exc","Excelsa",H1001="Ara","Arabica",H1001="Lib","Liberica")</f>
        <v>Excelsa</v>
      </c>
      <c r="N1001" t="str" cm="1">
        <f t="array" ref="N1001">_xlfn.IFS(I1001="M","Medium",I1001="L","Light",I1001="D","Dark")</f>
        <v>Medium</v>
      </c>
      <c r="O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I13" sqref="I13"/>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C4C0-3DFE-47C6-9EF8-FD16B0704828}">
  <dimension ref="A1:G957"/>
  <sheetViews>
    <sheetView workbookViewId="0">
      <selection activeCell="B14" sqref="B14"/>
    </sheetView>
  </sheetViews>
  <sheetFormatPr defaultRowHeight="14.4" x14ac:dyDescent="0.3"/>
  <cols>
    <col min="1" max="1" width="11.88671875" bestFit="1" customWidth="1"/>
  </cols>
  <sheetData>
    <row r="1" spans="1:7" x14ac:dyDescent="0.3">
      <c r="A1" s="10" t="s">
        <v>6198</v>
      </c>
      <c r="B1" s="10" t="s">
        <v>6199</v>
      </c>
      <c r="C1" s="10" t="s">
        <v>6200</v>
      </c>
      <c r="D1" s="10" t="s">
        <v>6201</v>
      </c>
      <c r="E1" s="10" t="s">
        <v>6202</v>
      </c>
      <c r="F1" s="10" t="s">
        <v>6203</v>
      </c>
      <c r="G1" s="10" t="s">
        <v>6204</v>
      </c>
    </row>
    <row r="2" spans="1:7" x14ac:dyDescent="0.3">
      <c r="A2" s="4">
        <v>43466</v>
      </c>
      <c r="B2">
        <v>307.5</v>
      </c>
      <c r="C2">
        <v>307.10000000000002</v>
      </c>
      <c r="D2">
        <v>307.5</v>
      </c>
      <c r="E2">
        <v>307.10000000000002</v>
      </c>
      <c r="G2" s="9">
        <v>0</v>
      </c>
    </row>
    <row r="3" spans="1:7" x14ac:dyDescent="0.3">
      <c r="A3" s="4">
        <v>43467</v>
      </c>
      <c r="B3">
        <v>307.2</v>
      </c>
      <c r="C3">
        <v>307.25</v>
      </c>
      <c r="D3">
        <v>307.3</v>
      </c>
      <c r="E3">
        <v>306.8</v>
      </c>
      <c r="G3" s="9">
        <v>-2.0000000000000001E-4</v>
      </c>
    </row>
    <row r="4" spans="1:7" x14ac:dyDescent="0.3">
      <c r="A4" s="4">
        <v>43468</v>
      </c>
      <c r="B4">
        <v>306.3</v>
      </c>
      <c r="C4">
        <v>315</v>
      </c>
      <c r="D4">
        <v>315</v>
      </c>
      <c r="E4">
        <v>306.3</v>
      </c>
      <c r="G4" s="9">
        <v>-1E-4</v>
      </c>
    </row>
    <row r="5" spans="1:7" x14ac:dyDescent="0.3">
      <c r="A5" s="4">
        <v>43469</v>
      </c>
      <c r="B5">
        <v>305.95</v>
      </c>
      <c r="C5">
        <v>306.39999999999998</v>
      </c>
      <c r="D5">
        <v>314.75</v>
      </c>
      <c r="E5">
        <v>306.33999999999997</v>
      </c>
      <c r="G5" s="9">
        <v>2.0000000000000001E-4</v>
      </c>
    </row>
    <row r="6" spans="1:7" x14ac:dyDescent="0.3">
      <c r="A6" s="4">
        <v>43470</v>
      </c>
      <c r="B6">
        <v>305.92</v>
      </c>
      <c r="C6">
        <v>306.45</v>
      </c>
      <c r="D6">
        <v>306.45</v>
      </c>
      <c r="E6">
        <v>306.38</v>
      </c>
      <c r="G6" s="9">
        <v>-1E-4</v>
      </c>
    </row>
    <row r="7" spans="1:7" x14ac:dyDescent="0.3">
      <c r="A7" s="4">
        <v>43472</v>
      </c>
      <c r="B7">
        <v>305.89999999999998</v>
      </c>
      <c r="C7">
        <v>306.39999999999998</v>
      </c>
      <c r="D7">
        <v>307.2</v>
      </c>
      <c r="E7">
        <v>306.38</v>
      </c>
      <c r="G7" s="9">
        <v>0</v>
      </c>
    </row>
    <row r="8" spans="1:7" x14ac:dyDescent="0.3">
      <c r="A8" s="4">
        <v>43473</v>
      </c>
      <c r="B8">
        <v>305.8</v>
      </c>
      <c r="C8">
        <v>306.3</v>
      </c>
      <c r="D8">
        <v>307.2</v>
      </c>
      <c r="E8">
        <v>306.3</v>
      </c>
      <c r="G8" s="9">
        <v>0</v>
      </c>
    </row>
    <row r="9" spans="1:7" x14ac:dyDescent="0.3">
      <c r="A9" s="4">
        <v>43475</v>
      </c>
      <c r="B9">
        <v>306</v>
      </c>
      <c r="C9">
        <v>306.45</v>
      </c>
      <c r="D9">
        <v>306.72500000000002</v>
      </c>
      <c r="E9">
        <v>306.39999999999998</v>
      </c>
      <c r="G9" s="9">
        <v>2.0000000000000001E-4</v>
      </c>
    </row>
    <row r="10" spans="1:7" x14ac:dyDescent="0.3">
      <c r="A10" s="4">
        <v>43476</v>
      </c>
      <c r="B10">
        <v>306</v>
      </c>
      <c r="C10">
        <v>306.5</v>
      </c>
      <c r="D10">
        <v>307.14999999999998</v>
      </c>
      <c r="E10">
        <v>306.47500000000002</v>
      </c>
      <c r="G10" s="9">
        <v>0</v>
      </c>
    </row>
    <row r="11" spans="1:7" x14ac:dyDescent="0.3">
      <c r="A11" s="4">
        <v>43479</v>
      </c>
      <c r="B11">
        <v>307.3</v>
      </c>
      <c r="C11">
        <v>307.38</v>
      </c>
      <c r="D11">
        <v>307.5</v>
      </c>
      <c r="E11">
        <v>307.3</v>
      </c>
      <c r="G11" s="9">
        <v>-2.9999999999999997E-4</v>
      </c>
    </row>
    <row r="12" spans="1:7" x14ac:dyDescent="0.3">
      <c r="A12" s="4">
        <v>43480</v>
      </c>
      <c r="B12">
        <v>307.3</v>
      </c>
      <c r="C12">
        <v>307.3</v>
      </c>
      <c r="D12">
        <v>307.5</v>
      </c>
      <c r="E12">
        <v>307.3</v>
      </c>
      <c r="G12" s="9">
        <v>0</v>
      </c>
    </row>
    <row r="13" spans="1:7" x14ac:dyDescent="0.3">
      <c r="A13" s="4">
        <v>43481</v>
      </c>
      <c r="B13">
        <v>307.35000000000002</v>
      </c>
      <c r="C13">
        <v>307.38</v>
      </c>
      <c r="D13">
        <v>307.39999999999998</v>
      </c>
      <c r="E13">
        <v>307.3</v>
      </c>
      <c r="G13" s="9">
        <v>2.0000000000000001E-4</v>
      </c>
    </row>
    <row r="14" spans="1:7" x14ac:dyDescent="0.3">
      <c r="A14" s="4">
        <v>43482</v>
      </c>
      <c r="B14">
        <v>307.35000000000002</v>
      </c>
      <c r="C14">
        <v>307.35000000000002</v>
      </c>
      <c r="D14">
        <v>307.5</v>
      </c>
      <c r="E14">
        <v>305</v>
      </c>
      <c r="G14" s="9">
        <v>0</v>
      </c>
    </row>
    <row r="15" spans="1:7" x14ac:dyDescent="0.3">
      <c r="A15" s="4">
        <v>43483</v>
      </c>
      <c r="B15">
        <v>307.3</v>
      </c>
      <c r="C15">
        <v>307.35000000000002</v>
      </c>
      <c r="D15">
        <v>307.38</v>
      </c>
      <c r="E15">
        <v>306.85000000000002</v>
      </c>
      <c r="G15" s="9">
        <v>-2.0000000000000001E-4</v>
      </c>
    </row>
    <row r="16" spans="1:7" x14ac:dyDescent="0.3">
      <c r="A16" s="4">
        <v>43486</v>
      </c>
      <c r="B16">
        <v>307.35000000000002</v>
      </c>
      <c r="C16">
        <v>307.38</v>
      </c>
      <c r="D16">
        <v>307.38</v>
      </c>
      <c r="E16">
        <v>306.85000000000002</v>
      </c>
      <c r="G16" s="9">
        <v>2.0000000000000001E-4</v>
      </c>
    </row>
    <row r="17" spans="1:7" x14ac:dyDescent="0.3">
      <c r="A17" s="4">
        <v>43487</v>
      </c>
      <c r="B17">
        <v>307.3</v>
      </c>
      <c r="C17">
        <v>307.35000000000002</v>
      </c>
      <c r="D17">
        <v>307.38</v>
      </c>
      <c r="E17">
        <v>306.8</v>
      </c>
      <c r="G17" s="9">
        <v>-2.0000000000000001E-4</v>
      </c>
    </row>
    <row r="18" spans="1:7" x14ac:dyDescent="0.3">
      <c r="A18" s="4">
        <v>43488</v>
      </c>
      <c r="B18">
        <v>307.27999999999997</v>
      </c>
      <c r="C18">
        <v>307.3</v>
      </c>
      <c r="D18">
        <v>307.38</v>
      </c>
      <c r="E18">
        <v>305</v>
      </c>
      <c r="G18" s="9">
        <v>-1E-4</v>
      </c>
    </row>
    <row r="19" spans="1:7" x14ac:dyDescent="0.3">
      <c r="A19" s="4">
        <v>43489</v>
      </c>
      <c r="B19">
        <v>307.3</v>
      </c>
      <c r="C19">
        <v>307.27999999999997</v>
      </c>
      <c r="D19">
        <v>315</v>
      </c>
      <c r="E19">
        <v>306.5</v>
      </c>
      <c r="G19" s="9">
        <v>1E-4</v>
      </c>
    </row>
    <row r="20" spans="1:7" x14ac:dyDescent="0.3">
      <c r="A20" s="4">
        <v>43490</v>
      </c>
      <c r="B20">
        <v>307.27999999999997</v>
      </c>
      <c r="C20">
        <v>307.3</v>
      </c>
      <c r="D20">
        <v>315</v>
      </c>
      <c r="E20">
        <v>306.8</v>
      </c>
      <c r="G20" s="9">
        <v>-1E-4</v>
      </c>
    </row>
    <row r="21" spans="1:7" x14ac:dyDescent="0.3">
      <c r="A21" s="4">
        <v>43493</v>
      </c>
      <c r="B21">
        <v>307.27999999999997</v>
      </c>
      <c r="C21">
        <v>307.27999999999997</v>
      </c>
      <c r="D21">
        <v>315</v>
      </c>
      <c r="E21">
        <v>306.8</v>
      </c>
      <c r="G21" s="9">
        <v>0</v>
      </c>
    </row>
    <row r="22" spans="1:7" x14ac:dyDescent="0.3">
      <c r="A22" s="4">
        <v>43494</v>
      </c>
      <c r="B22">
        <v>307.2</v>
      </c>
      <c r="C22">
        <v>307.3</v>
      </c>
      <c r="D22">
        <v>315</v>
      </c>
      <c r="E22">
        <v>305</v>
      </c>
      <c r="G22" s="9">
        <v>-2.9999999999999997E-4</v>
      </c>
    </row>
    <row r="23" spans="1:7" x14ac:dyDescent="0.3">
      <c r="A23" s="4">
        <v>43495</v>
      </c>
      <c r="B23">
        <v>307.2</v>
      </c>
      <c r="C23">
        <v>307.2</v>
      </c>
      <c r="D23">
        <v>307.27999999999997</v>
      </c>
      <c r="E23">
        <v>305</v>
      </c>
      <c r="G23" s="9">
        <v>0</v>
      </c>
    </row>
    <row r="24" spans="1:7" x14ac:dyDescent="0.3">
      <c r="A24" s="4">
        <v>43496</v>
      </c>
      <c r="B24">
        <v>307.25</v>
      </c>
      <c r="C24">
        <v>307.27999999999997</v>
      </c>
      <c r="D24">
        <v>307.3</v>
      </c>
      <c r="E24">
        <v>306.8</v>
      </c>
      <c r="G24" s="9">
        <v>2.0000000000000001E-4</v>
      </c>
    </row>
    <row r="25" spans="1:7" x14ac:dyDescent="0.3">
      <c r="A25" s="4">
        <v>43497</v>
      </c>
      <c r="B25">
        <v>307.5</v>
      </c>
      <c r="C25">
        <v>307.5</v>
      </c>
      <c r="D25">
        <v>307.5</v>
      </c>
      <c r="E25">
        <v>305</v>
      </c>
      <c r="G25" s="9">
        <v>0</v>
      </c>
    </row>
    <row r="26" spans="1:7" x14ac:dyDescent="0.3">
      <c r="A26" s="4">
        <v>43500</v>
      </c>
      <c r="B26">
        <v>305.95</v>
      </c>
      <c r="C26">
        <v>306.45</v>
      </c>
      <c r="D26">
        <v>314.75</v>
      </c>
      <c r="E26">
        <v>306.38</v>
      </c>
      <c r="G26" s="9">
        <v>0</v>
      </c>
    </row>
    <row r="27" spans="1:7" x14ac:dyDescent="0.3">
      <c r="A27" s="4">
        <v>43501</v>
      </c>
      <c r="B27">
        <v>305.89999999999998</v>
      </c>
      <c r="C27">
        <v>306.42</v>
      </c>
      <c r="D27">
        <v>314.75</v>
      </c>
      <c r="E27">
        <v>306.38</v>
      </c>
      <c r="G27" s="9">
        <v>-1E-4</v>
      </c>
    </row>
    <row r="28" spans="1:7" x14ac:dyDescent="0.3">
      <c r="A28" s="4">
        <v>43503</v>
      </c>
      <c r="B28">
        <v>305.95</v>
      </c>
      <c r="C28">
        <v>306.39999999999998</v>
      </c>
      <c r="D28">
        <v>307.2</v>
      </c>
      <c r="E28">
        <v>306.39999999999998</v>
      </c>
      <c r="G28" s="9">
        <v>2.0000000000000001E-4</v>
      </c>
    </row>
    <row r="29" spans="1:7" x14ac:dyDescent="0.3">
      <c r="A29" s="4">
        <v>43504</v>
      </c>
      <c r="B29">
        <v>305.88</v>
      </c>
      <c r="C29">
        <v>306.7</v>
      </c>
      <c r="D29">
        <v>306.7</v>
      </c>
      <c r="E29">
        <v>306.3</v>
      </c>
      <c r="G29" s="9">
        <v>2.9999999999999997E-4</v>
      </c>
    </row>
    <row r="30" spans="1:7" x14ac:dyDescent="0.3">
      <c r="A30" s="4">
        <v>43505</v>
      </c>
      <c r="B30">
        <v>306</v>
      </c>
      <c r="C30">
        <v>306.5</v>
      </c>
      <c r="D30">
        <v>306.72500000000002</v>
      </c>
      <c r="E30">
        <v>306.47500000000002</v>
      </c>
      <c r="G30" s="9">
        <v>0</v>
      </c>
    </row>
    <row r="31" spans="1:7" x14ac:dyDescent="0.3">
      <c r="A31" s="4">
        <v>43506</v>
      </c>
      <c r="B31">
        <v>306</v>
      </c>
      <c r="C31">
        <v>306.5</v>
      </c>
      <c r="D31">
        <v>306.72500000000002</v>
      </c>
      <c r="E31">
        <v>306.45</v>
      </c>
      <c r="G31" s="9">
        <v>0</v>
      </c>
    </row>
    <row r="32" spans="1:7" x14ac:dyDescent="0.3">
      <c r="A32" s="4">
        <v>43508</v>
      </c>
      <c r="B32">
        <v>306</v>
      </c>
      <c r="C32">
        <v>306.5</v>
      </c>
      <c r="D32">
        <v>306.82499999999999</v>
      </c>
      <c r="E32">
        <v>306.45</v>
      </c>
      <c r="G32" s="9">
        <v>0</v>
      </c>
    </row>
    <row r="33" spans="1:7" x14ac:dyDescent="0.3">
      <c r="A33" s="4">
        <v>43509</v>
      </c>
      <c r="B33">
        <v>306.25</v>
      </c>
      <c r="C33">
        <v>306.18</v>
      </c>
      <c r="D33">
        <v>315</v>
      </c>
      <c r="E33">
        <v>306.18</v>
      </c>
      <c r="G33" s="9">
        <v>2.0000000000000001E-4</v>
      </c>
    </row>
    <row r="34" spans="1:7" x14ac:dyDescent="0.3">
      <c r="A34" s="4">
        <v>43510</v>
      </c>
      <c r="B34">
        <v>306.2</v>
      </c>
      <c r="C34">
        <v>306.25</v>
      </c>
      <c r="D34">
        <v>307.25</v>
      </c>
      <c r="E34">
        <v>306.18</v>
      </c>
      <c r="G34" s="9">
        <v>-2.0000000000000001E-4</v>
      </c>
    </row>
    <row r="35" spans="1:7" x14ac:dyDescent="0.3">
      <c r="A35" s="4">
        <v>43511</v>
      </c>
      <c r="B35">
        <v>306.25</v>
      </c>
      <c r="C35">
        <v>306.18</v>
      </c>
      <c r="D35">
        <v>307.25</v>
      </c>
      <c r="E35">
        <v>306.18</v>
      </c>
      <c r="G35" s="9">
        <v>2.0000000000000001E-4</v>
      </c>
    </row>
    <row r="36" spans="1:7" x14ac:dyDescent="0.3">
      <c r="A36" s="4">
        <v>43514</v>
      </c>
      <c r="B36">
        <v>306.2</v>
      </c>
      <c r="C36">
        <v>306.25</v>
      </c>
      <c r="D36">
        <v>315</v>
      </c>
      <c r="E36">
        <v>306.18</v>
      </c>
      <c r="G36" s="9">
        <v>-2.0000000000000001E-4</v>
      </c>
    </row>
    <row r="37" spans="1:7" x14ac:dyDescent="0.3">
      <c r="A37" s="4">
        <v>43515</v>
      </c>
      <c r="B37">
        <v>306.27999999999997</v>
      </c>
      <c r="C37">
        <v>306.2</v>
      </c>
      <c r="D37">
        <v>315</v>
      </c>
      <c r="E37">
        <v>306.18</v>
      </c>
      <c r="G37" s="9">
        <v>2.9999999999999997E-4</v>
      </c>
    </row>
    <row r="38" spans="1:7" x14ac:dyDescent="0.3">
      <c r="A38" s="4">
        <v>43516</v>
      </c>
      <c r="B38">
        <v>306.27999999999997</v>
      </c>
      <c r="C38">
        <v>306.27999999999997</v>
      </c>
      <c r="D38">
        <v>315</v>
      </c>
      <c r="E38">
        <v>306.2</v>
      </c>
      <c r="G38" s="9">
        <v>0</v>
      </c>
    </row>
    <row r="39" spans="1:7" x14ac:dyDescent="0.3">
      <c r="A39" s="4">
        <v>43517</v>
      </c>
      <c r="B39">
        <v>306.3</v>
      </c>
      <c r="C39">
        <v>306.27999999999997</v>
      </c>
      <c r="D39">
        <v>315</v>
      </c>
      <c r="E39">
        <v>306.2</v>
      </c>
      <c r="G39" s="9">
        <v>1E-4</v>
      </c>
    </row>
    <row r="40" spans="1:7" x14ac:dyDescent="0.3">
      <c r="A40" s="4">
        <v>43518</v>
      </c>
      <c r="B40">
        <v>306.3</v>
      </c>
      <c r="C40">
        <v>306.3</v>
      </c>
      <c r="D40">
        <v>315</v>
      </c>
      <c r="E40">
        <v>306.2</v>
      </c>
      <c r="G40" s="9">
        <v>0</v>
      </c>
    </row>
    <row r="41" spans="1:7" x14ac:dyDescent="0.3">
      <c r="A41" s="4">
        <v>43521</v>
      </c>
      <c r="B41">
        <v>306.3</v>
      </c>
      <c r="C41">
        <v>306.3</v>
      </c>
      <c r="D41">
        <v>315</v>
      </c>
      <c r="E41">
        <v>306.2</v>
      </c>
      <c r="G41" s="9">
        <v>0</v>
      </c>
    </row>
    <row r="42" spans="1:7" x14ac:dyDescent="0.3">
      <c r="A42" s="4">
        <v>43522</v>
      </c>
      <c r="B42">
        <v>306.3</v>
      </c>
      <c r="C42">
        <v>306.3</v>
      </c>
      <c r="D42">
        <v>315</v>
      </c>
      <c r="E42">
        <v>306.2</v>
      </c>
      <c r="G42" s="9">
        <v>0</v>
      </c>
    </row>
    <row r="43" spans="1:7" x14ac:dyDescent="0.3">
      <c r="A43" s="4">
        <v>43523</v>
      </c>
      <c r="B43">
        <v>306.3</v>
      </c>
      <c r="C43">
        <v>315</v>
      </c>
      <c r="D43">
        <v>315</v>
      </c>
      <c r="E43">
        <v>306.3</v>
      </c>
      <c r="G43" s="9">
        <v>0</v>
      </c>
    </row>
    <row r="44" spans="1:7" x14ac:dyDescent="0.3">
      <c r="A44" s="4">
        <v>43524</v>
      </c>
      <c r="B44">
        <v>306.32</v>
      </c>
      <c r="C44">
        <v>306.3</v>
      </c>
      <c r="D44">
        <v>315</v>
      </c>
      <c r="E44">
        <v>306.3</v>
      </c>
      <c r="G44" s="9">
        <v>1E-4</v>
      </c>
    </row>
    <row r="45" spans="1:7" x14ac:dyDescent="0.3">
      <c r="A45" s="4">
        <v>43525</v>
      </c>
      <c r="B45">
        <v>307.48</v>
      </c>
      <c r="C45">
        <v>307.5</v>
      </c>
      <c r="D45">
        <v>307.5</v>
      </c>
      <c r="E45">
        <v>306.5</v>
      </c>
      <c r="G45" s="9">
        <v>-1E-4</v>
      </c>
    </row>
    <row r="46" spans="1:7" x14ac:dyDescent="0.3">
      <c r="A46" s="4">
        <v>43528</v>
      </c>
      <c r="B46">
        <v>306</v>
      </c>
      <c r="C46">
        <v>306.45</v>
      </c>
      <c r="D46">
        <v>306.64999999999998</v>
      </c>
      <c r="E46">
        <v>304.25</v>
      </c>
      <c r="G46" s="9">
        <v>2.0000000000000001E-4</v>
      </c>
    </row>
    <row r="47" spans="1:7" x14ac:dyDescent="0.3">
      <c r="A47" s="4">
        <v>43529</v>
      </c>
      <c r="B47">
        <v>305.95</v>
      </c>
      <c r="C47">
        <v>306.39999999999998</v>
      </c>
      <c r="D47">
        <v>314.75</v>
      </c>
      <c r="E47">
        <v>306.33999999999997</v>
      </c>
      <c r="G47" s="9">
        <v>2.0000000000000001E-4</v>
      </c>
    </row>
    <row r="48" spans="1:7" x14ac:dyDescent="0.3">
      <c r="A48" s="4">
        <v>43530</v>
      </c>
      <c r="B48">
        <v>305.92</v>
      </c>
      <c r="C48">
        <v>306.39999999999998</v>
      </c>
      <c r="D48">
        <v>307.2</v>
      </c>
      <c r="E48">
        <v>306.35000000000002</v>
      </c>
      <c r="G48" s="9">
        <v>1E-4</v>
      </c>
    </row>
    <row r="49" spans="1:7" x14ac:dyDescent="0.3">
      <c r="A49" s="4">
        <v>43531</v>
      </c>
      <c r="B49">
        <v>305.95</v>
      </c>
      <c r="C49">
        <v>306.45</v>
      </c>
      <c r="D49">
        <v>307.2</v>
      </c>
      <c r="E49">
        <v>306.39999999999998</v>
      </c>
      <c r="G49" s="9">
        <v>0</v>
      </c>
    </row>
    <row r="50" spans="1:7" x14ac:dyDescent="0.3">
      <c r="A50" s="4">
        <v>43533</v>
      </c>
      <c r="B50">
        <v>305.92</v>
      </c>
      <c r="C50">
        <v>306.5</v>
      </c>
      <c r="D50">
        <v>306.75</v>
      </c>
      <c r="E50">
        <v>306.42</v>
      </c>
      <c r="G50" s="9">
        <v>-2.9999999999999997E-4</v>
      </c>
    </row>
    <row r="51" spans="1:7" x14ac:dyDescent="0.3">
      <c r="A51" s="4">
        <v>43534</v>
      </c>
      <c r="B51">
        <v>306</v>
      </c>
      <c r="C51">
        <v>306.7</v>
      </c>
      <c r="D51">
        <v>306.72500000000002</v>
      </c>
      <c r="E51">
        <v>306.45</v>
      </c>
      <c r="G51" s="9">
        <v>0</v>
      </c>
    </row>
    <row r="52" spans="1:7" x14ac:dyDescent="0.3">
      <c r="A52" s="4">
        <v>43536</v>
      </c>
      <c r="B52">
        <v>305.89999999999998</v>
      </c>
      <c r="C52">
        <v>306.7</v>
      </c>
      <c r="D52">
        <v>306.72500000000002</v>
      </c>
      <c r="E52">
        <v>306.39999999999998</v>
      </c>
      <c r="G52" s="9">
        <v>-2.9999999999999997E-4</v>
      </c>
    </row>
    <row r="53" spans="1:7" x14ac:dyDescent="0.3">
      <c r="A53" s="4">
        <v>43537</v>
      </c>
      <c r="B53">
        <v>305.95</v>
      </c>
      <c r="C53">
        <v>306.45</v>
      </c>
      <c r="D53">
        <v>314.75</v>
      </c>
      <c r="E53">
        <v>306.38</v>
      </c>
      <c r="G53" s="9">
        <v>0</v>
      </c>
    </row>
    <row r="54" spans="1:7" x14ac:dyDescent="0.3">
      <c r="A54" s="4">
        <v>43538</v>
      </c>
      <c r="B54">
        <v>305.92</v>
      </c>
      <c r="C54">
        <v>306.45</v>
      </c>
      <c r="D54">
        <v>314.75</v>
      </c>
      <c r="E54">
        <v>306.38</v>
      </c>
      <c r="G54" s="9">
        <v>-1E-4</v>
      </c>
    </row>
    <row r="55" spans="1:7" x14ac:dyDescent="0.3">
      <c r="A55" s="4">
        <v>43539</v>
      </c>
      <c r="B55">
        <v>305.95</v>
      </c>
      <c r="C55">
        <v>306.42</v>
      </c>
      <c r="D55">
        <v>314.75</v>
      </c>
      <c r="E55">
        <v>306.38</v>
      </c>
      <c r="G55" s="9">
        <v>1E-4</v>
      </c>
    </row>
    <row r="56" spans="1:7" x14ac:dyDescent="0.3">
      <c r="A56" s="4">
        <v>43542</v>
      </c>
      <c r="B56">
        <v>305.95</v>
      </c>
      <c r="C56">
        <v>306.45</v>
      </c>
      <c r="D56">
        <v>314.75</v>
      </c>
      <c r="E56">
        <v>306.38</v>
      </c>
      <c r="G56" s="9">
        <v>0</v>
      </c>
    </row>
    <row r="57" spans="1:7" x14ac:dyDescent="0.3">
      <c r="A57" s="4">
        <v>43543</v>
      </c>
      <c r="B57">
        <v>305.95</v>
      </c>
      <c r="C57">
        <v>306.45</v>
      </c>
      <c r="D57">
        <v>314.75</v>
      </c>
      <c r="E57">
        <v>306.33999999999997</v>
      </c>
      <c r="G57" s="9">
        <v>0</v>
      </c>
    </row>
    <row r="58" spans="1:7" x14ac:dyDescent="0.3">
      <c r="A58" s="4">
        <v>43544</v>
      </c>
      <c r="B58">
        <v>305.89999999999998</v>
      </c>
      <c r="C58">
        <v>306.45</v>
      </c>
      <c r="D58">
        <v>306.625</v>
      </c>
      <c r="E58">
        <v>306.33999999999997</v>
      </c>
      <c r="G58" s="9">
        <v>-2.0000000000000001E-4</v>
      </c>
    </row>
    <row r="59" spans="1:7" x14ac:dyDescent="0.3">
      <c r="A59" s="4">
        <v>43545</v>
      </c>
      <c r="B59">
        <v>305.89999999999998</v>
      </c>
      <c r="C59">
        <v>306.39999999999998</v>
      </c>
      <c r="D59">
        <v>314.75</v>
      </c>
      <c r="E59">
        <v>306.33999999999997</v>
      </c>
      <c r="G59" s="9">
        <v>0</v>
      </c>
    </row>
    <row r="60" spans="1:7" x14ac:dyDescent="0.3">
      <c r="A60" s="4">
        <v>43546</v>
      </c>
      <c r="B60">
        <v>305.89999999999998</v>
      </c>
      <c r="C60">
        <v>306.39999999999998</v>
      </c>
      <c r="D60">
        <v>306.42</v>
      </c>
      <c r="E60">
        <v>306.38</v>
      </c>
      <c r="G60" s="9">
        <v>0</v>
      </c>
    </row>
    <row r="61" spans="1:7" x14ac:dyDescent="0.3">
      <c r="A61" s="4">
        <v>43549</v>
      </c>
      <c r="B61">
        <v>305.88</v>
      </c>
      <c r="C61">
        <v>306.39999999999998</v>
      </c>
      <c r="D61">
        <v>314.75</v>
      </c>
      <c r="E61">
        <v>306.38</v>
      </c>
      <c r="G61" s="9">
        <v>-1E-4</v>
      </c>
    </row>
    <row r="62" spans="1:7" x14ac:dyDescent="0.3">
      <c r="A62" s="4">
        <v>43550</v>
      </c>
      <c r="B62">
        <v>305.92</v>
      </c>
      <c r="C62">
        <v>306.38</v>
      </c>
      <c r="D62">
        <v>314.75</v>
      </c>
      <c r="E62">
        <v>306.38</v>
      </c>
      <c r="G62" s="9">
        <v>1E-4</v>
      </c>
    </row>
    <row r="63" spans="1:7" x14ac:dyDescent="0.3">
      <c r="A63" s="4">
        <v>43551</v>
      </c>
      <c r="B63">
        <v>305.95</v>
      </c>
      <c r="C63">
        <v>306.42</v>
      </c>
      <c r="D63">
        <v>314.75</v>
      </c>
      <c r="E63">
        <v>306.33999999999997</v>
      </c>
      <c r="G63" s="9">
        <v>1E-4</v>
      </c>
    </row>
    <row r="64" spans="1:7" x14ac:dyDescent="0.3">
      <c r="A64" s="4">
        <v>43552</v>
      </c>
      <c r="B64">
        <v>305.95</v>
      </c>
      <c r="C64">
        <v>306.45</v>
      </c>
      <c r="D64">
        <v>314.75</v>
      </c>
      <c r="E64">
        <v>306.38</v>
      </c>
      <c r="G64" s="9">
        <v>0</v>
      </c>
    </row>
    <row r="65" spans="1:7" x14ac:dyDescent="0.3">
      <c r="A65" s="4">
        <v>43553</v>
      </c>
      <c r="B65">
        <v>305.89999999999998</v>
      </c>
      <c r="C65">
        <v>306.45</v>
      </c>
      <c r="D65">
        <v>314.75</v>
      </c>
      <c r="E65">
        <v>306.38</v>
      </c>
      <c r="G65" s="9">
        <v>-2.0000000000000001E-4</v>
      </c>
    </row>
    <row r="66" spans="1:7" x14ac:dyDescent="0.3">
      <c r="A66" s="4">
        <v>43556</v>
      </c>
      <c r="B66">
        <v>307.39999999999998</v>
      </c>
      <c r="C66">
        <v>307.48</v>
      </c>
      <c r="D66">
        <v>307.5</v>
      </c>
      <c r="E66">
        <v>307.39999999999998</v>
      </c>
      <c r="G66" s="9">
        <v>-2.9999999999999997E-4</v>
      </c>
    </row>
    <row r="67" spans="1:7" x14ac:dyDescent="0.3">
      <c r="A67" s="4">
        <v>43557</v>
      </c>
      <c r="B67">
        <v>307.2</v>
      </c>
      <c r="C67">
        <v>307.2</v>
      </c>
      <c r="D67">
        <v>307.27999999999997</v>
      </c>
      <c r="E67">
        <v>306.8</v>
      </c>
      <c r="G67" s="9">
        <v>0</v>
      </c>
    </row>
    <row r="68" spans="1:7" x14ac:dyDescent="0.3">
      <c r="A68" s="4">
        <v>43558</v>
      </c>
      <c r="B68">
        <v>306.3</v>
      </c>
      <c r="C68">
        <v>306.3</v>
      </c>
      <c r="D68">
        <v>315</v>
      </c>
      <c r="E68">
        <v>306.3</v>
      </c>
      <c r="G68" s="9">
        <v>0</v>
      </c>
    </row>
    <row r="69" spans="1:7" x14ac:dyDescent="0.3">
      <c r="A69" s="4">
        <v>43559</v>
      </c>
      <c r="B69">
        <v>306</v>
      </c>
      <c r="C69">
        <v>306.5</v>
      </c>
      <c r="D69">
        <v>314.75</v>
      </c>
      <c r="E69">
        <v>306.33999999999997</v>
      </c>
      <c r="G69" s="9">
        <v>0</v>
      </c>
    </row>
    <row r="70" spans="1:7" x14ac:dyDescent="0.3">
      <c r="A70" s="4">
        <v>43561</v>
      </c>
      <c r="B70">
        <v>305.95</v>
      </c>
      <c r="C70">
        <v>306.42</v>
      </c>
      <c r="D70">
        <v>306.7</v>
      </c>
      <c r="E70">
        <v>306.42</v>
      </c>
      <c r="G70" s="9">
        <v>1E-4</v>
      </c>
    </row>
    <row r="71" spans="1:7" x14ac:dyDescent="0.3">
      <c r="A71" s="4">
        <v>43562</v>
      </c>
      <c r="B71">
        <v>305.95</v>
      </c>
      <c r="C71">
        <v>306.7</v>
      </c>
      <c r="D71">
        <v>307.2</v>
      </c>
      <c r="E71">
        <v>306.39999999999998</v>
      </c>
      <c r="G71" s="9">
        <v>0</v>
      </c>
    </row>
    <row r="72" spans="1:7" x14ac:dyDescent="0.3">
      <c r="A72" s="4">
        <v>43564</v>
      </c>
      <c r="B72">
        <v>305.95</v>
      </c>
      <c r="C72">
        <v>306.7</v>
      </c>
      <c r="D72">
        <v>306.7</v>
      </c>
      <c r="E72">
        <v>306.42</v>
      </c>
      <c r="G72" s="9">
        <v>1E-4</v>
      </c>
    </row>
    <row r="73" spans="1:7" x14ac:dyDescent="0.3">
      <c r="A73" s="4">
        <v>43565</v>
      </c>
      <c r="B73">
        <v>306</v>
      </c>
      <c r="C73">
        <v>306.5</v>
      </c>
      <c r="D73">
        <v>306.72500000000002</v>
      </c>
      <c r="E73">
        <v>306.47500000000002</v>
      </c>
      <c r="G73" s="9">
        <v>0</v>
      </c>
    </row>
    <row r="74" spans="1:7" x14ac:dyDescent="0.3">
      <c r="A74" s="4">
        <v>43566</v>
      </c>
      <c r="B74">
        <v>306</v>
      </c>
      <c r="C74">
        <v>306.5</v>
      </c>
      <c r="D74">
        <v>306.72500000000002</v>
      </c>
      <c r="E74">
        <v>306.47500000000002</v>
      </c>
      <c r="G74" s="9">
        <v>0</v>
      </c>
    </row>
    <row r="75" spans="1:7" x14ac:dyDescent="0.3">
      <c r="A75" s="4">
        <v>43567</v>
      </c>
      <c r="B75">
        <v>305.95</v>
      </c>
      <c r="C75">
        <v>306.39999999999998</v>
      </c>
      <c r="D75">
        <v>306.7</v>
      </c>
      <c r="E75">
        <v>306.39999999999998</v>
      </c>
      <c r="G75" s="9">
        <v>2.0000000000000001E-4</v>
      </c>
    </row>
    <row r="76" spans="1:7" x14ac:dyDescent="0.3">
      <c r="A76" s="4">
        <v>43570</v>
      </c>
      <c r="B76">
        <v>306</v>
      </c>
      <c r="C76">
        <v>306.5</v>
      </c>
      <c r="D76">
        <v>314.75</v>
      </c>
      <c r="E76">
        <v>306.39999999999998</v>
      </c>
      <c r="G76" s="9">
        <v>0</v>
      </c>
    </row>
    <row r="77" spans="1:7" x14ac:dyDescent="0.3">
      <c r="A77" s="4">
        <v>43571</v>
      </c>
      <c r="B77">
        <v>305.89999999999998</v>
      </c>
      <c r="C77">
        <v>306.5</v>
      </c>
      <c r="D77">
        <v>314.75</v>
      </c>
      <c r="E77">
        <v>306.35000000000002</v>
      </c>
      <c r="G77" s="9">
        <v>-2.9999999999999997E-4</v>
      </c>
    </row>
    <row r="78" spans="1:7" x14ac:dyDescent="0.3">
      <c r="A78" s="4">
        <v>43572</v>
      </c>
      <c r="B78">
        <v>305.89999999999998</v>
      </c>
      <c r="C78">
        <v>306.39999999999998</v>
      </c>
      <c r="D78">
        <v>314.75</v>
      </c>
      <c r="E78">
        <v>306.35000000000002</v>
      </c>
      <c r="G78" s="9">
        <v>0</v>
      </c>
    </row>
    <row r="79" spans="1:7" x14ac:dyDescent="0.3">
      <c r="A79" s="4">
        <v>43573</v>
      </c>
      <c r="B79">
        <v>305.89999999999998</v>
      </c>
      <c r="C79">
        <v>306.39999999999998</v>
      </c>
      <c r="D79">
        <v>314.75</v>
      </c>
      <c r="E79">
        <v>306.35000000000002</v>
      </c>
      <c r="G79" s="9">
        <v>0</v>
      </c>
    </row>
    <row r="80" spans="1:7" x14ac:dyDescent="0.3">
      <c r="A80" s="4">
        <v>43574</v>
      </c>
      <c r="B80">
        <v>305.95</v>
      </c>
      <c r="C80">
        <v>306.39999999999998</v>
      </c>
      <c r="D80">
        <v>306.45</v>
      </c>
      <c r="E80">
        <v>306.39999999999998</v>
      </c>
      <c r="G80" s="9">
        <v>2.0000000000000001E-4</v>
      </c>
    </row>
    <row r="81" spans="1:7" x14ac:dyDescent="0.3">
      <c r="A81" s="4">
        <v>43577</v>
      </c>
      <c r="B81">
        <v>305.89999999999998</v>
      </c>
      <c r="C81">
        <v>306.45</v>
      </c>
      <c r="D81">
        <v>306.45</v>
      </c>
      <c r="E81">
        <v>306.39999999999998</v>
      </c>
      <c r="G81" s="9">
        <v>-2.0000000000000001E-4</v>
      </c>
    </row>
    <row r="82" spans="1:7" x14ac:dyDescent="0.3">
      <c r="A82" s="4">
        <v>43578</v>
      </c>
      <c r="B82">
        <v>305.95</v>
      </c>
      <c r="C82">
        <v>306.39999999999998</v>
      </c>
      <c r="D82">
        <v>314.75</v>
      </c>
      <c r="E82">
        <v>306.35000000000002</v>
      </c>
      <c r="G82" s="9">
        <v>2.0000000000000001E-4</v>
      </c>
    </row>
    <row r="83" spans="1:7" x14ac:dyDescent="0.3">
      <c r="A83" s="4">
        <v>43579</v>
      </c>
      <c r="B83">
        <v>305.89999999999998</v>
      </c>
      <c r="C83">
        <v>306.45</v>
      </c>
      <c r="D83">
        <v>314.75</v>
      </c>
      <c r="E83">
        <v>306.35000000000002</v>
      </c>
      <c r="G83" s="9">
        <v>-2.0000000000000001E-4</v>
      </c>
    </row>
    <row r="84" spans="1:7" x14ac:dyDescent="0.3">
      <c r="A84" s="4">
        <v>43580</v>
      </c>
      <c r="B84">
        <v>305.88</v>
      </c>
      <c r="C84">
        <v>306.39999999999998</v>
      </c>
      <c r="D84">
        <v>314.75</v>
      </c>
      <c r="E84">
        <v>306.33999999999997</v>
      </c>
      <c r="G84" s="9">
        <v>-1E-4</v>
      </c>
    </row>
    <row r="85" spans="1:7" x14ac:dyDescent="0.3">
      <c r="A85" s="4">
        <v>43581</v>
      </c>
      <c r="B85">
        <v>305.88</v>
      </c>
      <c r="C85">
        <v>306.38</v>
      </c>
      <c r="D85">
        <v>314.75</v>
      </c>
      <c r="E85">
        <v>306.33999999999997</v>
      </c>
      <c r="G85" s="9">
        <v>0</v>
      </c>
    </row>
    <row r="86" spans="1:7" x14ac:dyDescent="0.3">
      <c r="A86" s="4">
        <v>43584</v>
      </c>
      <c r="B86">
        <v>305.88</v>
      </c>
      <c r="C86">
        <v>306.38</v>
      </c>
      <c r="D86">
        <v>314.75</v>
      </c>
      <c r="E86">
        <v>306.33999999999997</v>
      </c>
      <c r="G86" s="9">
        <v>0</v>
      </c>
    </row>
    <row r="87" spans="1:7" x14ac:dyDescent="0.3">
      <c r="A87" s="4">
        <v>43585</v>
      </c>
      <c r="B87">
        <v>305.95</v>
      </c>
      <c r="C87">
        <v>306.38</v>
      </c>
      <c r="D87">
        <v>314.75</v>
      </c>
      <c r="E87">
        <v>306.33999999999997</v>
      </c>
      <c r="G87" s="9">
        <v>2.0000000000000001E-4</v>
      </c>
    </row>
    <row r="88" spans="1:7" x14ac:dyDescent="0.3">
      <c r="A88" s="4">
        <v>43587</v>
      </c>
      <c r="B88">
        <v>306.27999999999997</v>
      </c>
      <c r="C88">
        <v>307.2</v>
      </c>
      <c r="D88">
        <v>315</v>
      </c>
      <c r="E88">
        <v>305.8</v>
      </c>
      <c r="G88" s="9">
        <v>-3.0000000000000001E-3</v>
      </c>
    </row>
    <row r="89" spans="1:7" x14ac:dyDescent="0.3">
      <c r="A89" s="4">
        <v>43588</v>
      </c>
      <c r="B89">
        <v>306.38</v>
      </c>
      <c r="C89">
        <v>315</v>
      </c>
      <c r="D89">
        <v>315</v>
      </c>
      <c r="E89">
        <v>306.3</v>
      </c>
      <c r="G89" s="9">
        <v>2.9999999999999997E-4</v>
      </c>
    </row>
    <row r="90" spans="1:7" x14ac:dyDescent="0.3">
      <c r="A90" s="4">
        <v>43589</v>
      </c>
      <c r="B90">
        <v>306</v>
      </c>
      <c r="C90">
        <v>306.5</v>
      </c>
      <c r="D90">
        <v>314.75</v>
      </c>
      <c r="E90">
        <v>306.38</v>
      </c>
      <c r="G90" s="9">
        <v>0</v>
      </c>
    </row>
    <row r="91" spans="1:7" x14ac:dyDescent="0.3">
      <c r="A91" s="4">
        <v>43591</v>
      </c>
      <c r="B91">
        <v>305.95</v>
      </c>
      <c r="C91">
        <v>306.45</v>
      </c>
      <c r="D91">
        <v>306.7</v>
      </c>
      <c r="E91">
        <v>306.45</v>
      </c>
      <c r="G91" s="9">
        <v>0</v>
      </c>
    </row>
    <row r="92" spans="1:7" x14ac:dyDescent="0.3">
      <c r="A92" s="4">
        <v>43592</v>
      </c>
      <c r="B92">
        <v>305.95</v>
      </c>
      <c r="C92">
        <v>306.45</v>
      </c>
      <c r="D92">
        <v>307.2</v>
      </c>
      <c r="E92">
        <v>306.39999999999998</v>
      </c>
      <c r="G92" s="9">
        <v>0</v>
      </c>
    </row>
    <row r="93" spans="1:7" x14ac:dyDescent="0.3">
      <c r="A93" s="4">
        <v>43593</v>
      </c>
      <c r="B93">
        <v>305.8</v>
      </c>
      <c r="C93">
        <v>306.7</v>
      </c>
      <c r="D93">
        <v>307.25</v>
      </c>
      <c r="E93">
        <v>306.3</v>
      </c>
      <c r="G93" s="9">
        <v>-2.9999999999999997E-4</v>
      </c>
    </row>
    <row r="94" spans="1:7" x14ac:dyDescent="0.3">
      <c r="A94" s="4">
        <v>43594</v>
      </c>
      <c r="B94">
        <v>305.89999999999998</v>
      </c>
      <c r="C94">
        <v>306.45</v>
      </c>
      <c r="D94">
        <v>306.7</v>
      </c>
      <c r="E94">
        <v>306.39999999999998</v>
      </c>
      <c r="G94" s="9">
        <v>-2.0000000000000001E-4</v>
      </c>
    </row>
    <row r="95" spans="1:7" x14ac:dyDescent="0.3">
      <c r="A95" s="4">
        <v>43596</v>
      </c>
      <c r="B95">
        <v>305.95</v>
      </c>
      <c r="C95">
        <v>306.5</v>
      </c>
      <c r="D95">
        <v>306.72500000000002</v>
      </c>
      <c r="E95">
        <v>306.45</v>
      </c>
      <c r="G95" s="9">
        <v>-2.0000000000000001E-4</v>
      </c>
    </row>
    <row r="96" spans="1:7" x14ac:dyDescent="0.3">
      <c r="A96" s="4">
        <v>43597</v>
      </c>
      <c r="B96">
        <v>305.95</v>
      </c>
      <c r="C96">
        <v>306.48</v>
      </c>
      <c r="D96">
        <v>306.71499999999997</v>
      </c>
      <c r="E96">
        <v>306.42500000000001</v>
      </c>
      <c r="G96" s="9">
        <v>0</v>
      </c>
    </row>
    <row r="97" spans="1:7" x14ac:dyDescent="0.3">
      <c r="A97" s="4">
        <v>43598</v>
      </c>
      <c r="B97">
        <v>306</v>
      </c>
      <c r="C97">
        <v>306.38</v>
      </c>
      <c r="D97">
        <v>307.25</v>
      </c>
      <c r="E97">
        <v>306.38</v>
      </c>
      <c r="G97" s="9">
        <v>0</v>
      </c>
    </row>
    <row r="98" spans="1:7" x14ac:dyDescent="0.3">
      <c r="A98" s="4">
        <v>43599</v>
      </c>
      <c r="B98">
        <v>305.95</v>
      </c>
      <c r="C98">
        <v>306.5</v>
      </c>
      <c r="D98">
        <v>306.72500000000002</v>
      </c>
      <c r="E98">
        <v>306.33999999999997</v>
      </c>
      <c r="G98" s="9">
        <v>-2.0000000000000001E-4</v>
      </c>
    </row>
    <row r="99" spans="1:7" x14ac:dyDescent="0.3">
      <c r="A99" s="4">
        <v>43600</v>
      </c>
      <c r="B99">
        <v>305.95</v>
      </c>
      <c r="C99">
        <v>306.45</v>
      </c>
      <c r="D99">
        <v>306.7</v>
      </c>
      <c r="E99">
        <v>306.38</v>
      </c>
      <c r="G99" s="9">
        <v>0</v>
      </c>
    </row>
    <row r="100" spans="1:7" x14ac:dyDescent="0.3">
      <c r="A100" s="4">
        <v>43601</v>
      </c>
      <c r="B100">
        <v>305.95</v>
      </c>
      <c r="C100">
        <v>306.7</v>
      </c>
      <c r="D100">
        <v>307.25</v>
      </c>
      <c r="E100">
        <v>306.39999999999998</v>
      </c>
      <c r="G100" s="9">
        <v>0</v>
      </c>
    </row>
    <row r="101" spans="1:7" x14ac:dyDescent="0.3">
      <c r="A101" s="4">
        <v>43602</v>
      </c>
      <c r="B101">
        <v>305.95</v>
      </c>
      <c r="C101">
        <v>306.45</v>
      </c>
      <c r="D101">
        <v>306.7</v>
      </c>
      <c r="E101">
        <v>306.39999999999998</v>
      </c>
      <c r="G101" s="9">
        <v>0</v>
      </c>
    </row>
    <row r="102" spans="1:7" x14ac:dyDescent="0.3">
      <c r="A102" s="4">
        <v>43605</v>
      </c>
      <c r="B102">
        <v>305.95</v>
      </c>
      <c r="C102">
        <v>306.7</v>
      </c>
      <c r="D102">
        <v>306.7</v>
      </c>
      <c r="E102">
        <v>306.39999999999998</v>
      </c>
      <c r="G102" s="9">
        <v>0</v>
      </c>
    </row>
    <row r="103" spans="1:7" x14ac:dyDescent="0.3">
      <c r="A103" s="4">
        <v>43606</v>
      </c>
      <c r="B103">
        <v>305.89999999999998</v>
      </c>
      <c r="C103">
        <v>306.45</v>
      </c>
      <c r="D103">
        <v>306.7</v>
      </c>
      <c r="E103">
        <v>306.39999999999998</v>
      </c>
      <c r="G103" s="9">
        <v>-2.0000000000000001E-4</v>
      </c>
    </row>
    <row r="104" spans="1:7" x14ac:dyDescent="0.3">
      <c r="A104" s="4">
        <v>43607</v>
      </c>
      <c r="B104">
        <v>305.88</v>
      </c>
      <c r="C104">
        <v>306.39999999999998</v>
      </c>
      <c r="D104">
        <v>306.7</v>
      </c>
      <c r="E104">
        <v>306.38</v>
      </c>
      <c r="G104" s="9">
        <v>-1E-4</v>
      </c>
    </row>
    <row r="105" spans="1:7" x14ac:dyDescent="0.3">
      <c r="A105" s="4">
        <v>43608</v>
      </c>
      <c r="B105">
        <v>305.89999999999998</v>
      </c>
      <c r="C105">
        <v>306.7</v>
      </c>
      <c r="D105">
        <v>306.7</v>
      </c>
      <c r="E105">
        <v>306.38</v>
      </c>
      <c r="G105" s="9">
        <v>1E-4</v>
      </c>
    </row>
    <row r="106" spans="1:7" x14ac:dyDescent="0.3">
      <c r="A106" s="4">
        <v>43609</v>
      </c>
      <c r="B106">
        <v>305.89999999999998</v>
      </c>
      <c r="C106">
        <v>306.39999999999998</v>
      </c>
      <c r="D106">
        <v>306.7</v>
      </c>
      <c r="E106">
        <v>306.39999999999998</v>
      </c>
      <c r="G106" s="9">
        <v>0</v>
      </c>
    </row>
    <row r="107" spans="1:7" x14ac:dyDescent="0.3">
      <c r="A107" s="4">
        <v>43612</v>
      </c>
      <c r="B107">
        <v>305.89999999999998</v>
      </c>
      <c r="C107">
        <v>306.39999999999998</v>
      </c>
      <c r="D107">
        <v>306.7</v>
      </c>
      <c r="E107">
        <v>306.39999999999998</v>
      </c>
      <c r="G107" s="9">
        <v>0</v>
      </c>
    </row>
    <row r="108" spans="1:7" x14ac:dyDescent="0.3">
      <c r="A108" s="4">
        <v>43613</v>
      </c>
      <c r="B108">
        <v>305.92</v>
      </c>
      <c r="C108">
        <v>306.39999999999998</v>
      </c>
      <c r="D108">
        <v>307.2</v>
      </c>
      <c r="E108">
        <v>306.35000000000002</v>
      </c>
      <c r="G108" s="9">
        <v>1E-4</v>
      </c>
    </row>
    <row r="109" spans="1:7" x14ac:dyDescent="0.3">
      <c r="A109" s="4">
        <v>43614</v>
      </c>
      <c r="B109">
        <v>305.95</v>
      </c>
      <c r="C109">
        <v>306.42</v>
      </c>
      <c r="D109">
        <v>306.7</v>
      </c>
      <c r="E109">
        <v>306.42</v>
      </c>
      <c r="G109" s="9">
        <v>1E-4</v>
      </c>
    </row>
    <row r="110" spans="1:7" x14ac:dyDescent="0.3">
      <c r="A110" s="4">
        <v>43615</v>
      </c>
      <c r="B110">
        <v>305.95</v>
      </c>
      <c r="C110">
        <v>306.45</v>
      </c>
      <c r="D110">
        <v>306.7</v>
      </c>
      <c r="E110">
        <v>306.39999999999998</v>
      </c>
      <c r="G110" s="9">
        <v>0</v>
      </c>
    </row>
    <row r="111" spans="1:7" x14ac:dyDescent="0.3">
      <c r="A111" s="4">
        <v>43616</v>
      </c>
      <c r="B111">
        <v>305.89999999999998</v>
      </c>
      <c r="C111">
        <v>306.45</v>
      </c>
      <c r="D111">
        <v>307.2</v>
      </c>
      <c r="E111">
        <v>306.39999999999998</v>
      </c>
      <c r="G111" s="9">
        <v>-2.0000000000000001E-4</v>
      </c>
    </row>
    <row r="112" spans="1:7" x14ac:dyDescent="0.3">
      <c r="A112" s="4">
        <v>43618</v>
      </c>
      <c r="B112">
        <v>306.2</v>
      </c>
      <c r="C112">
        <v>306.27999999999997</v>
      </c>
      <c r="D112">
        <v>315</v>
      </c>
      <c r="E112">
        <v>306.2</v>
      </c>
      <c r="G112" s="9">
        <v>-2.9999999999999997E-4</v>
      </c>
    </row>
    <row r="113" spans="1:7" x14ac:dyDescent="0.3">
      <c r="A113" s="4">
        <v>43619</v>
      </c>
      <c r="B113">
        <v>306.38</v>
      </c>
      <c r="C113">
        <v>306.38</v>
      </c>
      <c r="D113">
        <v>315</v>
      </c>
      <c r="E113">
        <v>306.38</v>
      </c>
      <c r="G113" s="9">
        <v>0</v>
      </c>
    </row>
    <row r="114" spans="1:7" x14ac:dyDescent="0.3">
      <c r="A114" s="4">
        <v>43621</v>
      </c>
      <c r="B114">
        <v>305.95</v>
      </c>
      <c r="C114">
        <v>306.45</v>
      </c>
      <c r="D114">
        <v>314.75</v>
      </c>
      <c r="E114">
        <v>306.33999999999997</v>
      </c>
      <c r="G114" s="9">
        <v>0</v>
      </c>
    </row>
    <row r="115" spans="1:7" x14ac:dyDescent="0.3">
      <c r="A115" s="4">
        <v>43622</v>
      </c>
      <c r="B115">
        <v>305.89999999999998</v>
      </c>
      <c r="C115">
        <v>306.45</v>
      </c>
      <c r="D115">
        <v>307.2</v>
      </c>
      <c r="E115">
        <v>306.39999999999998</v>
      </c>
      <c r="G115" s="9">
        <v>-2.0000000000000001E-4</v>
      </c>
    </row>
    <row r="116" spans="1:7" x14ac:dyDescent="0.3">
      <c r="A116" s="4">
        <v>43624</v>
      </c>
      <c r="B116">
        <v>305.88</v>
      </c>
      <c r="C116">
        <v>306.3</v>
      </c>
      <c r="D116">
        <v>306.7</v>
      </c>
      <c r="E116">
        <v>306.3</v>
      </c>
      <c r="G116" s="9">
        <v>2.9999999999999997E-4</v>
      </c>
    </row>
    <row r="117" spans="1:7" x14ac:dyDescent="0.3">
      <c r="A117" s="4">
        <v>43625</v>
      </c>
      <c r="B117">
        <v>305.89999999999998</v>
      </c>
      <c r="C117">
        <v>306.39999999999998</v>
      </c>
      <c r="D117">
        <v>306.7</v>
      </c>
      <c r="E117">
        <v>306.39999999999998</v>
      </c>
      <c r="G117" s="9">
        <v>0</v>
      </c>
    </row>
    <row r="118" spans="1:7" x14ac:dyDescent="0.3">
      <c r="A118" s="4">
        <v>43627</v>
      </c>
      <c r="B118">
        <v>305.95</v>
      </c>
      <c r="C118">
        <v>306.45</v>
      </c>
      <c r="D118">
        <v>306.7</v>
      </c>
      <c r="E118">
        <v>306.39999999999998</v>
      </c>
      <c r="G118" s="9">
        <v>0</v>
      </c>
    </row>
    <row r="119" spans="1:7" x14ac:dyDescent="0.3">
      <c r="A119" s="4">
        <v>43628</v>
      </c>
      <c r="B119">
        <v>305.95</v>
      </c>
      <c r="C119">
        <v>306.45</v>
      </c>
      <c r="D119">
        <v>306.7</v>
      </c>
      <c r="E119">
        <v>306.39999999999998</v>
      </c>
      <c r="G119" s="9">
        <v>0</v>
      </c>
    </row>
    <row r="120" spans="1:7" x14ac:dyDescent="0.3">
      <c r="A120" s="4">
        <v>43629</v>
      </c>
      <c r="B120">
        <v>306</v>
      </c>
      <c r="C120">
        <v>306.7</v>
      </c>
      <c r="D120">
        <v>307.25</v>
      </c>
      <c r="E120">
        <v>306.47500000000002</v>
      </c>
      <c r="G120" s="9">
        <v>0</v>
      </c>
    </row>
    <row r="121" spans="1:7" x14ac:dyDescent="0.3">
      <c r="A121" s="4">
        <v>43630</v>
      </c>
      <c r="B121">
        <v>306</v>
      </c>
      <c r="C121">
        <v>306.5</v>
      </c>
      <c r="D121">
        <v>307.25</v>
      </c>
      <c r="E121">
        <v>306.375</v>
      </c>
      <c r="G121" s="9">
        <v>0</v>
      </c>
    </row>
    <row r="122" spans="1:7" x14ac:dyDescent="0.3">
      <c r="A122" s="4">
        <v>43633</v>
      </c>
      <c r="B122">
        <v>306</v>
      </c>
      <c r="C122">
        <v>306.5</v>
      </c>
      <c r="D122">
        <v>307.2</v>
      </c>
      <c r="E122">
        <v>306.47500000000002</v>
      </c>
      <c r="G122" s="9">
        <v>0</v>
      </c>
    </row>
    <row r="123" spans="1:7" x14ac:dyDescent="0.3">
      <c r="A123" s="4">
        <v>43634</v>
      </c>
      <c r="B123">
        <v>305.95</v>
      </c>
      <c r="C123">
        <v>306.5</v>
      </c>
      <c r="D123">
        <v>307.2</v>
      </c>
      <c r="E123">
        <v>306.45</v>
      </c>
      <c r="G123" s="9">
        <v>-2.0000000000000001E-4</v>
      </c>
    </row>
    <row r="124" spans="1:7" x14ac:dyDescent="0.3">
      <c r="A124" s="4">
        <v>43635</v>
      </c>
      <c r="B124">
        <v>305.95</v>
      </c>
      <c r="C124">
        <v>306.45</v>
      </c>
      <c r="D124">
        <v>307.2</v>
      </c>
      <c r="E124">
        <v>306.39999999999998</v>
      </c>
      <c r="G124" s="9">
        <v>0</v>
      </c>
    </row>
    <row r="125" spans="1:7" x14ac:dyDescent="0.3">
      <c r="A125" s="4">
        <v>43636</v>
      </c>
      <c r="B125">
        <v>305.89999999999998</v>
      </c>
      <c r="C125">
        <v>306.45</v>
      </c>
      <c r="D125">
        <v>307.2</v>
      </c>
      <c r="E125">
        <v>306.35000000000002</v>
      </c>
      <c r="G125" s="9">
        <v>-2.0000000000000001E-4</v>
      </c>
    </row>
    <row r="126" spans="1:7" x14ac:dyDescent="0.3">
      <c r="A126" s="4">
        <v>43637</v>
      </c>
      <c r="B126">
        <v>305.92</v>
      </c>
      <c r="C126">
        <v>306.7</v>
      </c>
      <c r="D126">
        <v>307.2</v>
      </c>
      <c r="E126">
        <v>306.39999999999998</v>
      </c>
      <c r="G126" s="9">
        <v>1E-4</v>
      </c>
    </row>
    <row r="127" spans="1:7" x14ac:dyDescent="0.3">
      <c r="A127" s="4">
        <v>43640</v>
      </c>
      <c r="B127">
        <v>305.89999999999998</v>
      </c>
      <c r="C127">
        <v>306.42</v>
      </c>
      <c r="D127">
        <v>307.14999999999998</v>
      </c>
      <c r="E127">
        <v>306.39999999999998</v>
      </c>
      <c r="G127" s="9">
        <v>-1E-4</v>
      </c>
    </row>
    <row r="128" spans="1:7" x14ac:dyDescent="0.3">
      <c r="A128" s="4">
        <v>43641</v>
      </c>
      <c r="B128">
        <v>305.88</v>
      </c>
      <c r="C128">
        <v>306.39999999999998</v>
      </c>
      <c r="D128">
        <v>307.14999999999998</v>
      </c>
      <c r="E128">
        <v>306.38</v>
      </c>
      <c r="G128" s="9">
        <v>-1E-4</v>
      </c>
    </row>
    <row r="129" spans="1:7" x14ac:dyDescent="0.3">
      <c r="A129" s="4">
        <v>43642</v>
      </c>
      <c r="B129">
        <v>305.89999999999998</v>
      </c>
      <c r="C129">
        <v>306.38</v>
      </c>
      <c r="D129">
        <v>307.2</v>
      </c>
      <c r="E129">
        <v>306.38</v>
      </c>
      <c r="G129" s="9">
        <v>1E-4</v>
      </c>
    </row>
    <row r="130" spans="1:7" x14ac:dyDescent="0.3">
      <c r="A130" s="4">
        <v>43643</v>
      </c>
      <c r="B130">
        <v>305.89999999999998</v>
      </c>
      <c r="C130">
        <v>306.39999999999998</v>
      </c>
      <c r="D130">
        <v>307.2</v>
      </c>
      <c r="E130">
        <v>306.39999999999998</v>
      </c>
      <c r="G130" s="9">
        <v>0</v>
      </c>
    </row>
    <row r="131" spans="1:7" x14ac:dyDescent="0.3">
      <c r="A131" s="4">
        <v>43644</v>
      </c>
      <c r="B131">
        <v>305.89999999999998</v>
      </c>
      <c r="C131">
        <v>306.39999999999998</v>
      </c>
      <c r="D131">
        <v>307.14999999999998</v>
      </c>
      <c r="E131">
        <v>306.39999999999998</v>
      </c>
      <c r="G131" s="9">
        <v>0</v>
      </c>
    </row>
    <row r="132" spans="1:7" x14ac:dyDescent="0.3">
      <c r="A132" s="4">
        <v>43647</v>
      </c>
      <c r="B132">
        <v>307.39999999999998</v>
      </c>
      <c r="C132">
        <v>307.39999999999998</v>
      </c>
      <c r="D132">
        <v>307.5</v>
      </c>
      <c r="E132">
        <v>307.39999999999998</v>
      </c>
      <c r="G132" s="9">
        <v>0</v>
      </c>
    </row>
    <row r="133" spans="1:7" x14ac:dyDescent="0.3">
      <c r="A133" s="4">
        <v>43648</v>
      </c>
      <c r="B133">
        <v>306.25</v>
      </c>
      <c r="C133">
        <v>306.2</v>
      </c>
      <c r="D133">
        <v>315</v>
      </c>
      <c r="E133">
        <v>306.14999999999998</v>
      </c>
      <c r="G133" s="9">
        <v>2.0000000000000001E-4</v>
      </c>
    </row>
    <row r="134" spans="1:7" x14ac:dyDescent="0.3">
      <c r="A134" s="4">
        <v>43649</v>
      </c>
      <c r="B134">
        <v>306.38</v>
      </c>
      <c r="C134">
        <v>306.38</v>
      </c>
      <c r="D134">
        <v>315</v>
      </c>
      <c r="E134">
        <v>306.38</v>
      </c>
      <c r="G134" s="9">
        <v>0</v>
      </c>
    </row>
    <row r="135" spans="1:7" x14ac:dyDescent="0.3">
      <c r="A135" s="4">
        <v>43651</v>
      </c>
      <c r="B135">
        <v>306</v>
      </c>
      <c r="C135">
        <v>306.45</v>
      </c>
      <c r="D135">
        <v>314.75</v>
      </c>
      <c r="E135">
        <v>306.33999999999997</v>
      </c>
      <c r="G135" s="9">
        <v>2.0000000000000001E-4</v>
      </c>
    </row>
    <row r="136" spans="1:7" x14ac:dyDescent="0.3">
      <c r="A136" s="4">
        <v>43652</v>
      </c>
      <c r="B136">
        <v>305.95</v>
      </c>
      <c r="C136">
        <v>306.39999999999998</v>
      </c>
      <c r="D136">
        <v>307.2</v>
      </c>
      <c r="E136">
        <v>306.39999999999998</v>
      </c>
      <c r="G136" s="9">
        <v>2.0000000000000001E-4</v>
      </c>
    </row>
    <row r="137" spans="1:7" x14ac:dyDescent="0.3">
      <c r="A137" s="4">
        <v>43654</v>
      </c>
      <c r="B137">
        <v>305.88</v>
      </c>
      <c r="C137">
        <v>306.38</v>
      </c>
      <c r="D137">
        <v>307.10000000000002</v>
      </c>
      <c r="E137">
        <v>306.38</v>
      </c>
      <c r="G137" s="9">
        <v>0</v>
      </c>
    </row>
    <row r="138" spans="1:7" x14ac:dyDescent="0.3">
      <c r="A138" s="4">
        <v>43656</v>
      </c>
      <c r="B138">
        <v>306</v>
      </c>
      <c r="C138">
        <v>306.5</v>
      </c>
      <c r="D138">
        <v>306.72500000000002</v>
      </c>
      <c r="E138">
        <v>306.45</v>
      </c>
      <c r="G138" s="9">
        <v>0</v>
      </c>
    </row>
    <row r="139" spans="1:7" x14ac:dyDescent="0.3">
      <c r="A139" s="4">
        <v>43657</v>
      </c>
      <c r="B139">
        <v>305.95</v>
      </c>
      <c r="C139">
        <v>306.45</v>
      </c>
      <c r="D139">
        <v>307.2</v>
      </c>
      <c r="E139">
        <v>306.39999999999998</v>
      </c>
      <c r="G139" s="9">
        <v>0</v>
      </c>
    </row>
    <row r="140" spans="1:7" x14ac:dyDescent="0.3">
      <c r="A140" s="4">
        <v>43661</v>
      </c>
      <c r="B140">
        <v>306</v>
      </c>
      <c r="C140">
        <v>306.7</v>
      </c>
      <c r="D140">
        <v>307.25</v>
      </c>
      <c r="E140">
        <v>306.39999999999998</v>
      </c>
      <c r="G140" s="9">
        <v>0</v>
      </c>
    </row>
    <row r="141" spans="1:7" x14ac:dyDescent="0.3">
      <c r="A141" s="4">
        <v>43662</v>
      </c>
      <c r="B141">
        <v>305.95</v>
      </c>
      <c r="C141">
        <v>306.5</v>
      </c>
      <c r="D141">
        <v>306.75</v>
      </c>
      <c r="E141">
        <v>306.45</v>
      </c>
      <c r="G141" s="9">
        <v>-2.0000000000000001E-4</v>
      </c>
    </row>
    <row r="142" spans="1:7" x14ac:dyDescent="0.3">
      <c r="A142" s="4">
        <v>43663</v>
      </c>
      <c r="B142">
        <v>305.89999999999998</v>
      </c>
      <c r="C142">
        <v>306.45</v>
      </c>
      <c r="D142">
        <v>306.7</v>
      </c>
      <c r="E142">
        <v>306.39999999999998</v>
      </c>
      <c r="G142" s="9">
        <v>-2.0000000000000001E-4</v>
      </c>
    </row>
    <row r="143" spans="1:7" x14ac:dyDescent="0.3">
      <c r="A143" s="4">
        <v>43664</v>
      </c>
      <c r="B143">
        <v>305.95</v>
      </c>
      <c r="C143">
        <v>306.39999999999998</v>
      </c>
      <c r="D143">
        <v>307.2</v>
      </c>
      <c r="E143">
        <v>306.39999999999998</v>
      </c>
      <c r="G143" s="9">
        <v>2.0000000000000001E-4</v>
      </c>
    </row>
    <row r="144" spans="1:7" x14ac:dyDescent="0.3">
      <c r="A144" s="4">
        <v>43665</v>
      </c>
      <c r="B144">
        <v>305.95</v>
      </c>
      <c r="C144">
        <v>306.45</v>
      </c>
      <c r="D144">
        <v>307.2</v>
      </c>
      <c r="E144">
        <v>306.45</v>
      </c>
      <c r="G144" s="9">
        <v>0</v>
      </c>
    </row>
    <row r="145" spans="1:7" x14ac:dyDescent="0.3">
      <c r="A145" s="4">
        <v>43668</v>
      </c>
      <c r="B145">
        <v>305.95</v>
      </c>
      <c r="C145">
        <v>306.7</v>
      </c>
      <c r="D145">
        <v>306.7</v>
      </c>
      <c r="E145">
        <v>306.45</v>
      </c>
      <c r="G145" s="9">
        <v>0</v>
      </c>
    </row>
    <row r="146" spans="1:7" x14ac:dyDescent="0.3">
      <c r="A146" s="4">
        <v>43669</v>
      </c>
      <c r="B146">
        <v>305.89999999999998</v>
      </c>
      <c r="C146">
        <v>306.45</v>
      </c>
      <c r="D146">
        <v>307.25</v>
      </c>
      <c r="E146">
        <v>306.39999999999998</v>
      </c>
      <c r="G146" s="9">
        <v>-2.0000000000000001E-4</v>
      </c>
    </row>
    <row r="147" spans="1:7" x14ac:dyDescent="0.3">
      <c r="A147" s="4">
        <v>43670</v>
      </c>
      <c r="B147">
        <v>305.88</v>
      </c>
      <c r="C147">
        <v>306.39999999999998</v>
      </c>
      <c r="D147">
        <v>307.2</v>
      </c>
      <c r="E147">
        <v>306.38</v>
      </c>
      <c r="G147" s="9">
        <v>-1E-4</v>
      </c>
    </row>
    <row r="148" spans="1:7" x14ac:dyDescent="0.3">
      <c r="A148" s="4">
        <v>43671</v>
      </c>
      <c r="B148">
        <v>305.88</v>
      </c>
      <c r="C148">
        <v>306.38</v>
      </c>
      <c r="D148">
        <v>307.25</v>
      </c>
      <c r="E148">
        <v>306.38</v>
      </c>
      <c r="G148" s="9">
        <v>0</v>
      </c>
    </row>
    <row r="149" spans="1:7" x14ac:dyDescent="0.3">
      <c r="A149" s="4">
        <v>43672</v>
      </c>
      <c r="B149">
        <v>305.88</v>
      </c>
      <c r="C149">
        <v>306.38</v>
      </c>
      <c r="D149">
        <v>306.7</v>
      </c>
      <c r="E149">
        <v>306.38</v>
      </c>
      <c r="G149" s="9">
        <v>0</v>
      </c>
    </row>
    <row r="150" spans="1:7" x14ac:dyDescent="0.3">
      <c r="A150" s="4">
        <v>43675</v>
      </c>
      <c r="B150">
        <v>305.88</v>
      </c>
      <c r="C150">
        <v>306.7</v>
      </c>
      <c r="D150">
        <v>307.25</v>
      </c>
      <c r="E150">
        <v>306.38</v>
      </c>
      <c r="G150" s="9">
        <v>0</v>
      </c>
    </row>
    <row r="151" spans="1:7" x14ac:dyDescent="0.3">
      <c r="A151" s="4">
        <v>43676</v>
      </c>
      <c r="B151">
        <v>305.88</v>
      </c>
      <c r="C151">
        <v>306.38</v>
      </c>
      <c r="D151">
        <v>306.7</v>
      </c>
      <c r="E151">
        <v>306.38</v>
      </c>
      <c r="G151" s="9">
        <v>0</v>
      </c>
    </row>
    <row r="152" spans="1:7" x14ac:dyDescent="0.3">
      <c r="A152" s="4">
        <v>43677</v>
      </c>
      <c r="B152">
        <v>305.8</v>
      </c>
      <c r="C152">
        <v>306.38</v>
      </c>
      <c r="D152">
        <v>306.7</v>
      </c>
      <c r="E152">
        <v>306.3</v>
      </c>
      <c r="G152" s="9">
        <v>-2.9999999999999997E-4</v>
      </c>
    </row>
    <row r="153" spans="1:7" x14ac:dyDescent="0.3">
      <c r="A153" s="4">
        <v>43678</v>
      </c>
      <c r="B153">
        <v>307.38</v>
      </c>
      <c r="C153">
        <v>307.39999999999998</v>
      </c>
      <c r="D153">
        <v>307.5</v>
      </c>
      <c r="E153">
        <v>306.5</v>
      </c>
      <c r="G153" s="9">
        <v>-1E-4</v>
      </c>
    </row>
    <row r="154" spans="1:7" x14ac:dyDescent="0.3">
      <c r="A154" s="4">
        <v>43679</v>
      </c>
      <c r="B154">
        <v>306.2</v>
      </c>
      <c r="C154">
        <v>306.25</v>
      </c>
      <c r="D154">
        <v>315</v>
      </c>
      <c r="E154">
        <v>306.2</v>
      </c>
      <c r="G154" s="9">
        <v>-2.0000000000000001E-4</v>
      </c>
    </row>
    <row r="155" spans="1:7" x14ac:dyDescent="0.3">
      <c r="A155" s="4">
        <v>43680</v>
      </c>
      <c r="B155">
        <v>306.39999999999998</v>
      </c>
      <c r="C155">
        <v>315</v>
      </c>
      <c r="D155">
        <v>315</v>
      </c>
      <c r="E155">
        <v>306.38</v>
      </c>
      <c r="G155" s="9">
        <v>1E-4</v>
      </c>
    </row>
    <row r="156" spans="1:7" x14ac:dyDescent="0.3">
      <c r="A156" s="4">
        <v>43681</v>
      </c>
      <c r="B156">
        <v>306</v>
      </c>
      <c r="C156">
        <v>306.5</v>
      </c>
      <c r="D156">
        <v>314.75</v>
      </c>
      <c r="E156">
        <v>306.39999999999998</v>
      </c>
      <c r="G156" s="9">
        <v>0</v>
      </c>
    </row>
    <row r="157" spans="1:7" x14ac:dyDescent="0.3">
      <c r="A157" s="4">
        <v>43682</v>
      </c>
      <c r="B157">
        <v>306</v>
      </c>
      <c r="C157">
        <v>306.5</v>
      </c>
      <c r="D157">
        <v>306.75</v>
      </c>
      <c r="E157">
        <v>306.33999999999997</v>
      </c>
      <c r="G157" s="9">
        <v>0</v>
      </c>
    </row>
    <row r="158" spans="1:7" x14ac:dyDescent="0.3">
      <c r="A158" s="4">
        <v>43684</v>
      </c>
      <c r="B158">
        <v>305.95</v>
      </c>
      <c r="C158">
        <v>306.45</v>
      </c>
      <c r="D158">
        <v>307.25</v>
      </c>
      <c r="E158">
        <v>306.39999999999998</v>
      </c>
      <c r="G158" s="9">
        <v>0</v>
      </c>
    </row>
    <row r="159" spans="1:7" x14ac:dyDescent="0.3">
      <c r="A159" s="4">
        <v>43685</v>
      </c>
      <c r="B159">
        <v>305.89999999999998</v>
      </c>
      <c r="C159">
        <v>306.38</v>
      </c>
      <c r="D159">
        <v>306.7</v>
      </c>
      <c r="E159">
        <v>306.38</v>
      </c>
      <c r="G159" s="9">
        <v>1E-4</v>
      </c>
    </row>
    <row r="160" spans="1:7" x14ac:dyDescent="0.3">
      <c r="A160" s="4">
        <v>43687</v>
      </c>
      <c r="B160">
        <v>306</v>
      </c>
      <c r="C160">
        <v>306.5</v>
      </c>
      <c r="D160">
        <v>306.72500000000002</v>
      </c>
      <c r="E160">
        <v>306.45</v>
      </c>
      <c r="G160" s="9">
        <v>0</v>
      </c>
    </row>
    <row r="161" spans="1:7" x14ac:dyDescent="0.3">
      <c r="A161" s="4">
        <v>43688</v>
      </c>
      <c r="B161">
        <v>306.89999999999998</v>
      </c>
      <c r="C161">
        <v>306.45</v>
      </c>
      <c r="D161">
        <v>307.45</v>
      </c>
      <c r="E161">
        <v>306.39999999999998</v>
      </c>
      <c r="G161" s="9">
        <v>3.0999999999999999E-3</v>
      </c>
    </row>
    <row r="162" spans="1:7" x14ac:dyDescent="0.3">
      <c r="A162" s="4">
        <v>43690</v>
      </c>
      <c r="B162">
        <v>305.89999999999998</v>
      </c>
      <c r="C162">
        <v>306.38</v>
      </c>
      <c r="D162">
        <v>306.7</v>
      </c>
      <c r="E162">
        <v>306.38</v>
      </c>
      <c r="G162" s="9">
        <v>1E-4</v>
      </c>
    </row>
    <row r="163" spans="1:7" x14ac:dyDescent="0.3">
      <c r="A163" s="4">
        <v>43691</v>
      </c>
      <c r="B163">
        <v>305.89999999999998</v>
      </c>
      <c r="C163">
        <v>306.39999999999998</v>
      </c>
      <c r="D163">
        <v>306.7</v>
      </c>
      <c r="E163">
        <v>306.39999999999998</v>
      </c>
      <c r="G163" s="9">
        <v>0</v>
      </c>
    </row>
    <row r="164" spans="1:7" x14ac:dyDescent="0.3">
      <c r="A164" s="4">
        <v>43692</v>
      </c>
      <c r="B164">
        <v>305.89999999999998</v>
      </c>
      <c r="C164">
        <v>306.39999999999998</v>
      </c>
      <c r="D164">
        <v>306.7</v>
      </c>
      <c r="E164">
        <v>306.39999999999998</v>
      </c>
      <c r="G164" s="9">
        <v>0</v>
      </c>
    </row>
    <row r="165" spans="1:7" x14ac:dyDescent="0.3">
      <c r="A165" s="4">
        <v>43693</v>
      </c>
      <c r="B165">
        <v>305.89999999999998</v>
      </c>
      <c r="C165">
        <v>306.39999999999998</v>
      </c>
      <c r="D165">
        <v>306.7</v>
      </c>
      <c r="E165">
        <v>306.35000000000002</v>
      </c>
      <c r="G165" s="9">
        <v>0</v>
      </c>
    </row>
    <row r="166" spans="1:7" x14ac:dyDescent="0.3">
      <c r="A166" s="4">
        <v>43696</v>
      </c>
      <c r="B166">
        <v>305.88</v>
      </c>
      <c r="C166">
        <v>306.39999999999998</v>
      </c>
      <c r="D166">
        <v>306.7</v>
      </c>
      <c r="E166">
        <v>306.38</v>
      </c>
      <c r="G166" s="9">
        <v>-1E-4</v>
      </c>
    </row>
    <row r="167" spans="1:7" x14ac:dyDescent="0.3">
      <c r="A167" s="4">
        <v>43697</v>
      </c>
      <c r="B167">
        <v>305.89999999999998</v>
      </c>
      <c r="C167">
        <v>306.38</v>
      </c>
      <c r="D167">
        <v>307.25</v>
      </c>
      <c r="E167">
        <v>306.38</v>
      </c>
      <c r="G167" s="9">
        <v>1E-4</v>
      </c>
    </row>
    <row r="168" spans="1:7" x14ac:dyDescent="0.3">
      <c r="A168" s="4">
        <v>43698</v>
      </c>
      <c r="B168">
        <v>305.95</v>
      </c>
      <c r="C168">
        <v>306.45</v>
      </c>
      <c r="D168">
        <v>307.2</v>
      </c>
      <c r="E168">
        <v>306.45</v>
      </c>
      <c r="G168" s="9">
        <v>2.0000000000000001E-4</v>
      </c>
    </row>
    <row r="169" spans="1:7" x14ac:dyDescent="0.3">
      <c r="A169" s="4">
        <v>43699</v>
      </c>
      <c r="B169">
        <v>305.95</v>
      </c>
      <c r="C169">
        <v>306.45</v>
      </c>
      <c r="D169">
        <v>307.2</v>
      </c>
      <c r="E169">
        <v>306.39999999999998</v>
      </c>
      <c r="G169" s="9">
        <v>0</v>
      </c>
    </row>
    <row r="170" spans="1:7" x14ac:dyDescent="0.3">
      <c r="A170" s="4">
        <v>43700</v>
      </c>
      <c r="B170">
        <v>305.89999999999998</v>
      </c>
      <c r="C170">
        <v>306.45</v>
      </c>
      <c r="D170">
        <v>306.75</v>
      </c>
      <c r="E170">
        <v>306.39999999999998</v>
      </c>
      <c r="G170" s="9">
        <v>-2.0000000000000001E-4</v>
      </c>
    </row>
    <row r="171" spans="1:7" x14ac:dyDescent="0.3">
      <c r="A171" s="4">
        <v>43703</v>
      </c>
      <c r="B171">
        <v>305.95</v>
      </c>
      <c r="C171">
        <v>306.39999999999998</v>
      </c>
      <c r="D171">
        <v>306.75</v>
      </c>
      <c r="E171">
        <v>306.39999999999998</v>
      </c>
      <c r="G171" s="9">
        <v>2.0000000000000001E-4</v>
      </c>
    </row>
    <row r="172" spans="1:7" x14ac:dyDescent="0.3">
      <c r="A172" s="4">
        <v>43704</v>
      </c>
      <c r="B172">
        <v>306</v>
      </c>
      <c r="C172">
        <v>306.7</v>
      </c>
      <c r="D172">
        <v>307.25</v>
      </c>
      <c r="E172">
        <v>306.39999999999998</v>
      </c>
      <c r="G172" s="9">
        <v>2.0000000000000001E-4</v>
      </c>
    </row>
    <row r="173" spans="1:7" x14ac:dyDescent="0.3">
      <c r="A173" s="4">
        <v>43705</v>
      </c>
      <c r="B173">
        <v>306</v>
      </c>
      <c r="C173">
        <v>306.7</v>
      </c>
      <c r="D173">
        <v>307.25</v>
      </c>
      <c r="E173">
        <v>306.45</v>
      </c>
      <c r="G173" s="9">
        <v>0</v>
      </c>
    </row>
    <row r="174" spans="1:7" x14ac:dyDescent="0.3">
      <c r="A174" s="4">
        <v>43706</v>
      </c>
      <c r="B174">
        <v>306</v>
      </c>
      <c r="C174">
        <v>306.5</v>
      </c>
      <c r="D174">
        <v>306.75</v>
      </c>
      <c r="E174">
        <v>306.47500000000002</v>
      </c>
      <c r="G174" s="9">
        <v>0</v>
      </c>
    </row>
    <row r="175" spans="1:7" x14ac:dyDescent="0.3">
      <c r="A175" s="4">
        <v>43707</v>
      </c>
      <c r="B175">
        <v>306</v>
      </c>
      <c r="C175">
        <v>306.7</v>
      </c>
      <c r="D175">
        <v>306.75</v>
      </c>
      <c r="E175">
        <v>306.47500000000002</v>
      </c>
      <c r="G175" s="9">
        <v>0</v>
      </c>
    </row>
    <row r="176" spans="1:7" x14ac:dyDescent="0.3">
      <c r="A176" s="4">
        <v>43709</v>
      </c>
      <c r="B176">
        <v>307.38</v>
      </c>
      <c r="C176">
        <v>307.38</v>
      </c>
      <c r="D176">
        <v>307.5</v>
      </c>
      <c r="E176">
        <v>307.38</v>
      </c>
      <c r="G176" s="9">
        <v>0</v>
      </c>
    </row>
    <row r="177" spans="1:7" x14ac:dyDescent="0.3">
      <c r="A177" s="4">
        <v>43712</v>
      </c>
      <c r="B177">
        <v>306</v>
      </c>
      <c r="C177">
        <v>306.5</v>
      </c>
      <c r="D177">
        <v>314.75</v>
      </c>
      <c r="E177">
        <v>306.39999999999998</v>
      </c>
      <c r="G177" s="9">
        <v>0</v>
      </c>
    </row>
    <row r="178" spans="1:7" x14ac:dyDescent="0.3">
      <c r="A178" s="4">
        <v>43713</v>
      </c>
      <c r="B178">
        <v>306</v>
      </c>
      <c r="C178">
        <v>306.5</v>
      </c>
      <c r="D178">
        <v>306.75</v>
      </c>
      <c r="E178">
        <v>306.38</v>
      </c>
      <c r="G178" s="9">
        <v>0</v>
      </c>
    </row>
    <row r="179" spans="1:7" x14ac:dyDescent="0.3">
      <c r="A179" s="4">
        <v>43715</v>
      </c>
      <c r="B179">
        <v>306</v>
      </c>
      <c r="C179">
        <v>306.7</v>
      </c>
      <c r="D179">
        <v>307.2</v>
      </c>
      <c r="E179">
        <v>306.45</v>
      </c>
      <c r="G179" s="9">
        <v>2.0000000000000001E-4</v>
      </c>
    </row>
    <row r="180" spans="1:7" x14ac:dyDescent="0.3">
      <c r="A180" s="4">
        <v>43716</v>
      </c>
      <c r="B180">
        <v>305.89999999999998</v>
      </c>
      <c r="C180">
        <v>306.39999999999998</v>
      </c>
      <c r="D180">
        <v>307.25</v>
      </c>
      <c r="E180">
        <v>306.39999999999998</v>
      </c>
      <c r="G180" s="9">
        <v>0</v>
      </c>
    </row>
    <row r="181" spans="1:7" x14ac:dyDescent="0.3">
      <c r="A181" s="4">
        <v>43717</v>
      </c>
      <c r="B181">
        <v>305.88</v>
      </c>
      <c r="C181">
        <v>306.39999999999998</v>
      </c>
      <c r="D181">
        <v>306.7</v>
      </c>
      <c r="E181">
        <v>306.38</v>
      </c>
      <c r="G181" s="9">
        <v>-1E-4</v>
      </c>
    </row>
    <row r="182" spans="1:7" x14ac:dyDescent="0.3">
      <c r="A182" s="4">
        <v>43718</v>
      </c>
      <c r="B182">
        <v>306</v>
      </c>
      <c r="C182">
        <v>306.5</v>
      </c>
      <c r="D182">
        <v>307.25</v>
      </c>
      <c r="E182">
        <v>306.45</v>
      </c>
      <c r="G182" s="9">
        <v>0</v>
      </c>
    </row>
    <row r="183" spans="1:7" x14ac:dyDescent="0.3">
      <c r="A183" s="4">
        <v>43720</v>
      </c>
      <c r="B183">
        <v>305.89999999999998</v>
      </c>
      <c r="C183">
        <v>306.45</v>
      </c>
      <c r="D183">
        <v>306.7</v>
      </c>
      <c r="E183">
        <v>306.39999999999998</v>
      </c>
      <c r="G183" s="9">
        <v>-2.0000000000000001E-4</v>
      </c>
    </row>
    <row r="184" spans="1:7" x14ac:dyDescent="0.3">
      <c r="A184" s="4">
        <v>43721</v>
      </c>
      <c r="B184">
        <v>305.85000000000002</v>
      </c>
      <c r="C184">
        <v>306.35000000000002</v>
      </c>
      <c r="D184">
        <v>306.7</v>
      </c>
      <c r="E184">
        <v>306.35000000000002</v>
      </c>
      <c r="G184" s="9">
        <v>0</v>
      </c>
    </row>
    <row r="185" spans="1:7" x14ac:dyDescent="0.3">
      <c r="A185" s="4">
        <v>43724</v>
      </c>
      <c r="B185">
        <v>305.89999999999998</v>
      </c>
      <c r="C185">
        <v>306.7</v>
      </c>
      <c r="D185">
        <v>307.2</v>
      </c>
      <c r="E185">
        <v>306.35000000000002</v>
      </c>
      <c r="G185" s="9">
        <v>2.0000000000000001E-4</v>
      </c>
    </row>
    <row r="186" spans="1:7" x14ac:dyDescent="0.3">
      <c r="A186" s="4">
        <v>43725</v>
      </c>
      <c r="B186">
        <v>305.88</v>
      </c>
      <c r="C186">
        <v>306.39999999999998</v>
      </c>
      <c r="D186">
        <v>306.7</v>
      </c>
      <c r="E186">
        <v>306.38</v>
      </c>
      <c r="G186" s="9">
        <v>-1E-4</v>
      </c>
    </row>
    <row r="187" spans="1:7" x14ac:dyDescent="0.3">
      <c r="A187" s="4">
        <v>43726</v>
      </c>
      <c r="B187">
        <v>305.88</v>
      </c>
      <c r="C187">
        <v>306.38</v>
      </c>
      <c r="D187">
        <v>307.2</v>
      </c>
      <c r="E187">
        <v>306.38</v>
      </c>
      <c r="G187" s="9">
        <v>0</v>
      </c>
    </row>
    <row r="188" spans="1:7" x14ac:dyDescent="0.3">
      <c r="A188" s="4">
        <v>43727</v>
      </c>
      <c r="B188">
        <v>305.89999999999998</v>
      </c>
      <c r="C188">
        <v>306.38</v>
      </c>
      <c r="D188">
        <v>306.7</v>
      </c>
      <c r="E188">
        <v>306.38</v>
      </c>
      <c r="G188" s="9">
        <v>1E-4</v>
      </c>
    </row>
    <row r="189" spans="1:7" x14ac:dyDescent="0.3">
      <c r="A189" s="4">
        <v>43728</v>
      </c>
      <c r="B189">
        <v>305.89999999999998</v>
      </c>
      <c r="C189">
        <v>306.39999999999998</v>
      </c>
      <c r="D189">
        <v>307.14999999999998</v>
      </c>
      <c r="E189">
        <v>306.39999999999998</v>
      </c>
      <c r="G189" s="9">
        <v>0</v>
      </c>
    </row>
    <row r="190" spans="1:7" x14ac:dyDescent="0.3">
      <c r="A190" s="4">
        <v>43731</v>
      </c>
      <c r="B190">
        <v>305.89999999999998</v>
      </c>
      <c r="C190">
        <v>306.39999999999998</v>
      </c>
      <c r="D190">
        <v>307.14999999999998</v>
      </c>
      <c r="E190">
        <v>306.35000000000002</v>
      </c>
      <c r="G190" s="9">
        <v>0</v>
      </c>
    </row>
    <row r="191" spans="1:7" x14ac:dyDescent="0.3">
      <c r="A191" s="4">
        <v>43732</v>
      </c>
      <c r="B191">
        <v>305.89999999999998</v>
      </c>
      <c r="C191">
        <v>306.39999999999998</v>
      </c>
      <c r="D191">
        <v>307.2</v>
      </c>
      <c r="E191">
        <v>306.35000000000002</v>
      </c>
      <c r="G191" s="9">
        <v>0</v>
      </c>
    </row>
    <row r="192" spans="1:7" x14ac:dyDescent="0.3">
      <c r="A192" s="4">
        <v>43733</v>
      </c>
      <c r="B192">
        <v>305.95</v>
      </c>
      <c r="C192">
        <v>306.39999999999998</v>
      </c>
      <c r="D192">
        <v>307.14999999999998</v>
      </c>
      <c r="E192">
        <v>306.39999999999998</v>
      </c>
      <c r="G192" s="9">
        <v>2.0000000000000001E-4</v>
      </c>
    </row>
    <row r="193" spans="1:7" x14ac:dyDescent="0.3">
      <c r="A193" s="4">
        <v>43734</v>
      </c>
      <c r="B193">
        <v>305.95</v>
      </c>
      <c r="C193">
        <v>306.45</v>
      </c>
      <c r="D193">
        <v>307.14999999999998</v>
      </c>
      <c r="E193">
        <v>306.39999999999998</v>
      </c>
      <c r="G193" s="9">
        <v>0</v>
      </c>
    </row>
    <row r="194" spans="1:7" x14ac:dyDescent="0.3">
      <c r="A194" s="4">
        <v>43735</v>
      </c>
      <c r="B194">
        <v>305.89999999999998</v>
      </c>
      <c r="C194">
        <v>306.45</v>
      </c>
      <c r="D194">
        <v>307.2</v>
      </c>
      <c r="E194">
        <v>306.39999999999998</v>
      </c>
      <c r="G194" s="9">
        <v>-2.0000000000000001E-4</v>
      </c>
    </row>
    <row r="195" spans="1:7" x14ac:dyDescent="0.3">
      <c r="A195" s="4">
        <v>43738</v>
      </c>
      <c r="B195">
        <v>305.95</v>
      </c>
      <c r="C195">
        <v>306.39999999999998</v>
      </c>
      <c r="D195">
        <v>307.25</v>
      </c>
      <c r="E195">
        <v>306.39999999999998</v>
      </c>
      <c r="G195" s="9">
        <v>2.0000000000000001E-4</v>
      </c>
    </row>
    <row r="196" spans="1:7" x14ac:dyDescent="0.3">
      <c r="A196" s="4">
        <v>43739</v>
      </c>
      <c r="B196">
        <v>307.38</v>
      </c>
      <c r="C196">
        <v>307.38</v>
      </c>
      <c r="D196">
        <v>307.5</v>
      </c>
      <c r="E196">
        <v>305</v>
      </c>
      <c r="G196" s="9">
        <v>0</v>
      </c>
    </row>
    <row r="197" spans="1:7" x14ac:dyDescent="0.3">
      <c r="A197" s="4">
        <v>43742</v>
      </c>
      <c r="B197">
        <v>306</v>
      </c>
      <c r="C197">
        <v>306.5</v>
      </c>
      <c r="D197">
        <v>314.75</v>
      </c>
      <c r="E197">
        <v>306.39999999999998</v>
      </c>
      <c r="G197" s="9">
        <v>0</v>
      </c>
    </row>
    <row r="198" spans="1:7" x14ac:dyDescent="0.3">
      <c r="A198" s="4">
        <v>43743</v>
      </c>
      <c r="B198">
        <v>306</v>
      </c>
      <c r="C198">
        <v>306.5</v>
      </c>
      <c r="D198">
        <v>306.75</v>
      </c>
      <c r="E198">
        <v>306.38</v>
      </c>
      <c r="G198" s="9">
        <v>0</v>
      </c>
    </row>
    <row r="199" spans="1:7" x14ac:dyDescent="0.3">
      <c r="A199" s="4">
        <v>43744</v>
      </c>
      <c r="B199">
        <v>305.89999999999998</v>
      </c>
      <c r="C199">
        <v>306.45</v>
      </c>
      <c r="D199">
        <v>307.2</v>
      </c>
      <c r="E199">
        <v>306.35000000000002</v>
      </c>
      <c r="G199" s="9">
        <v>-2.0000000000000001E-4</v>
      </c>
    </row>
    <row r="200" spans="1:7" x14ac:dyDescent="0.3">
      <c r="A200" s="4">
        <v>43745</v>
      </c>
      <c r="B200">
        <v>306</v>
      </c>
      <c r="C200">
        <v>306.5</v>
      </c>
      <c r="D200">
        <v>307.25</v>
      </c>
      <c r="E200">
        <v>306.47500000000002</v>
      </c>
      <c r="G200" s="9">
        <v>0</v>
      </c>
    </row>
    <row r="201" spans="1:7" x14ac:dyDescent="0.3">
      <c r="A201" s="4">
        <v>43747</v>
      </c>
      <c r="B201">
        <v>305.89999999999998</v>
      </c>
      <c r="C201">
        <v>306.38</v>
      </c>
      <c r="D201">
        <v>306.7</v>
      </c>
      <c r="E201">
        <v>306.36500000000001</v>
      </c>
      <c r="G201" s="9">
        <v>1E-4</v>
      </c>
    </row>
    <row r="202" spans="1:7" x14ac:dyDescent="0.3">
      <c r="A202" s="4">
        <v>43748</v>
      </c>
      <c r="B202">
        <v>306</v>
      </c>
      <c r="C202">
        <v>306.5</v>
      </c>
      <c r="D202">
        <v>307.25</v>
      </c>
      <c r="E202">
        <v>306.45</v>
      </c>
      <c r="G202" s="9">
        <v>0</v>
      </c>
    </row>
    <row r="203" spans="1:7" x14ac:dyDescent="0.3">
      <c r="A203" s="4">
        <v>43750</v>
      </c>
      <c r="B203">
        <v>305.88</v>
      </c>
      <c r="C203">
        <v>306.7</v>
      </c>
      <c r="D203">
        <v>306.7</v>
      </c>
      <c r="E203">
        <v>306.38</v>
      </c>
      <c r="G203" s="9">
        <v>-1E-4</v>
      </c>
    </row>
    <row r="204" spans="1:7" x14ac:dyDescent="0.3">
      <c r="A204" s="4">
        <v>43752</v>
      </c>
      <c r="B204">
        <v>305.95</v>
      </c>
      <c r="C204">
        <v>306.45</v>
      </c>
      <c r="D204">
        <v>306.7</v>
      </c>
      <c r="E204">
        <v>306.39999999999998</v>
      </c>
      <c r="G204" s="9">
        <v>0</v>
      </c>
    </row>
    <row r="205" spans="1:7" x14ac:dyDescent="0.3">
      <c r="A205" s="4">
        <v>43753</v>
      </c>
      <c r="B205">
        <v>305.95</v>
      </c>
      <c r="C205">
        <v>306.45</v>
      </c>
      <c r="D205">
        <v>306.7</v>
      </c>
      <c r="E205">
        <v>306.39999999999998</v>
      </c>
      <c r="G205" s="9">
        <v>0</v>
      </c>
    </row>
    <row r="206" spans="1:7" x14ac:dyDescent="0.3">
      <c r="A206" s="4">
        <v>43754</v>
      </c>
      <c r="B206">
        <v>305.95</v>
      </c>
      <c r="C206">
        <v>306.7</v>
      </c>
      <c r="D206">
        <v>306.7</v>
      </c>
      <c r="E206">
        <v>306.42500000000001</v>
      </c>
      <c r="G206" s="9">
        <v>0</v>
      </c>
    </row>
    <row r="207" spans="1:7" x14ac:dyDescent="0.3">
      <c r="A207" s="4">
        <v>43755</v>
      </c>
      <c r="B207">
        <v>305.89999999999998</v>
      </c>
      <c r="C207">
        <v>306.45</v>
      </c>
      <c r="D207">
        <v>306.7</v>
      </c>
      <c r="E207">
        <v>306.39999999999998</v>
      </c>
      <c r="G207" s="9">
        <v>-2.0000000000000001E-4</v>
      </c>
    </row>
    <row r="208" spans="1:7" x14ac:dyDescent="0.3">
      <c r="A208" s="4">
        <v>43756</v>
      </c>
      <c r="B208">
        <v>305.89999999999998</v>
      </c>
      <c r="C208">
        <v>306.39999999999998</v>
      </c>
      <c r="D208">
        <v>306.7</v>
      </c>
      <c r="E208">
        <v>306.39999999999998</v>
      </c>
      <c r="G208" s="9">
        <v>0</v>
      </c>
    </row>
    <row r="209" spans="1:7" x14ac:dyDescent="0.3">
      <c r="A209" s="4">
        <v>43759</v>
      </c>
      <c r="B209">
        <v>306.89999999999998</v>
      </c>
      <c r="C209">
        <v>306.39999999999998</v>
      </c>
      <c r="D209">
        <v>307.42500000000001</v>
      </c>
      <c r="E209">
        <v>306.39999999999998</v>
      </c>
      <c r="G209" s="9">
        <v>3.3E-3</v>
      </c>
    </row>
    <row r="210" spans="1:7" x14ac:dyDescent="0.3">
      <c r="A210" s="4">
        <v>43760</v>
      </c>
      <c r="B210">
        <v>306.89999999999998</v>
      </c>
      <c r="C210">
        <v>307.39999999999998</v>
      </c>
      <c r="D210">
        <v>307.39999999999998</v>
      </c>
      <c r="E210">
        <v>306.64999999999998</v>
      </c>
      <c r="G210" s="9">
        <v>0</v>
      </c>
    </row>
    <row r="211" spans="1:7" x14ac:dyDescent="0.3">
      <c r="A211" s="4">
        <v>43761</v>
      </c>
      <c r="B211">
        <v>306.89999999999998</v>
      </c>
      <c r="C211">
        <v>306.7</v>
      </c>
      <c r="D211">
        <v>307.45</v>
      </c>
      <c r="E211">
        <v>306.7</v>
      </c>
      <c r="G211" s="9">
        <v>0</v>
      </c>
    </row>
    <row r="212" spans="1:7" x14ac:dyDescent="0.3">
      <c r="A212" s="4">
        <v>43762</v>
      </c>
      <c r="B212">
        <v>306.89999999999998</v>
      </c>
      <c r="C212">
        <v>307.39999999999998</v>
      </c>
      <c r="D212">
        <v>307.45</v>
      </c>
      <c r="E212">
        <v>306.64999999999998</v>
      </c>
      <c r="G212" s="9">
        <v>0</v>
      </c>
    </row>
    <row r="213" spans="1:7" x14ac:dyDescent="0.3">
      <c r="A213" s="4">
        <v>43763</v>
      </c>
      <c r="B213">
        <v>306.95</v>
      </c>
      <c r="C213">
        <v>307.39999999999998</v>
      </c>
      <c r="D213">
        <v>307.47500000000002</v>
      </c>
      <c r="E213">
        <v>306.64999999999998</v>
      </c>
      <c r="G213" s="9">
        <v>2.0000000000000001E-4</v>
      </c>
    </row>
    <row r="214" spans="1:7" x14ac:dyDescent="0.3">
      <c r="A214" s="4">
        <v>43766</v>
      </c>
      <c r="B214">
        <v>306.95</v>
      </c>
      <c r="C214">
        <v>307.45</v>
      </c>
      <c r="D214">
        <v>307.45</v>
      </c>
      <c r="E214">
        <v>306.64999999999998</v>
      </c>
      <c r="G214" s="9">
        <v>0</v>
      </c>
    </row>
    <row r="215" spans="1:7" x14ac:dyDescent="0.3">
      <c r="A215" s="4">
        <v>43767</v>
      </c>
      <c r="B215">
        <v>306.89999999999998</v>
      </c>
      <c r="C215">
        <v>307.45</v>
      </c>
      <c r="D215">
        <v>307.45</v>
      </c>
      <c r="E215">
        <v>306.64999999999998</v>
      </c>
      <c r="G215" s="9">
        <v>-2.0000000000000001E-4</v>
      </c>
    </row>
    <row r="216" spans="1:7" x14ac:dyDescent="0.3">
      <c r="A216" s="4">
        <v>43768</v>
      </c>
      <c r="B216">
        <v>305.98</v>
      </c>
      <c r="C216">
        <v>307.39999999999998</v>
      </c>
      <c r="D216">
        <v>307.45</v>
      </c>
      <c r="E216">
        <v>306.44</v>
      </c>
      <c r="G216" s="9">
        <v>-3.0000000000000001E-3</v>
      </c>
    </row>
    <row r="217" spans="1:7" x14ac:dyDescent="0.3">
      <c r="A217" s="4">
        <v>43769</v>
      </c>
      <c r="B217">
        <v>306</v>
      </c>
      <c r="C217">
        <v>306.48</v>
      </c>
      <c r="D217">
        <v>306.72500000000002</v>
      </c>
      <c r="E217">
        <v>306.44</v>
      </c>
      <c r="G217" s="9">
        <v>1E-4</v>
      </c>
    </row>
    <row r="218" spans="1:7" x14ac:dyDescent="0.3">
      <c r="A218" s="4">
        <v>43770</v>
      </c>
      <c r="B218">
        <v>307.38</v>
      </c>
      <c r="C218">
        <v>307.38</v>
      </c>
      <c r="D218">
        <v>307.5</v>
      </c>
      <c r="E218">
        <v>307.38</v>
      </c>
      <c r="G218" s="9">
        <v>0</v>
      </c>
    </row>
    <row r="219" spans="1:7" x14ac:dyDescent="0.3">
      <c r="A219" s="4">
        <v>43771</v>
      </c>
      <c r="B219">
        <v>306.2</v>
      </c>
      <c r="C219">
        <v>306.2</v>
      </c>
      <c r="D219">
        <v>315</v>
      </c>
      <c r="E219">
        <v>306.2</v>
      </c>
      <c r="G219" s="9">
        <v>0</v>
      </c>
    </row>
    <row r="220" spans="1:7" x14ac:dyDescent="0.3">
      <c r="A220" s="4">
        <v>43772</v>
      </c>
      <c r="B220">
        <v>306.39999999999998</v>
      </c>
      <c r="C220">
        <v>306.39999999999998</v>
      </c>
      <c r="D220">
        <v>315</v>
      </c>
      <c r="E220">
        <v>306.39999999999998</v>
      </c>
      <c r="G220" s="9">
        <v>0</v>
      </c>
    </row>
    <row r="221" spans="1:7" x14ac:dyDescent="0.3">
      <c r="A221" s="4">
        <v>43773</v>
      </c>
      <c r="B221">
        <v>306</v>
      </c>
      <c r="C221">
        <v>306.5</v>
      </c>
      <c r="D221">
        <v>314.75</v>
      </c>
      <c r="E221">
        <v>305.60000000000002</v>
      </c>
      <c r="G221" s="9">
        <v>0</v>
      </c>
    </row>
    <row r="222" spans="1:7" x14ac:dyDescent="0.3">
      <c r="A222" s="4">
        <v>43775</v>
      </c>
      <c r="B222">
        <v>307</v>
      </c>
      <c r="C222">
        <v>306.39999999999998</v>
      </c>
      <c r="D222">
        <v>307.25</v>
      </c>
      <c r="E222">
        <v>306.39999999999998</v>
      </c>
      <c r="G222" s="9">
        <v>3.5999999999999999E-3</v>
      </c>
    </row>
    <row r="223" spans="1:7" x14ac:dyDescent="0.3">
      <c r="A223" s="4">
        <v>43776</v>
      </c>
      <c r="B223">
        <v>306</v>
      </c>
      <c r="C223">
        <v>306.5</v>
      </c>
      <c r="D223">
        <v>306.75</v>
      </c>
      <c r="E223">
        <v>306.47500000000002</v>
      </c>
      <c r="G223" s="9">
        <v>0</v>
      </c>
    </row>
    <row r="224" spans="1:7" x14ac:dyDescent="0.3">
      <c r="A224" s="4">
        <v>43778</v>
      </c>
      <c r="B224">
        <v>305.8</v>
      </c>
      <c r="C224">
        <v>306.39999999999998</v>
      </c>
      <c r="D224">
        <v>306.7</v>
      </c>
      <c r="E224">
        <v>306.3</v>
      </c>
      <c r="G224" s="9">
        <v>-2.9999999999999997E-4</v>
      </c>
    </row>
    <row r="225" spans="1:7" x14ac:dyDescent="0.3">
      <c r="A225" s="4">
        <v>43779</v>
      </c>
      <c r="B225">
        <v>305.95</v>
      </c>
      <c r="C225">
        <v>306.5</v>
      </c>
      <c r="D225">
        <v>306.72500000000002</v>
      </c>
      <c r="E225">
        <v>306.42500000000001</v>
      </c>
      <c r="G225" s="9">
        <v>-2.0000000000000001E-4</v>
      </c>
    </row>
    <row r="226" spans="1:7" x14ac:dyDescent="0.3">
      <c r="A226" s="4">
        <v>43780</v>
      </c>
      <c r="B226">
        <v>306.89999999999998</v>
      </c>
      <c r="C226">
        <v>307.39999999999998</v>
      </c>
      <c r="D226">
        <v>307.45</v>
      </c>
      <c r="E226">
        <v>306.7</v>
      </c>
      <c r="G226" s="9">
        <v>0</v>
      </c>
    </row>
    <row r="227" spans="1:7" x14ac:dyDescent="0.3">
      <c r="A227" s="4">
        <v>43781</v>
      </c>
      <c r="B227">
        <v>305.88</v>
      </c>
      <c r="C227">
        <v>306.38</v>
      </c>
      <c r="D227">
        <v>306.7</v>
      </c>
      <c r="E227">
        <v>306.38</v>
      </c>
      <c r="G227" s="9">
        <v>0</v>
      </c>
    </row>
    <row r="228" spans="1:7" x14ac:dyDescent="0.3">
      <c r="A228" s="4">
        <v>43782</v>
      </c>
      <c r="B228">
        <v>306.89999999999998</v>
      </c>
      <c r="C228">
        <v>306.7</v>
      </c>
      <c r="D228">
        <v>307.45</v>
      </c>
      <c r="E228">
        <v>306.64999999999998</v>
      </c>
      <c r="G228" s="9">
        <v>0</v>
      </c>
    </row>
    <row r="229" spans="1:7" x14ac:dyDescent="0.3">
      <c r="A229" s="4">
        <v>43783</v>
      </c>
      <c r="B229">
        <v>306.89999999999998</v>
      </c>
      <c r="C229">
        <v>307.39999999999998</v>
      </c>
      <c r="D229">
        <v>307.45</v>
      </c>
      <c r="E229">
        <v>306.64999999999998</v>
      </c>
      <c r="G229" s="9">
        <v>0</v>
      </c>
    </row>
    <row r="230" spans="1:7" x14ac:dyDescent="0.3">
      <c r="A230" s="4">
        <v>43784</v>
      </c>
      <c r="B230">
        <v>306.95</v>
      </c>
      <c r="C230">
        <v>307.39999999999998</v>
      </c>
      <c r="D230">
        <v>307.45</v>
      </c>
      <c r="E230">
        <v>306.7</v>
      </c>
      <c r="G230" s="9">
        <v>2.0000000000000001E-4</v>
      </c>
    </row>
    <row r="231" spans="1:7" x14ac:dyDescent="0.3">
      <c r="A231" s="4">
        <v>43787</v>
      </c>
      <c r="B231">
        <v>306.95</v>
      </c>
      <c r="C231">
        <v>307.45</v>
      </c>
      <c r="D231">
        <v>307.45</v>
      </c>
      <c r="E231">
        <v>306.64999999999998</v>
      </c>
      <c r="G231" s="9">
        <v>0</v>
      </c>
    </row>
    <row r="232" spans="1:7" x14ac:dyDescent="0.3">
      <c r="A232" s="4">
        <v>43788</v>
      </c>
      <c r="B232">
        <v>306.95</v>
      </c>
      <c r="C232">
        <v>307.45</v>
      </c>
      <c r="D232">
        <v>307.45</v>
      </c>
      <c r="E232">
        <v>306.7</v>
      </c>
      <c r="G232" s="9">
        <v>0</v>
      </c>
    </row>
    <row r="233" spans="1:7" x14ac:dyDescent="0.3">
      <c r="A233" s="4">
        <v>43789</v>
      </c>
      <c r="B233">
        <v>306.95</v>
      </c>
      <c r="C233">
        <v>307.45</v>
      </c>
      <c r="D233">
        <v>307.45</v>
      </c>
      <c r="E233">
        <v>306.7</v>
      </c>
      <c r="G233" s="9">
        <v>0</v>
      </c>
    </row>
    <row r="234" spans="1:7" x14ac:dyDescent="0.3">
      <c r="A234" s="4">
        <v>43790</v>
      </c>
      <c r="B234">
        <v>305.95</v>
      </c>
      <c r="C234">
        <v>307.45</v>
      </c>
      <c r="D234">
        <v>307.45</v>
      </c>
      <c r="E234">
        <v>306.45</v>
      </c>
      <c r="G234" s="9">
        <v>-3.3E-3</v>
      </c>
    </row>
    <row r="235" spans="1:7" x14ac:dyDescent="0.3">
      <c r="A235" s="4">
        <v>43791</v>
      </c>
      <c r="B235">
        <v>305.89999999999998</v>
      </c>
      <c r="C235">
        <v>306.45</v>
      </c>
      <c r="D235">
        <v>307.2</v>
      </c>
      <c r="E235">
        <v>306.39999999999998</v>
      </c>
      <c r="G235" s="9">
        <v>-2.0000000000000001E-4</v>
      </c>
    </row>
    <row r="236" spans="1:7" x14ac:dyDescent="0.3">
      <c r="A236" s="4">
        <v>43794</v>
      </c>
      <c r="B236">
        <v>305.95</v>
      </c>
      <c r="C236">
        <v>306.39999999999998</v>
      </c>
      <c r="D236">
        <v>306.7</v>
      </c>
      <c r="E236">
        <v>306.39999999999998</v>
      </c>
      <c r="G236" s="9">
        <v>2.0000000000000001E-4</v>
      </c>
    </row>
    <row r="237" spans="1:7" x14ac:dyDescent="0.3">
      <c r="A237" s="4">
        <v>43795</v>
      </c>
      <c r="B237">
        <v>305.95</v>
      </c>
      <c r="C237">
        <v>306.45</v>
      </c>
      <c r="D237">
        <v>306.7</v>
      </c>
      <c r="E237">
        <v>306.42500000000001</v>
      </c>
      <c r="G237" s="9">
        <v>0</v>
      </c>
    </row>
    <row r="238" spans="1:7" x14ac:dyDescent="0.3">
      <c r="A238" s="4">
        <v>43796</v>
      </c>
      <c r="B238">
        <v>306</v>
      </c>
      <c r="C238">
        <v>306.45</v>
      </c>
      <c r="D238">
        <v>306.72500000000002</v>
      </c>
      <c r="E238">
        <v>306.39999999999998</v>
      </c>
      <c r="G238" s="9">
        <v>2.0000000000000001E-4</v>
      </c>
    </row>
    <row r="239" spans="1:7" x14ac:dyDescent="0.3">
      <c r="A239" s="4">
        <v>43797</v>
      </c>
      <c r="B239">
        <v>306</v>
      </c>
      <c r="C239">
        <v>306.5</v>
      </c>
      <c r="D239">
        <v>306.72500000000002</v>
      </c>
      <c r="E239">
        <v>306.47500000000002</v>
      </c>
      <c r="G239" s="9">
        <v>0</v>
      </c>
    </row>
    <row r="240" spans="1:7" x14ac:dyDescent="0.3">
      <c r="A240" s="4">
        <v>43798</v>
      </c>
      <c r="B240">
        <v>306</v>
      </c>
      <c r="C240">
        <v>306.7</v>
      </c>
      <c r="D240">
        <v>306.72500000000002</v>
      </c>
      <c r="E240">
        <v>306.42500000000001</v>
      </c>
      <c r="G240" s="9">
        <v>0</v>
      </c>
    </row>
    <row r="241" spans="1:7" x14ac:dyDescent="0.3">
      <c r="A241" s="4">
        <v>43801</v>
      </c>
      <c r="B241">
        <v>306.18</v>
      </c>
      <c r="C241">
        <v>306.2</v>
      </c>
      <c r="D241">
        <v>315</v>
      </c>
      <c r="E241">
        <v>306.18</v>
      </c>
      <c r="G241" s="9">
        <v>-1E-4</v>
      </c>
    </row>
    <row r="242" spans="1:7" x14ac:dyDescent="0.3">
      <c r="A242" s="4">
        <v>43802</v>
      </c>
      <c r="B242">
        <v>305.95</v>
      </c>
      <c r="C242">
        <v>306.39999999999998</v>
      </c>
      <c r="D242">
        <v>314.75</v>
      </c>
      <c r="E242">
        <v>306.38</v>
      </c>
      <c r="G242" s="9">
        <v>-1.5E-3</v>
      </c>
    </row>
    <row r="243" spans="1:7" x14ac:dyDescent="0.3">
      <c r="A243" s="4">
        <v>43803</v>
      </c>
      <c r="B243">
        <v>306</v>
      </c>
      <c r="C243">
        <v>306.5</v>
      </c>
      <c r="D243">
        <v>314.75</v>
      </c>
      <c r="E243">
        <v>305</v>
      </c>
      <c r="G243" s="9">
        <v>0</v>
      </c>
    </row>
    <row r="244" spans="1:7" x14ac:dyDescent="0.3">
      <c r="A244" s="4">
        <v>43805</v>
      </c>
      <c r="B244">
        <v>306</v>
      </c>
      <c r="C244">
        <v>306.5</v>
      </c>
      <c r="D244">
        <v>306.72500000000002</v>
      </c>
      <c r="E244">
        <v>306.45</v>
      </c>
      <c r="G244" s="9">
        <v>-3.3E-3</v>
      </c>
    </row>
    <row r="245" spans="1:7" x14ac:dyDescent="0.3">
      <c r="A245" s="4">
        <v>43806</v>
      </c>
      <c r="B245">
        <v>306</v>
      </c>
      <c r="C245">
        <v>306.5</v>
      </c>
      <c r="D245">
        <v>307.25</v>
      </c>
      <c r="E245">
        <v>306.47500000000002</v>
      </c>
      <c r="G245" s="9">
        <v>0</v>
      </c>
    </row>
    <row r="246" spans="1:7" x14ac:dyDescent="0.3">
      <c r="A246" s="4">
        <v>43807</v>
      </c>
      <c r="B246">
        <v>305.88</v>
      </c>
      <c r="C246">
        <v>306.7</v>
      </c>
      <c r="D246">
        <v>306.7</v>
      </c>
      <c r="E246">
        <v>306.38</v>
      </c>
      <c r="G246" s="9">
        <v>-1E-4</v>
      </c>
    </row>
    <row r="247" spans="1:7" x14ac:dyDescent="0.3">
      <c r="A247" s="4">
        <v>43808</v>
      </c>
      <c r="B247">
        <v>305.85000000000002</v>
      </c>
      <c r="C247">
        <v>306.3</v>
      </c>
      <c r="D247">
        <v>307.2</v>
      </c>
      <c r="E247">
        <v>306.3</v>
      </c>
      <c r="G247" s="9">
        <v>2.0000000000000001E-4</v>
      </c>
    </row>
    <row r="248" spans="1:7" x14ac:dyDescent="0.3">
      <c r="A248" s="4">
        <v>43810</v>
      </c>
      <c r="B248">
        <v>306.89999999999998</v>
      </c>
      <c r="C248">
        <v>307.39999999999998</v>
      </c>
      <c r="D248">
        <v>307.45</v>
      </c>
      <c r="E248">
        <v>306.64999999999998</v>
      </c>
      <c r="G248" s="9">
        <v>0</v>
      </c>
    </row>
    <row r="249" spans="1:7" x14ac:dyDescent="0.3">
      <c r="A249" s="4">
        <v>43811</v>
      </c>
      <c r="B249">
        <v>305.89999999999998</v>
      </c>
      <c r="C249">
        <v>306.7</v>
      </c>
      <c r="D249">
        <v>307.2</v>
      </c>
      <c r="E249">
        <v>306.38</v>
      </c>
      <c r="G249" s="9">
        <v>1E-4</v>
      </c>
    </row>
    <row r="250" spans="1:7" x14ac:dyDescent="0.3">
      <c r="A250" s="4">
        <v>43812</v>
      </c>
      <c r="B250">
        <v>305.95</v>
      </c>
      <c r="C250">
        <v>306.39999999999998</v>
      </c>
      <c r="D250">
        <v>306.7</v>
      </c>
      <c r="E250">
        <v>306.39999999999998</v>
      </c>
      <c r="G250" s="9">
        <v>2.0000000000000001E-4</v>
      </c>
    </row>
    <row r="251" spans="1:7" x14ac:dyDescent="0.3">
      <c r="A251" s="4">
        <v>43815</v>
      </c>
      <c r="B251">
        <v>305.85000000000002</v>
      </c>
      <c r="C251">
        <v>306.45</v>
      </c>
      <c r="D251">
        <v>306.7</v>
      </c>
      <c r="E251">
        <v>306.35000000000002</v>
      </c>
      <c r="G251" s="9">
        <v>-2.9999999999999997E-4</v>
      </c>
    </row>
    <row r="252" spans="1:7" x14ac:dyDescent="0.3">
      <c r="A252" s="4">
        <v>43816</v>
      </c>
      <c r="B252">
        <v>305.89999999999998</v>
      </c>
      <c r="C252">
        <v>306.35000000000002</v>
      </c>
      <c r="D252">
        <v>306.7</v>
      </c>
      <c r="E252">
        <v>306.35000000000002</v>
      </c>
      <c r="G252" s="9">
        <v>2.0000000000000001E-4</v>
      </c>
    </row>
    <row r="253" spans="1:7" x14ac:dyDescent="0.3">
      <c r="A253" s="4">
        <v>43817</v>
      </c>
      <c r="B253">
        <v>305.95</v>
      </c>
      <c r="C253">
        <v>306.39999999999998</v>
      </c>
      <c r="D253">
        <v>306.7</v>
      </c>
      <c r="E253">
        <v>306.39999999999998</v>
      </c>
      <c r="G253" s="9">
        <v>2.0000000000000001E-4</v>
      </c>
    </row>
    <row r="254" spans="1:7" x14ac:dyDescent="0.3">
      <c r="A254" s="4">
        <v>43818</v>
      </c>
      <c r="B254">
        <v>305.89999999999998</v>
      </c>
      <c r="C254">
        <v>306.7</v>
      </c>
      <c r="D254">
        <v>306.7</v>
      </c>
      <c r="E254">
        <v>306.39999999999998</v>
      </c>
      <c r="G254" s="9">
        <v>-2.0000000000000001E-4</v>
      </c>
    </row>
    <row r="255" spans="1:7" x14ac:dyDescent="0.3">
      <c r="A255" s="4">
        <v>43819</v>
      </c>
      <c r="B255">
        <v>305.89999999999998</v>
      </c>
      <c r="C255">
        <v>306.39999999999998</v>
      </c>
      <c r="D255">
        <v>306.7</v>
      </c>
      <c r="E255">
        <v>306.39999999999998</v>
      </c>
      <c r="G255" s="9">
        <v>0</v>
      </c>
    </row>
    <row r="256" spans="1:7" x14ac:dyDescent="0.3">
      <c r="A256" s="4">
        <v>43822</v>
      </c>
      <c r="B256">
        <v>305.95</v>
      </c>
      <c r="C256">
        <v>306.39999999999998</v>
      </c>
      <c r="D256">
        <v>306.7</v>
      </c>
      <c r="E256">
        <v>306.39999999999998</v>
      </c>
      <c r="G256" s="9">
        <v>2.0000000000000001E-4</v>
      </c>
    </row>
    <row r="257" spans="1:7" x14ac:dyDescent="0.3">
      <c r="A257" s="4">
        <v>43823</v>
      </c>
      <c r="B257">
        <v>306</v>
      </c>
      <c r="C257">
        <v>306.45</v>
      </c>
      <c r="D257">
        <v>306.72500000000002</v>
      </c>
      <c r="E257">
        <v>306.39999999999998</v>
      </c>
      <c r="G257" s="9">
        <v>2.0000000000000001E-4</v>
      </c>
    </row>
    <row r="258" spans="1:7" x14ac:dyDescent="0.3">
      <c r="A258" s="4">
        <v>43824</v>
      </c>
      <c r="B258">
        <v>306</v>
      </c>
      <c r="C258">
        <v>306.5</v>
      </c>
      <c r="D258">
        <v>306.72500000000002</v>
      </c>
      <c r="E258">
        <v>306.47500000000002</v>
      </c>
      <c r="G258" s="9">
        <v>0</v>
      </c>
    </row>
    <row r="259" spans="1:7" x14ac:dyDescent="0.3">
      <c r="A259" s="4">
        <v>43825</v>
      </c>
      <c r="B259">
        <v>306</v>
      </c>
      <c r="C259">
        <v>306.7</v>
      </c>
      <c r="D259">
        <v>306.75</v>
      </c>
      <c r="E259">
        <v>306.47500000000002</v>
      </c>
      <c r="G259" s="9">
        <v>0</v>
      </c>
    </row>
    <row r="260" spans="1:7" x14ac:dyDescent="0.3">
      <c r="A260" s="4">
        <v>43826</v>
      </c>
      <c r="B260">
        <v>306</v>
      </c>
      <c r="C260">
        <v>306.5</v>
      </c>
      <c r="D260">
        <v>306.72500000000002</v>
      </c>
      <c r="E260">
        <v>306.45</v>
      </c>
      <c r="G260" s="9">
        <v>0</v>
      </c>
    </row>
    <row r="261" spans="1:7" x14ac:dyDescent="0.3">
      <c r="A261" s="4">
        <v>43829</v>
      </c>
      <c r="B261">
        <v>306</v>
      </c>
      <c r="C261">
        <v>306.5</v>
      </c>
      <c r="D261">
        <v>306.75</v>
      </c>
      <c r="E261">
        <v>306.45</v>
      </c>
      <c r="G261" s="9">
        <v>0</v>
      </c>
    </row>
    <row r="262" spans="1:7" x14ac:dyDescent="0.3">
      <c r="A262" s="4">
        <v>43830</v>
      </c>
      <c r="B262">
        <v>306</v>
      </c>
      <c r="C262">
        <v>306.5</v>
      </c>
      <c r="D262">
        <v>306.72500000000002</v>
      </c>
      <c r="E262">
        <v>306.45</v>
      </c>
      <c r="G262" s="9">
        <v>0</v>
      </c>
    </row>
    <row r="263" spans="1:7" x14ac:dyDescent="0.3">
      <c r="A263" s="4">
        <v>43831</v>
      </c>
      <c r="B263">
        <v>306</v>
      </c>
      <c r="C263">
        <v>306.5</v>
      </c>
      <c r="D263">
        <v>306.72500000000002</v>
      </c>
      <c r="E263">
        <v>306.47500000000002</v>
      </c>
      <c r="G263" s="9">
        <v>0</v>
      </c>
    </row>
    <row r="264" spans="1:7" x14ac:dyDescent="0.3">
      <c r="A264" s="4">
        <v>43834</v>
      </c>
      <c r="B264">
        <v>360</v>
      </c>
      <c r="C264">
        <v>360.5</v>
      </c>
      <c r="D264">
        <v>361.25</v>
      </c>
      <c r="E264">
        <v>360.5</v>
      </c>
      <c r="F264" t="s">
        <v>6206</v>
      </c>
      <c r="G264" s="9">
        <v>0</v>
      </c>
    </row>
    <row r="265" spans="1:7" x14ac:dyDescent="0.3">
      <c r="A265" s="4">
        <v>43835</v>
      </c>
      <c r="B265">
        <v>360</v>
      </c>
      <c r="C265">
        <v>360.5</v>
      </c>
      <c r="D265">
        <v>360.5</v>
      </c>
      <c r="E265">
        <v>360.5</v>
      </c>
      <c r="G265" s="9">
        <v>0</v>
      </c>
    </row>
    <row r="266" spans="1:7" x14ac:dyDescent="0.3">
      <c r="A266" s="4">
        <v>43836</v>
      </c>
      <c r="B266">
        <v>360</v>
      </c>
      <c r="C266">
        <v>360.5</v>
      </c>
      <c r="D266">
        <v>361.25</v>
      </c>
      <c r="E266">
        <v>360.5</v>
      </c>
      <c r="F266" t="s">
        <v>6207</v>
      </c>
      <c r="G266" s="9">
        <v>0</v>
      </c>
    </row>
    <row r="267" spans="1:7" x14ac:dyDescent="0.3">
      <c r="A267" s="4">
        <v>43837</v>
      </c>
      <c r="B267">
        <v>360</v>
      </c>
      <c r="C267">
        <v>360.5</v>
      </c>
      <c r="D267">
        <v>360.5</v>
      </c>
      <c r="E267">
        <v>360.5</v>
      </c>
      <c r="G267" s="9">
        <v>0</v>
      </c>
    </row>
    <row r="268" spans="1:7" x14ac:dyDescent="0.3">
      <c r="A268" s="4">
        <v>43839</v>
      </c>
      <c r="B268">
        <v>380.7</v>
      </c>
      <c r="C268">
        <v>381.2</v>
      </c>
      <c r="D268">
        <v>381.35</v>
      </c>
      <c r="E268">
        <v>380.25</v>
      </c>
      <c r="F268" t="s">
        <v>6206</v>
      </c>
      <c r="G268" s="9">
        <v>0</v>
      </c>
    </row>
    <row r="269" spans="1:7" x14ac:dyDescent="0.3">
      <c r="A269" s="4">
        <v>43840</v>
      </c>
      <c r="B269">
        <v>380.6</v>
      </c>
      <c r="C269">
        <v>381.1</v>
      </c>
      <c r="D269">
        <v>381.1</v>
      </c>
      <c r="E269">
        <v>381.1</v>
      </c>
      <c r="G269" s="9">
        <v>0</v>
      </c>
    </row>
    <row r="270" spans="1:7" x14ac:dyDescent="0.3">
      <c r="A270" s="4">
        <v>43842</v>
      </c>
      <c r="B270">
        <v>380.7</v>
      </c>
      <c r="C270">
        <v>381.2</v>
      </c>
      <c r="D270">
        <v>381.2</v>
      </c>
      <c r="E270">
        <v>381.2</v>
      </c>
      <c r="G270" s="9">
        <v>0</v>
      </c>
    </row>
    <row r="271" spans="1:7" x14ac:dyDescent="0.3">
      <c r="A271" s="4">
        <v>43843</v>
      </c>
      <c r="B271">
        <v>305.89999999999998</v>
      </c>
      <c r="C271">
        <v>306.39999999999998</v>
      </c>
      <c r="D271">
        <v>306.7</v>
      </c>
      <c r="E271">
        <v>306.39999999999998</v>
      </c>
      <c r="G271" s="9">
        <v>0</v>
      </c>
    </row>
    <row r="272" spans="1:7" x14ac:dyDescent="0.3">
      <c r="A272" s="4">
        <v>43844</v>
      </c>
      <c r="B272">
        <v>305.89999999999998</v>
      </c>
      <c r="C272">
        <v>306.39999999999998</v>
      </c>
      <c r="D272">
        <v>306.7</v>
      </c>
      <c r="E272">
        <v>306.39999999999998</v>
      </c>
      <c r="G272" s="9">
        <v>0</v>
      </c>
    </row>
    <row r="273" spans="1:7" x14ac:dyDescent="0.3">
      <c r="A273" s="4">
        <v>43845</v>
      </c>
      <c r="B273">
        <v>305.89999999999998</v>
      </c>
      <c r="C273">
        <v>306.39999999999998</v>
      </c>
      <c r="D273">
        <v>306.7</v>
      </c>
      <c r="E273">
        <v>306.39999999999998</v>
      </c>
      <c r="G273" s="9">
        <v>0</v>
      </c>
    </row>
    <row r="274" spans="1:7" x14ac:dyDescent="0.3">
      <c r="A274" s="4">
        <v>43846</v>
      </c>
      <c r="B274">
        <v>305.88</v>
      </c>
      <c r="C274">
        <v>306.39999999999998</v>
      </c>
      <c r="D274">
        <v>306.7</v>
      </c>
      <c r="E274">
        <v>306.38</v>
      </c>
      <c r="G274" s="9">
        <v>-1E-4</v>
      </c>
    </row>
    <row r="275" spans="1:7" x14ac:dyDescent="0.3">
      <c r="A275" s="4">
        <v>43847</v>
      </c>
      <c r="B275">
        <v>305.88</v>
      </c>
      <c r="C275">
        <v>306.38</v>
      </c>
      <c r="D275">
        <v>306.7</v>
      </c>
      <c r="E275">
        <v>306.38</v>
      </c>
      <c r="G275" s="9">
        <v>0</v>
      </c>
    </row>
    <row r="276" spans="1:7" x14ac:dyDescent="0.3">
      <c r="A276" s="4">
        <v>43850</v>
      </c>
      <c r="B276">
        <v>305.95</v>
      </c>
      <c r="C276">
        <v>306.39999999999998</v>
      </c>
      <c r="D276">
        <v>306.7</v>
      </c>
      <c r="E276">
        <v>306.39999999999998</v>
      </c>
      <c r="G276" s="9">
        <v>2.0000000000000001E-4</v>
      </c>
    </row>
    <row r="277" spans="1:7" x14ac:dyDescent="0.3">
      <c r="A277" s="4">
        <v>43851</v>
      </c>
      <c r="B277">
        <v>305.95</v>
      </c>
      <c r="C277">
        <v>306.45</v>
      </c>
      <c r="D277">
        <v>306.7</v>
      </c>
      <c r="E277">
        <v>306.39999999999998</v>
      </c>
      <c r="G277" s="9">
        <v>0</v>
      </c>
    </row>
    <row r="278" spans="1:7" x14ac:dyDescent="0.3">
      <c r="A278" s="4">
        <v>43852</v>
      </c>
      <c r="B278">
        <v>305.95</v>
      </c>
      <c r="C278">
        <v>306.45</v>
      </c>
      <c r="D278">
        <v>306.7</v>
      </c>
      <c r="E278">
        <v>306.39999999999998</v>
      </c>
      <c r="G278" s="9">
        <v>0</v>
      </c>
    </row>
    <row r="279" spans="1:7" x14ac:dyDescent="0.3">
      <c r="A279" s="4">
        <v>43853</v>
      </c>
      <c r="B279">
        <v>305.95</v>
      </c>
      <c r="C279">
        <v>306.45</v>
      </c>
      <c r="D279">
        <v>306.7</v>
      </c>
      <c r="E279">
        <v>306.39999999999998</v>
      </c>
      <c r="F279" t="s">
        <v>6208</v>
      </c>
      <c r="G279" s="9">
        <v>0</v>
      </c>
    </row>
    <row r="280" spans="1:7" x14ac:dyDescent="0.3">
      <c r="A280" s="4">
        <v>43854</v>
      </c>
      <c r="B280">
        <v>305.95</v>
      </c>
      <c r="C280">
        <v>306.45</v>
      </c>
      <c r="D280">
        <v>306.7</v>
      </c>
      <c r="E280">
        <v>306.39999999999998</v>
      </c>
      <c r="F280" t="s">
        <v>6205</v>
      </c>
      <c r="G280" s="9">
        <v>0</v>
      </c>
    </row>
    <row r="281" spans="1:7" x14ac:dyDescent="0.3">
      <c r="A281" s="4">
        <v>43857</v>
      </c>
      <c r="B281">
        <v>305.92</v>
      </c>
      <c r="C281">
        <v>306.45</v>
      </c>
      <c r="D281">
        <v>306.7</v>
      </c>
      <c r="E281">
        <v>306.41000000000003</v>
      </c>
      <c r="F281" t="s">
        <v>6209</v>
      </c>
      <c r="G281" s="9">
        <v>-1E-4</v>
      </c>
    </row>
    <row r="282" spans="1:7" x14ac:dyDescent="0.3">
      <c r="A282" s="4">
        <v>43858</v>
      </c>
      <c r="B282">
        <v>305.89999999999998</v>
      </c>
      <c r="C282">
        <v>306.42</v>
      </c>
      <c r="D282">
        <v>306.7</v>
      </c>
      <c r="E282">
        <v>306.39999999999998</v>
      </c>
      <c r="F282" t="s">
        <v>6209</v>
      </c>
      <c r="G282" s="9">
        <v>-1E-4</v>
      </c>
    </row>
    <row r="283" spans="1:7" x14ac:dyDescent="0.3">
      <c r="A283" s="4">
        <v>43859</v>
      </c>
      <c r="B283">
        <v>306</v>
      </c>
      <c r="C283">
        <v>306.39999999999998</v>
      </c>
      <c r="D283">
        <v>307.25</v>
      </c>
      <c r="E283">
        <v>306.39999999999998</v>
      </c>
      <c r="F283" t="s">
        <v>6210</v>
      </c>
      <c r="G283" s="9">
        <v>2.9999999999999997E-4</v>
      </c>
    </row>
    <row r="284" spans="1:7" x14ac:dyDescent="0.3">
      <c r="A284" s="4">
        <v>43860</v>
      </c>
      <c r="B284">
        <v>306</v>
      </c>
      <c r="C284">
        <v>306.7</v>
      </c>
      <c r="D284">
        <v>307.25</v>
      </c>
      <c r="E284">
        <v>305.55</v>
      </c>
      <c r="F284" t="s">
        <v>6206</v>
      </c>
      <c r="G284" s="9">
        <v>0</v>
      </c>
    </row>
    <row r="285" spans="1:7" x14ac:dyDescent="0.3">
      <c r="A285" s="4">
        <v>43861</v>
      </c>
      <c r="B285">
        <v>306</v>
      </c>
      <c r="C285">
        <v>306.5</v>
      </c>
      <c r="D285">
        <v>307.25</v>
      </c>
      <c r="E285">
        <v>306.45</v>
      </c>
      <c r="F285" t="s">
        <v>6206</v>
      </c>
      <c r="G285" s="9">
        <v>0</v>
      </c>
    </row>
    <row r="286" spans="1:7" x14ac:dyDescent="0.3">
      <c r="A286" s="4">
        <v>43862</v>
      </c>
      <c r="B286">
        <v>307</v>
      </c>
      <c r="C286">
        <v>306.5</v>
      </c>
      <c r="D286">
        <v>307.5</v>
      </c>
      <c r="E286">
        <v>306.45</v>
      </c>
      <c r="G286" s="9">
        <v>3.3E-3</v>
      </c>
    </row>
    <row r="287" spans="1:7" x14ac:dyDescent="0.3">
      <c r="A287" s="4">
        <v>43864</v>
      </c>
      <c r="B287">
        <v>305.95</v>
      </c>
      <c r="C287">
        <v>306.39999999999998</v>
      </c>
      <c r="D287">
        <v>306.7</v>
      </c>
      <c r="E287">
        <v>306.39999999999998</v>
      </c>
      <c r="F287" t="s">
        <v>6205</v>
      </c>
      <c r="G287" s="9">
        <v>2.0000000000000001E-4</v>
      </c>
    </row>
    <row r="288" spans="1:7" x14ac:dyDescent="0.3">
      <c r="A288" s="4">
        <v>43865</v>
      </c>
      <c r="B288">
        <v>360</v>
      </c>
      <c r="C288">
        <v>360.5</v>
      </c>
      <c r="D288">
        <v>361.25</v>
      </c>
      <c r="E288">
        <v>360.25</v>
      </c>
      <c r="F288" t="s">
        <v>6206</v>
      </c>
      <c r="G288" s="9">
        <v>0</v>
      </c>
    </row>
    <row r="289" spans="1:7" x14ac:dyDescent="0.3">
      <c r="A289" s="4">
        <v>43867</v>
      </c>
      <c r="B289">
        <v>360</v>
      </c>
      <c r="C289">
        <v>360.5</v>
      </c>
      <c r="D289">
        <v>361.25</v>
      </c>
      <c r="E289">
        <v>360.5</v>
      </c>
      <c r="F289" t="s">
        <v>6206</v>
      </c>
      <c r="G289" s="9">
        <v>0</v>
      </c>
    </row>
    <row r="290" spans="1:7" x14ac:dyDescent="0.3">
      <c r="A290" s="4">
        <v>43868</v>
      </c>
      <c r="B290">
        <v>360</v>
      </c>
      <c r="C290">
        <v>360.5</v>
      </c>
      <c r="D290">
        <v>360.5</v>
      </c>
      <c r="E290">
        <v>360.5</v>
      </c>
      <c r="G290" s="9">
        <v>0</v>
      </c>
    </row>
    <row r="291" spans="1:7" x14ac:dyDescent="0.3">
      <c r="A291" s="4">
        <v>43870</v>
      </c>
      <c r="B291">
        <v>380.7</v>
      </c>
      <c r="C291">
        <v>381.2</v>
      </c>
      <c r="D291">
        <v>381.35</v>
      </c>
      <c r="E291">
        <v>380.25</v>
      </c>
      <c r="F291" t="s">
        <v>6206</v>
      </c>
      <c r="G291" s="9">
        <v>0</v>
      </c>
    </row>
    <row r="292" spans="1:7" x14ac:dyDescent="0.3">
      <c r="A292" s="4">
        <v>43871</v>
      </c>
      <c r="B292">
        <v>380.6</v>
      </c>
      <c r="C292">
        <v>381.1</v>
      </c>
      <c r="D292">
        <v>381.1</v>
      </c>
      <c r="E292">
        <v>381.1</v>
      </c>
      <c r="G292" s="9">
        <v>0</v>
      </c>
    </row>
    <row r="293" spans="1:7" x14ac:dyDescent="0.3">
      <c r="A293" s="4">
        <v>43872</v>
      </c>
      <c r="B293">
        <v>380.7</v>
      </c>
      <c r="C293">
        <v>381.2</v>
      </c>
      <c r="D293">
        <v>381.35</v>
      </c>
      <c r="E293">
        <v>380.25</v>
      </c>
      <c r="F293" t="s">
        <v>6206</v>
      </c>
      <c r="G293" s="9">
        <v>0</v>
      </c>
    </row>
    <row r="294" spans="1:7" x14ac:dyDescent="0.3">
      <c r="A294" s="4">
        <v>43873</v>
      </c>
      <c r="B294">
        <v>380.7</v>
      </c>
      <c r="C294">
        <v>381.2</v>
      </c>
      <c r="D294">
        <v>381.35</v>
      </c>
      <c r="E294">
        <v>381.1</v>
      </c>
      <c r="F294" t="s">
        <v>6206</v>
      </c>
      <c r="G294" s="9">
        <v>0</v>
      </c>
    </row>
    <row r="295" spans="1:7" x14ac:dyDescent="0.3">
      <c r="A295" s="4">
        <v>43874</v>
      </c>
      <c r="B295">
        <v>305.89999999999998</v>
      </c>
      <c r="C295">
        <v>306.39999999999998</v>
      </c>
      <c r="D295">
        <v>306.7</v>
      </c>
      <c r="E295">
        <v>306.39999999999998</v>
      </c>
      <c r="F295" t="s">
        <v>6205</v>
      </c>
      <c r="G295" s="9">
        <v>0</v>
      </c>
    </row>
    <row r="296" spans="1:7" x14ac:dyDescent="0.3">
      <c r="A296" s="4">
        <v>43875</v>
      </c>
      <c r="B296">
        <v>305.89999999999998</v>
      </c>
      <c r="C296">
        <v>306.39999999999998</v>
      </c>
      <c r="D296">
        <v>306.7</v>
      </c>
      <c r="E296">
        <v>306.39999999999998</v>
      </c>
      <c r="F296" t="s">
        <v>6208</v>
      </c>
      <c r="G296" s="9">
        <v>0</v>
      </c>
    </row>
    <row r="297" spans="1:7" x14ac:dyDescent="0.3">
      <c r="A297" s="4">
        <v>43878</v>
      </c>
      <c r="B297">
        <v>305.95</v>
      </c>
      <c r="C297">
        <v>306.39999999999998</v>
      </c>
      <c r="D297">
        <v>306.7</v>
      </c>
      <c r="E297">
        <v>306.39999999999998</v>
      </c>
      <c r="F297" t="s">
        <v>6205</v>
      </c>
      <c r="G297" s="9">
        <v>2.0000000000000001E-4</v>
      </c>
    </row>
    <row r="298" spans="1:7" x14ac:dyDescent="0.3">
      <c r="A298" s="4">
        <v>43879</v>
      </c>
      <c r="B298">
        <v>305.95</v>
      </c>
      <c r="C298">
        <v>306.45</v>
      </c>
      <c r="D298">
        <v>306.7</v>
      </c>
      <c r="E298">
        <v>306.42500000000001</v>
      </c>
      <c r="F298" t="s">
        <v>6205</v>
      </c>
      <c r="G298" s="9">
        <v>0</v>
      </c>
    </row>
    <row r="299" spans="1:7" x14ac:dyDescent="0.3">
      <c r="A299" s="4">
        <v>43880</v>
      </c>
      <c r="B299">
        <v>305.95</v>
      </c>
      <c r="C299">
        <v>306.7</v>
      </c>
      <c r="D299">
        <v>306.7</v>
      </c>
      <c r="E299">
        <v>306.39999999999998</v>
      </c>
      <c r="F299" t="s">
        <v>6206</v>
      </c>
      <c r="G299" s="9">
        <v>0</v>
      </c>
    </row>
    <row r="300" spans="1:7" x14ac:dyDescent="0.3">
      <c r="A300" s="4">
        <v>43881</v>
      </c>
      <c r="B300">
        <v>306</v>
      </c>
      <c r="C300">
        <v>306.45</v>
      </c>
      <c r="D300">
        <v>307.25</v>
      </c>
      <c r="E300">
        <v>306.39999999999998</v>
      </c>
      <c r="F300" t="s">
        <v>6210</v>
      </c>
      <c r="G300" s="9">
        <v>2.0000000000000001E-4</v>
      </c>
    </row>
    <row r="301" spans="1:7" x14ac:dyDescent="0.3">
      <c r="A301" s="4">
        <v>43882</v>
      </c>
      <c r="B301">
        <v>306</v>
      </c>
      <c r="C301">
        <v>306.5</v>
      </c>
      <c r="D301">
        <v>306.72500000000002</v>
      </c>
      <c r="E301">
        <v>306.39999999999998</v>
      </c>
      <c r="F301" t="s">
        <v>6205</v>
      </c>
      <c r="G301" s="9">
        <v>0</v>
      </c>
    </row>
    <row r="302" spans="1:7" x14ac:dyDescent="0.3">
      <c r="A302" s="4">
        <v>43885</v>
      </c>
      <c r="B302">
        <v>306</v>
      </c>
      <c r="C302">
        <v>306.5</v>
      </c>
      <c r="D302">
        <v>306.72500000000002</v>
      </c>
      <c r="E302">
        <v>306.45</v>
      </c>
      <c r="F302" t="s">
        <v>6206</v>
      </c>
      <c r="G302" s="9">
        <v>0</v>
      </c>
    </row>
    <row r="303" spans="1:7" x14ac:dyDescent="0.3">
      <c r="A303" s="4">
        <v>43886</v>
      </c>
      <c r="B303">
        <v>305.92</v>
      </c>
      <c r="C303">
        <v>306.5</v>
      </c>
      <c r="D303">
        <v>307.2</v>
      </c>
      <c r="E303">
        <v>306.41000000000003</v>
      </c>
      <c r="F303" t="s">
        <v>6205</v>
      </c>
      <c r="G303" s="9">
        <v>-2.9999999999999997E-4</v>
      </c>
    </row>
    <row r="304" spans="1:7" x14ac:dyDescent="0.3">
      <c r="A304" s="4">
        <v>43887</v>
      </c>
      <c r="B304">
        <v>305.95</v>
      </c>
      <c r="C304">
        <v>306.42</v>
      </c>
      <c r="D304">
        <v>306.7</v>
      </c>
      <c r="E304">
        <v>306.42</v>
      </c>
      <c r="F304" t="s">
        <v>6205</v>
      </c>
      <c r="G304" s="9">
        <v>1E-4</v>
      </c>
    </row>
    <row r="305" spans="1:7" x14ac:dyDescent="0.3">
      <c r="A305" s="4">
        <v>43888</v>
      </c>
      <c r="B305">
        <v>305.95</v>
      </c>
      <c r="C305">
        <v>306.45</v>
      </c>
      <c r="D305">
        <v>306.7</v>
      </c>
      <c r="E305">
        <v>306.42500000000001</v>
      </c>
      <c r="F305" t="s">
        <v>6206</v>
      </c>
      <c r="G305" s="9">
        <v>0</v>
      </c>
    </row>
    <row r="306" spans="1:7" x14ac:dyDescent="0.3">
      <c r="A306" s="4">
        <v>43889</v>
      </c>
      <c r="B306">
        <v>305.89999999999998</v>
      </c>
      <c r="C306">
        <v>306.45</v>
      </c>
      <c r="D306">
        <v>306.7</v>
      </c>
      <c r="E306">
        <v>306.39999999999998</v>
      </c>
      <c r="F306" t="s">
        <v>6206</v>
      </c>
      <c r="G306" s="9">
        <v>-2.0000000000000001E-4</v>
      </c>
    </row>
    <row r="307" spans="1:7" x14ac:dyDescent="0.3">
      <c r="A307" s="4">
        <v>43891</v>
      </c>
      <c r="B307">
        <v>306</v>
      </c>
      <c r="C307">
        <v>307.5</v>
      </c>
      <c r="D307">
        <v>307.5</v>
      </c>
      <c r="E307">
        <v>306.45</v>
      </c>
      <c r="G307" s="9">
        <v>-3.3E-3</v>
      </c>
    </row>
    <row r="308" spans="1:7" x14ac:dyDescent="0.3">
      <c r="A308" s="4">
        <v>43892</v>
      </c>
      <c r="B308">
        <v>306</v>
      </c>
      <c r="C308">
        <v>306.5</v>
      </c>
      <c r="D308">
        <v>306.72500000000002</v>
      </c>
      <c r="E308">
        <v>306.42500000000001</v>
      </c>
      <c r="F308" t="s">
        <v>6206</v>
      </c>
      <c r="G308" s="9">
        <v>0</v>
      </c>
    </row>
    <row r="309" spans="1:7" x14ac:dyDescent="0.3">
      <c r="A309" s="4">
        <v>43893</v>
      </c>
      <c r="B309">
        <v>306</v>
      </c>
      <c r="C309">
        <v>306.45</v>
      </c>
      <c r="D309">
        <v>306.72500000000002</v>
      </c>
      <c r="E309">
        <v>306.45</v>
      </c>
      <c r="F309" t="s">
        <v>6205</v>
      </c>
      <c r="G309" s="9">
        <v>2.0000000000000001E-4</v>
      </c>
    </row>
    <row r="310" spans="1:7" x14ac:dyDescent="0.3">
      <c r="A310" s="4">
        <v>43894</v>
      </c>
      <c r="B310">
        <v>360</v>
      </c>
      <c r="C310">
        <v>360.5</v>
      </c>
      <c r="D310">
        <v>361.25</v>
      </c>
      <c r="E310">
        <v>360.5</v>
      </c>
      <c r="F310" t="s">
        <v>6206</v>
      </c>
      <c r="G310" s="9">
        <v>0</v>
      </c>
    </row>
    <row r="311" spans="1:7" x14ac:dyDescent="0.3">
      <c r="A311" s="4">
        <v>43896</v>
      </c>
      <c r="B311">
        <v>360</v>
      </c>
      <c r="C311">
        <v>360.5</v>
      </c>
      <c r="D311">
        <v>361.25</v>
      </c>
      <c r="E311">
        <v>360.5</v>
      </c>
      <c r="F311" t="s">
        <v>6206</v>
      </c>
      <c r="G311" s="9">
        <v>0</v>
      </c>
    </row>
    <row r="312" spans="1:7" x14ac:dyDescent="0.3">
      <c r="A312" s="4">
        <v>43897</v>
      </c>
      <c r="B312">
        <v>360</v>
      </c>
      <c r="C312">
        <v>360.5</v>
      </c>
      <c r="D312">
        <v>360.5</v>
      </c>
      <c r="E312">
        <v>360.5</v>
      </c>
      <c r="G312" s="9">
        <v>0</v>
      </c>
    </row>
    <row r="313" spans="1:7" x14ac:dyDescent="0.3">
      <c r="A313" s="4">
        <v>43898</v>
      </c>
      <c r="B313">
        <v>380.5</v>
      </c>
      <c r="C313">
        <v>381</v>
      </c>
      <c r="D313">
        <v>381.25</v>
      </c>
      <c r="E313">
        <v>380.25</v>
      </c>
      <c r="F313" t="s">
        <v>6206</v>
      </c>
      <c r="G313" s="9">
        <v>0</v>
      </c>
    </row>
    <row r="314" spans="1:7" x14ac:dyDescent="0.3">
      <c r="A314" s="4">
        <v>43899</v>
      </c>
      <c r="B314">
        <v>380.7</v>
      </c>
      <c r="C314">
        <v>381.2</v>
      </c>
      <c r="D314">
        <v>381.35</v>
      </c>
      <c r="E314">
        <v>380.25</v>
      </c>
      <c r="F314" t="s">
        <v>6206</v>
      </c>
      <c r="G314" s="9">
        <v>0</v>
      </c>
    </row>
    <row r="315" spans="1:7" x14ac:dyDescent="0.3">
      <c r="A315" s="4">
        <v>43901</v>
      </c>
      <c r="B315">
        <v>380.7</v>
      </c>
      <c r="C315">
        <v>381.2</v>
      </c>
      <c r="D315">
        <v>381.2</v>
      </c>
      <c r="E315">
        <v>381.2</v>
      </c>
      <c r="G315" s="9">
        <v>0</v>
      </c>
    </row>
    <row r="316" spans="1:7" x14ac:dyDescent="0.3">
      <c r="A316" s="4">
        <v>43902</v>
      </c>
      <c r="B316">
        <v>380.7</v>
      </c>
      <c r="C316">
        <v>381.2</v>
      </c>
      <c r="D316">
        <v>381.2</v>
      </c>
      <c r="E316">
        <v>381.2</v>
      </c>
      <c r="G316" s="9">
        <v>0</v>
      </c>
    </row>
    <row r="317" spans="1:7" x14ac:dyDescent="0.3">
      <c r="A317" s="4">
        <v>43903</v>
      </c>
      <c r="B317">
        <v>306</v>
      </c>
      <c r="C317">
        <v>306.45</v>
      </c>
      <c r="D317">
        <v>306.72500000000002</v>
      </c>
      <c r="E317">
        <v>306.42500000000001</v>
      </c>
      <c r="F317" t="s">
        <v>6208</v>
      </c>
      <c r="G317" s="9">
        <v>2.0000000000000001E-4</v>
      </c>
    </row>
    <row r="318" spans="1:7" x14ac:dyDescent="0.3">
      <c r="A318" s="4">
        <v>43906</v>
      </c>
      <c r="B318">
        <v>306</v>
      </c>
      <c r="C318">
        <v>306.5</v>
      </c>
      <c r="D318">
        <v>306.72500000000002</v>
      </c>
      <c r="E318">
        <v>306.45</v>
      </c>
      <c r="F318" t="s">
        <v>6206</v>
      </c>
      <c r="G318" s="9">
        <v>0</v>
      </c>
    </row>
    <row r="319" spans="1:7" x14ac:dyDescent="0.3">
      <c r="A319" s="4">
        <v>43907</v>
      </c>
      <c r="B319">
        <v>305.95</v>
      </c>
      <c r="C319">
        <v>306.5</v>
      </c>
      <c r="D319">
        <v>306.72500000000002</v>
      </c>
      <c r="E319">
        <v>305.55</v>
      </c>
      <c r="F319" t="s">
        <v>6205</v>
      </c>
      <c r="G319" s="9">
        <v>-2.0000000000000001E-4</v>
      </c>
    </row>
    <row r="320" spans="1:7" x14ac:dyDescent="0.3">
      <c r="A320" s="4">
        <v>43908</v>
      </c>
      <c r="B320">
        <v>306</v>
      </c>
      <c r="C320">
        <v>306.45</v>
      </c>
      <c r="D320">
        <v>306.72500000000002</v>
      </c>
      <c r="E320">
        <v>306.45</v>
      </c>
      <c r="F320" t="s">
        <v>6206</v>
      </c>
      <c r="G320" s="9">
        <v>2.0000000000000001E-4</v>
      </c>
    </row>
    <row r="321" spans="1:7" x14ac:dyDescent="0.3">
      <c r="A321" s="4">
        <v>43909</v>
      </c>
      <c r="B321">
        <v>306</v>
      </c>
      <c r="C321">
        <v>306.5</v>
      </c>
      <c r="D321">
        <v>306.72500000000002</v>
      </c>
      <c r="E321">
        <v>306.47500000000002</v>
      </c>
      <c r="F321" t="s">
        <v>6206</v>
      </c>
      <c r="G321" s="9">
        <v>0</v>
      </c>
    </row>
    <row r="322" spans="1:7" x14ac:dyDescent="0.3">
      <c r="A322" s="4">
        <v>43910</v>
      </c>
      <c r="B322">
        <v>306</v>
      </c>
      <c r="C322">
        <v>306.5</v>
      </c>
      <c r="D322">
        <v>306.75</v>
      </c>
      <c r="E322">
        <v>305.55</v>
      </c>
      <c r="F322" t="s">
        <v>6205</v>
      </c>
      <c r="G322" s="9">
        <v>0</v>
      </c>
    </row>
    <row r="323" spans="1:7" x14ac:dyDescent="0.3">
      <c r="A323" s="4">
        <v>43913</v>
      </c>
      <c r="B323">
        <v>372</v>
      </c>
      <c r="C323">
        <v>306.5</v>
      </c>
      <c r="D323">
        <v>372.25</v>
      </c>
      <c r="E323">
        <v>306.45</v>
      </c>
      <c r="F323" t="s">
        <v>6206</v>
      </c>
      <c r="G323" s="9">
        <v>0.2157</v>
      </c>
    </row>
    <row r="324" spans="1:7" x14ac:dyDescent="0.3">
      <c r="A324" s="4">
        <v>43914</v>
      </c>
      <c r="B324">
        <v>360</v>
      </c>
      <c r="C324">
        <v>359.75</v>
      </c>
      <c r="D324">
        <v>380.25</v>
      </c>
      <c r="E324">
        <v>359.75</v>
      </c>
      <c r="F324" t="s">
        <v>6207</v>
      </c>
      <c r="G324" s="9">
        <v>-3.2300000000000002E-2</v>
      </c>
    </row>
    <row r="325" spans="1:7" x14ac:dyDescent="0.3">
      <c r="A325" s="4">
        <v>43915</v>
      </c>
      <c r="B325">
        <v>360</v>
      </c>
      <c r="C325">
        <v>360.5</v>
      </c>
      <c r="D325">
        <v>360.5</v>
      </c>
      <c r="E325">
        <v>360.5</v>
      </c>
      <c r="G325" s="9">
        <v>0</v>
      </c>
    </row>
    <row r="326" spans="1:7" x14ac:dyDescent="0.3">
      <c r="A326" s="4">
        <v>43916</v>
      </c>
      <c r="B326">
        <v>360</v>
      </c>
      <c r="C326">
        <v>360.5</v>
      </c>
      <c r="D326">
        <v>361.25</v>
      </c>
      <c r="E326">
        <v>360.25</v>
      </c>
      <c r="F326" t="s">
        <v>6206</v>
      </c>
      <c r="G326" s="9">
        <v>0</v>
      </c>
    </row>
    <row r="327" spans="1:7" x14ac:dyDescent="0.3">
      <c r="A327" s="4">
        <v>43917</v>
      </c>
      <c r="B327">
        <v>360</v>
      </c>
      <c r="C327">
        <v>360.5</v>
      </c>
      <c r="D327">
        <v>361.25</v>
      </c>
      <c r="E327">
        <v>360.5</v>
      </c>
      <c r="F327" t="s">
        <v>6207</v>
      </c>
      <c r="G327" s="9">
        <v>0</v>
      </c>
    </row>
    <row r="328" spans="1:7" x14ac:dyDescent="0.3">
      <c r="A328" s="4">
        <v>43920</v>
      </c>
      <c r="B328">
        <v>360</v>
      </c>
      <c r="C328">
        <v>360.5</v>
      </c>
      <c r="D328">
        <v>361.25</v>
      </c>
      <c r="E328">
        <v>360.5</v>
      </c>
      <c r="F328" t="s">
        <v>6206</v>
      </c>
      <c r="G328" s="9">
        <v>0</v>
      </c>
    </row>
    <row r="329" spans="1:7" x14ac:dyDescent="0.3">
      <c r="A329" s="4">
        <v>43921</v>
      </c>
      <c r="B329">
        <v>360</v>
      </c>
      <c r="C329">
        <v>360.5</v>
      </c>
      <c r="D329">
        <v>361.25</v>
      </c>
      <c r="E329">
        <v>360.5</v>
      </c>
      <c r="F329" t="s">
        <v>6207</v>
      </c>
      <c r="G329" s="9">
        <v>0</v>
      </c>
    </row>
    <row r="330" spans="1:7" x14ac:dyDescent="0.3">
      <c r="A330" s="4">
        <v>43923</v>
      </c>
      <c r="B330">
        <v>306</v>
      </c>
      <c r="C330">
        <v>306.7</v>
      </c>
      <c r="D330">
        <v>307.25</v>
      </c>
      <c r="E330">
        <v>306.45</v>
      </c>
      <c r="F330" t="s">
        <v>6208</v>
      </c>
      <c r="G330" s="9">
        <v>0</v>
      </c>
    </row>
    <row r="331" spans="1:7" x14ac:dyDescent="0.3">
      <c r="A331" s="4">
        <v>43924</v>
      </c>
      <c r="B331">
        <v>306</v>
      </c>
      <c r="C331">
        <v>306.5</v>
      </c>
      <c r="D331">
        <v>307.25</v>
      </c>
      <c r="E331">
        <v>306.47500000000002</v>
      </c>
      <c r="F331" t="s">
        <v>6206</v>
      </c>
      <c r="G331" s="9">
        <v>0</v>
      </c>
    </row>
    <row r="332" spans="1:7" x14ac:dyDescent="0.3">
      <c r="A332" s="4">
        <v>43926</v>
      </c>
      <c r="B332">
        <v>360</v>
      </c>
      <c r="C332">
        <v>360.5</v>
      </c>
      <c r="D332">
        <v>360.5</v>
      </c>
      <c r="E332">
        <v>360.5</v>
      </c>
      <c r="G332" s="9">
        <v>0</v>
      </c>
    </row>
    <row r="333" spans="1:7" x14ac:dyDescent="0.3">
      <c r="A333" s="4">
        <v>43927</v>
      </c>
      <c r="B333">
        <v>360</v>
      </c>
      <c r="C333">
        <v>360.5</v>
      </c>
      <c r="D333">
        <v>361.25</v>
      </c>
      <c r="E333">
        <v>360.5</v>
      </c>
      <c r="F333" t="s">
        <v>6206</v>
      </c>
      <c r="G333" s="9">
        <v>0</v>
      </c>
    </row>
    <row r="334" spans="1:7" x14ac:dyDescent="0.3">
      <c r="A334" s="4">
        <v>43929</v>
      </c>
      <c r="B334">
        <v>380.5</v>
      </c>
      <c r="C334">
        <v>381</v>
      </c>
      <c r="D334">
        <v>381.25</v>
      </c>
      <c r="E334">
        <v>380.25</v>
      </c>
      <c r="F334" t="s">
        <v>6206</v>
      </c>
      <c r="G334" s="9">
        <v>0</v>
      </c>
    </row>
    <row r="335" spans="1:7" x14ac:dyDescent="0.3">
      <c r="A335" s="4">
        <v>43930</v>
      </c>
      <c r="B335">
        <v>380.7</v>
      </c>
      <c r="C335">
        <v>381.2</v>
      </c>
      <c r="D335">
        <v>381.35</v>
      </c>
      <c r="E335">
        <v>380.25</v>
      </c>
      <c r="F335" t="s">
        <v>6206</v>
      </c>
      <c r="G335" s="9">
        <v>0</v>
      </c>
    </row>
    <row r="336" spans="1:7" x14ac:dyDescent="0.3">
      <c r="A336" s="4">
        <v>43932</v>
      </c>
      <c r="B336">
        <v>380.7</v>
      </c>
      <c r="C336">
        <v>381.2</v>
      </c>
      <c r="D336">
        <v>381.35</v>
      </c>
      <c r="E336">
        <v>381.1</v>
      </c>
      <c r="F336" t="s">
        <v>6207</v>
      </c>
      <c r="G336" s="9">
        <v>0</v>
      </c>
    </row>
    <row r="337" spans="1:7" x14ac:dyDescent="0.3">
      <c r="A337" s="4">
        <v>43933</v>
      </c>
      <c r="B337">
        <v>380.7</v>
      </c>
      <c r="C337">
        <v>381.2</v>
      </c>
      <c r="D337">
        <v>381.2</v>
      </c>
      <c r="E337">
        <v>380.75</v>
      </c>
      <c r="F337" t="s">
        <v>6206</v>
      </c>
      <c r="G337" s="9">
        <v>0</v>
      </c>
    </row>
    <row r="338" spans="1:7" x14ac:dyDescent="0.3">
      <c r="A338" s="4">
        <v>43934</v>
      </c>
      <c r="B338">
        <v>360</v>
      </c>
      <c r="C338">
        <v>360.5</v>
      </c>
      <c r="D338">
        <v>360.5</v>
      </c>
      <c r="E338">
        <v>360.5</v>
      </c>
      <c r="G338" s="9">
        <v>0</v>
      </c>
    </row>
    <row r="339" spans="1:7" x14ac:dyDescent="0.3">
      <c r="A339" s="4">
        <v>43935</v>
      </c>
      <c r="B339">
        <v>360</v>
      </c>
      <c r="C339">
        <v>360.5</v>
      </c>
      <c r="D339">
        <v>360.5</v>
      </c>
      <c r="E339">
        <v>360.5</v>
      </c>
      <c r="G339" s="9">
        <v>0</v>
      </c>
    </row>
    <row r="340" spans="1:7" x14ac:dyDescent="0.3">
      <c r="A340" s="4">
        <v>43936</v>
      </c>
      <c r="B340">
        <v>360</v>
      </c>
      <c r="C340">
        <v>360.5</v>
      </c>
      <c r="D340">
        <v>360.5</v>
      </c>
      <c r="E340">
        <v>360.5</v>
      </c>
      <c r="G340" s="9">
        <v>0</v>
      </c>
    </row>
    <row r="341" spans="1:7" x14ac:dyDescent="0.3">
      <c r="A341" s="4">
        <v>43937</v>
      </c>
      <c r="B341">
        <v>360</v>
      </c>
      <c r="C341">
        <v>360.5</v>
      </c>
      <c r="D341">
        <v>360.5</v>
      </c>
      <c r="E341">
        <v>360.25</v>
      </c>
      <c r="F341" t="s">
        <v>6206</v>
      </c>
      <c r="G341" s="9">
        <v>0</v>
      </c>
    </row>
    <row r="342" spans="1:7" x14ac:dyDescent="0.3">
      <c r="A342" s="4">
        <v>43938</v>
      </c>
      <c r="B342">
        <v>360</v>
      </c>
      <c r="C342">
        <v>360.5</v>
      </c>
      <c r="D342">
        <v>360.5</v>
      </c>
      <c r="E342">
        <v>360.5</v>
      </c>
      <c r="G342" s="9">
        <v>0</v>
      </c>
    </row>
    <row r="343" spans="1:7" x14ac:dyDescent="0.3">
      <c r="A343" s="4">
        <v>43941</v>
      </c>
      <c r="B343">
        <v>360</v>
      </c>
      <c r="C343">
        <v>360.5</v>
      </c>
      <c r="D343">
        <v>361.25</v>
      </c>
      <c r="E343">
        <v>360.5</v>
      </c>
      <c r="F343" t="s">
        <v>6206</v>
      </c>
      <c r="G343" s="9">
        <v>0</v>
      </c>
    </row>
    <row r="344" spans="1:7" x14ac:dyDescent="0.3">
      <c r="A344" s="4">
        <v>43942</v>
      </c>
      <c r="B344">
        <v>360</v>
      </c>
      <c r="C344">
        <v>360.5</v>
      </c>
      <c r="D344">
        <v>361.25</v>
      </c>
      <c r="E344">
        <v>360.25</v>
      </c>
      <c r="F344" t="s">
        <v>6206</v>
      </c>
      <c r="G344" s="9">
        <v>0</v>
      </c>
    </row>
    <row r="345" spans="1:7" x14ac:dyDescent="0.3">
      <c r="A345" s="4">
        <v>43943</v>
      </c>
      <c r="B345">
        <v>360</v>
      </c>
      <c r="C345">
        <v>360.5</v>
      </c>
      <c r="D345">
        <v>360.5</v>
      </c>
      <c r="E345">
        <v>360.5</v>
      </c>
      <c r="G345" s="9">
        <v>0</v>
      </c>
    </row>
    <row r="346" spans="1:7" x14ac:dyDescent="0.3">
      <c r="A346" s="4">
        <v>43944</v>
      </c>
      <c r="B346">
        <v>360</v>
      </c>
      <c r="C346">
        <v>360.5</v>
      </c>
      <c r="D346">
        <v>360.5</v>
      </c>
      <c r="E346">
        <v>360.5</v>
      </c>
      <c r="G346" s="9">
        <v>0</v>
      </c>
    </row>
    <row r="347" spans="1:7" x14ac:dyDescent="0.3">
      <c r="A347" s="4">
        <v>43945</v>
      </c>
      <c r="B347">
        <v>360</v>
      </c>
      <c r="C347">
        <v>360.5</v>
      </c>
      <c r="D347">
        <v>361.5</v>
      </c>
      <c r="E347">
        <v>360.25</v>
      </c>
      <c r="F347" t="s">
        <v>6206</v>
      </c>
      <c r="G347" s="9">
        <v>0</v>
      </c>
    </row>
    <row r="348" spans="1:7" x14ac:dyDescent="0.3">
      <c r="A348" s="4">
        <v>43948</v>
      </c>
      <c r="B348">
        <v>360</v>
      </c>
      <c r="C348">
        <v>360.5</v>
      </c>
      <c r="D348">
        <v>360.5</v>
      </c>
      <c r="E348">
        <v>360.5</v>
      </c>
      <c r="G348" s="9">
        <v>0</v>
      </c>
    </row>
    <row r="349" spans="1:7" x14ac:dyDescent="0.3">
      <c r="A349" s="4">
        <v>43949</v>
      </c>
      <c r="B349">
        <v>360</v>
      </c>
      <c r="C349">
        <v>360.5</v>
      </c>
      <c r="D349">
        <v>360.5</v>
      </c>
      <c r="E349">
        <v>360.5</v>
      </c>
      <c r="G349" s="9">
        <v>0</v>
      </c>
    </row>
    <row r="350" spans="1:7" x14ac:dyDescent="0.3">
      <c r="A350" s="4">
        <v>43950</v>
      </c>
      <c r="B350">
        <v>360</v>
      </c>
      <c r="C350">
        <v>360.5</v>
      </c>
      <c r="D350">
        <v>360.5</v>
      </c>
      <c r="E350">
        <v>360.5</v>
      </c>
      <c r="G350" s="9">
        <v>0</v>
      </c>
    </row>
    <row r="351" spans="1:7" x14ac:dyDescent="0.3">
      <c r="A351" s="4">
        <v>43951</v>
      </c>
      <c r="B351">
        <v>360</v>
      </c>
      <c r="C351">
        <v>360.5</v>
      </c>
      <c r="D351">
        <v>360.5</v>
      </c>
      <c r="E351">
        <v>360.5</v>
      </c>
      <c r="G351" s="9">
        <v>0</v>
      </c>
    </row>
    <row r="352" spans="1:7" x14ac:dyDescent="0.3">
      <c r="A352" s="4">
        <v>43953</v>
      </c>
      <c r="B352">
        <v>306</v>
      </c>
      <c r="C352">
        <v>306.5</v>
      </c>
      <c r="D352">
        <v>307.25</v>
      </c>
      <c r="E352">
        <v>306.45</v>
      </c>
      <c r="F352" t="s">
        <v>6206</v>
      </c>
      <c r="G352" s="9">
        <v>0</v>
      </c>
    </row>
    <row r="353" spans="1:7" x14ac:dyDescent="0.3">
      <c r="A353" s="4">
        <v>43954</v>
      </c>
      <c r="B353">
        <v>306</v>
      </c>
      <c r="C353">
        <v>306.5</v>
      </c>
      <c r="D353">
        <v>306.72500000000002</v>
      </c>
      <c r="E353">
        <v>306.47500000000002</v>
      </c>
      <c r="G353" s="9">
        <v>0</v>
      </c>
    </row>
    <row r="354" spans="1:7" x14ac:dyDescent="0.3">
      <c r="A354" s="4">
        <v>43956</v>
      </c>
      <c r="B354">
        <v>360</v>
      </c>
      <c r="C354">
        <v>360.5</v>
      </c>
      <c r="D354">
        <v>360.5</v>
      </c>
      <c r="E354">
        <v>360.5</v>
      </c>
      <c r="G354" s="9">
        <v>0</v>
      </c>
    </row>
    <row r="355" spans="1:7" x14ac:dyDescent="0.3">
      <c r="A355" s="4">
        <v>43957</v>
      </c>
      <c r="B355">
        <v>360</v>
      </c>
      <c r="C355">
        <v>360.5</v>
      </c>
      <c r="D355">
        <v>361.25</v>
      </c>
      <c r="E355">
        <v>360.5</v>
      </c>
      <c r="F355" t="s">
        <v>6206</v>
      </c>
      <c r="G355" s="9">
        <v>0</v>
      </c>
    </row>
    <row r="356" spans="1:7" x14ac:dyDescent="0.3">
      <c r="A356" s="4">
        <v>43959</v>
      </c>
      <c r="B356">
        <v>380.8</v>
      </c>
      <c r="C356">
        <v>381</v>
      </c>
      <c r="D356">
        <v>381.4</v>
      </c>
      <c r="E356">
        <v>380.75</v>
      </c>
      <c r="F356" t="s">
        <v>6205</v>
      </c>
      <c r="G356" s="9">
        <v>8.0000000000000004E-4</v>
      </c>
    </row>
    <row r="357" spans="1:7" x14ac:dyDescent="0.3">
      <c r="A357" s="4">
        <v>43961</v>
      </c>
      <c r="B357">
        <v>380.6</v>
      </c>
      <c r="C357">
        <v>381.1</v>
      </c>
      <c r="D357">
        <v>381.1</v>
      </c>
      <c r="E357">
        <v>381.1</v>
      </c>
      <c r="G357" s="9">
        <v>0</v>
      </c>
    </row>
    <row r="358" spans="1:7" x14ac:dyDescent="0.3">
      <c r="A358" s="4">
        <v>43962</v>
      </c>
      <c r="B358">
        <v>380.7</v>
      </c>
      <c r="C358">
        <v>381.2</v>
      </c>
      <c r="D358">
        <v>381.2</v>
      </c>
      <c r="E358">
        <v>380.25</v>
      </c>
      <c r="F358" t="s">
        <v>6207</v>
      </c>
      <c r="G358" s="9">
        <v>0</v>
      </c>
    </row>
    <row r="359" spans="1:7" x14ac:dyDescent="0.3">
      <c r="A359" s="4">
        <v>43964</v>
      </c>
      <c r="B359">
        <v>360</v>
      </c>
      <c r="C359">
        <v>360.5</v>
      </c>
      <c r="D359">
        <v>360.5</v>
      </c>
      <c r="E359">
        <v>360.5</v>
      </c>
      <c r="G359" s="9">
        <v>0</v>
      </c>
    </row>
    <row r="360" spans="1:7" x14ac:dyDescent="0.3">
      <c r="A360" s="4">
        <v>43965</v>
      </c>
      <c r="B360">
        <v>360</v>
      </c>
      <c r="C360">
        <v>360.5</v>
      </c>
      <c r="D360">
        <v>360.5</v>
      </c>
      <c r="E360">
        <v>360.5</v>
      </c>
      <c r="G360" s="9">
        <v>0</v>
      </c>
    </row>
    <row r="361" spans="1:7" x14ac:dyDescent="0.3">
      <c r="A361" s="4">
        <v>43966</v>
      </c>
      <c r="B361">
        <v>360</v>
      </c>
      <c r="C361">
        <v>360.5</v>
      </c>
      <c r="D361">
        <v>361.25</v>
      </c>
      <c r="E361">
        <v>360.25</v>
      </c>
      <c r="F361" t="s">
        <v>6206</v>
      </c>
      <c r="G361" s="9">
        <v>0</v>
      </c>
    </row>
    <row r="362" spans="1:7" x14ac:dyDescent="0.3">
      <c r="A362" s="4">
        <v>43969</v>
      </c>
      <c r="B362">
        <v>360</v>
      </c>
      <c r="C362">
        <v>360.5</v>
      </c>
      <c r="D362">
        <v>361.25</v>
      </c>
      <c r="E362">
        <v>360.25</v>
      </c>
      <c r="F362" t="s">
        <v>6206</v>
      </c>
      <c r="G362" s="9">
        <v>0</v>
      </c>
    </row>
    <row r="363" spans="1:7" x14ac:dyDescent="0.3">
      <c r="A363" s="4">
        <v>43970</v>
      </c>
      <c r="B363">
        <v>360</v>
      </c>
      <c r="C363">
        <v>360.5</v>
      </c>
      <c r="D363">
        <v>360.5</v>
      </c>
      <c r="E363">
        <v>360.5</v>
      </c>
      <c r="G363" s="9">
        <v>0</v>
      </c>
    </row>
    <row r="364" spans="1:7" x14ac:dyDescent="0.3">
      <c r="A364" s="4">
        <v>43971</v>
      </c>
      <c r="B364">
        <v>360</v>
      </c>
      <c r="C364">
        <v>360.5</v>
      </c>
      <c r="D364">
        <v>361.25</v>
      </c>
      <c r="E364">
        <v>360.5</v>
      </c>
      <c r="F364" t="s">
        <v>6206</v>
      </c>
      <c r="G364" s="9">
        <v>0</v>
      </c>
    </row>
    <row r="365" spans="1:7" x14ac:dyDescent="0.3">
      <c r="A365" s="4">
        <v>43972</v>
      </c>
      <c r="B365">
        <v>360</v>
      </c>
      <c r="C365">
        <v>360.5</v>
      </c>
      <c r="D365">
        <v>361.25</v>
      </c>
      <c r="E365">
        <v>360.25</v>
      </c>
      <c r="F365" t="s">
        <v>6206</v>
      </c>
      <c r="G365" s="9">
        <v>0</v>
      </c>
    </row>
    <row r="366" spans="1:7" x14ac:dyDescent="0.3">
      <c r="A366" s="4">
        <v>43973</v>
      </c>
      <c r="B366">
        <v>360</v>
      </c>
      <c r="C366">
        <v>360.5</v>
      </c>
      <c r="D366">
        <v>361.25</v>
      </c>
      <c r="E366">
        <v>360.5</v>
      </c>
      <c r="F366" t="s">
        <v>6207</v>
      </c>
      <c r="G366" s="9">
        <v>0</v>
      </c>
    </row>
    <row r="367" spans="1:7" x14ac:dyDescent="0.3">
      <c r="A367" s="4">
        <v>43976</v>
      </c>
      <c r="B367">
        <v>360</v>
      </c>
      <c r="C367">
        <v>360.5</v>
      </c>
      <c r="D367">
        <v>360.5</v>
      </c>
      <c r="E367">
        <v>360.5</v>
      </c>
      <c r="G367" s="9">
        <v>0</v>
      </c>
    </row>
    <row r="368" spans="1:7" x14ac:dyDescent="0.3">
      <c r="A368" s="4">
        <v>43977</v>
      </c>
      <c r="B368">
        <v>360</v>
      </c>
      <c r="C368">
        <v>360.5</v>
      </c>
      <c r="D368">
        <v>360.5</v>
      </c>
      <c r="E368">
        <v>360.5</v>
      </c>
      <c r="G368" s="9">
        <v>0</v>
      </c>
    </row>
    <row r="369" spans="1:7" x14ac:dyDescent="0.3">
      <c r="A369" s="4">
        <v>43978</v>
      </c>
      <c r="B369">
        <v>360</v>
      </c>
      <c r="C369">
        <v>360.5</v>
      </c>
      <c r="D369">
        <v>361.75</v>
      </c>
      <c r="E369">
        <v>360.5</v>
      </c>
      <c r="F369" t="s">
        <v>6206</v>
      </c>
      <c r="G369" s="9">
        <v>0</v>
      </c>
    </row>
    <row r="370" spans="1:7" x14ac:dyDescent="0.3">
      <c r="A370" s="4">
        <v>43979</v>
      </c>
      <c r="B370">
        <v>360</v>
      </c>
      <c r="C370">
        <v>360.5</v>
      </c>
      <c r="D370">
        <v>361.25</v>
      </c>
      <c r="E370">
        <v>360.5</v>
      </c>
      <c r="F370" t="s">
        <v>6206</v>
      </c>
      <c r="G370" s="9">
        <v>0</v>
      </c>
    </row>
    <row r="371" spans="1:7" x14ac:dyDescent="0.3">
      <c r="A371" s="4">
        <v>43980</v>
      </c>
      <c r="B371">
        <v>360</v>
      </c>
      <c r="C371">
        <v>360.5</v>
      </c>
      <c r="D371">
        <v>361.25</v>
      </c>
      <c r="E371">
        <v>360.25</v>
      </c>
      <c r="F371" t="s">
        <v>6206</v>
      </c>
      <c r="G371" s="9">
        <v>0</v>
      </c>
    </row>
    <row r="372" spans="1:7" x14ac:dyDescent="0.3">
      <c r="A372" s="4">
        <v>43983</v>
      </c>
      <c r="B372">
        <v>305.98</v>
      </c>
      <c r="C372">
        <v>306.5</v>
      </c>
      <c r="D372">
        <v>306.72500000000002</v>
      </c>
      <c r="E372">
        <v>306.44</v>
      </c>
      <c r="G372" s="9">
        <v>-1E-4</v>
      </c>
    </row>
    <row r="373" spans="1:7" x14ac:dyDescent="0.3">
      <c r="A373" s="4">
        <v>43984</v>
      </c>
      <c r="B373">
        <v>305.95</v>
      </c>
      <c r="C373">
        <v>306.5</v>
      </c>
      <c r="D373">
        <v>306.72500000000002</v>
      </c>
      <c r="E373">
        <v>306.42500000000001</v>
      </c>
      <c r="F373" t="s">
        <v>6208</v>
      </c>
      <c r="G373" s="9">
        <v>-2.0000000000000001E-4</v>
      </c>
    </row>
    <row r="374" spans="1:7" x14ac:dyDescent="0.3">
      <c r="A374" s="4">
        <v>43985</v>
      </c>
      <c r="B374">
        <v>306</v>
      </c>
      <c r="C374">
        <v>306.5</v>
      </c>
      <c r="D374">
        <v>307.25</v>
      </c>
      <c r="E374">
        <v>306.45</v>
      </c>
      <c r="F374" t="s">
        <v>6206</v>
      </c>
      <c r="G374" s="9">
        <v>0</v>
      </c>
    </row>
    <row r="375" spans="1:7" x14ac:dyDescent="0.3">
      <c r="A375" s="4">
        <v>43986</v>
      </c>
      <c r="B375">
        <v>360</v>
      </c>
      <c r="C375">
        <v>360.5</v>
      </c>
      <c r="D375">
        <v>360.5</v>
      </c>
      <c r="E375">
        <v>360.5</v>
      </c>
      <c r="G375" s="9">
        <v>0</v>
      </c>
    </row>
    <row r="376" spans="1:7" x14ac:dyDescent="0.3">
      <c r="A376" s="4">
        <v>43987</v>
      </c>
      <c r="B376">
        <v>360</v>
      </c>
      <c r="C376">
        <v>360.5</v>
      </c>
      <c r="D376">
        <v>360.5</v>
      </c>
      <c r="E376">
        <v>360.5</v>
      </c>
      <c r="G376" s="9">
        <v>0</v>
      </c>
    </row>
    <row r="377" spans="1:7" x14ac:dyDescent="0.3">
      <c r="A377" s="4">
        <v>43989</v>
      </c>
      <c r="B377">
        <v>360</v>
      </c>
      <c r="C377">
        <v>360.5</v>
      </c>
      <c r="D377">
        <v>361.25</v>
      </c>
      <c r="E377">
        <v>360.5</v>
      </c>
      <c r="F377" t="s">
        <v>6207</v>
      </c>
      <c r="G377" s="9">
        <v>0</v>
      </c>
    </row>
    <row r="378" spans="1:7" x14ac:dyDescent="0.3">
      <c r="A378" s="4">
        <v>43990</v>
      </c>
      <c r="B378">
        <v>380.75</v>
      </c>
      <c r="C378">
        <v>381.3</v>
      </c>
      <c r="D378">
        <v>381.4</v>
      </c>
      <c r="E378">
        <v>380.75</v>
      </c>
      <c r="F378" t="s">
        <v>6205</v>
      </c>
      <c r="G378" s="9">
        <v>-1E-4</v>
      </c>
    </row>
    <row r="379" spans="1:7" x14ac:dyDescent="0.3">
      <c r="A379" s="4">
        <v>43992</v>
      </c>
      <c r="B379">
        <v>380.6</v>
      </c>
      <c r="C379">
        <v>381.1</v>
      </c>
      <c r="D379">
        <v>381.1</v>
      </c>
      <c r="E379">
        <v>381.1</v>
      </c>
      <c r="G379" s="9">
        <v>0</v>
      </c>
    </row>
    <row r="380" spans="1:7" x14ac:dyDescent="0.3">
      <c r="A380" s="4">
        <v>43993</v>
      </c>
      <c r="B380">
        <v>380.7</v>
      </c>
      <c r="C380">
        <v>381.2</v>
      </c>
      <c r="D380">
        <v>381.2</v>
      </c>
      <c r="E380">
        <v>380.75</v>
      </c>
      <c r="F380" t="s">
        <v>6207</v>
      </c>
      <c r="G380" s="9">
        <v>0</v>
      </c>
    </row>
    <row r="381" spans="1:7" x14ac:dyDescent="0.3">
      <c r="A381" s="4">
        <v>43997</v>
      </c>
      <c r="B381">
        <v>360</v>
      </c>
      <c r="C381">
        <v>360.5</v>
      </c>
      <c r="D381">
        <v>361.25</v>
      </c>
      <c r="E381">
        <v>360.5</v>
      </c>
      <c r="F381" t="s">
        <v>6206</v>
      </c>
      <c r="G381" s="9">
        <v>0</v>
      </c>
    </row>
    <row r="382" spans="1:7" x14ac:dyDescent="0.3">
      <c r="A382" s="4">
        <v>43998</v>
      </c>
      <c r="B382">
        <v>360</v>
      </c>
      <c r="C382">
        <v>360.5</v>
      </c>
      <c r="D382">
        <v>361.25</v>
      </c>
      <c r="E382">
        <v>360.5</v>
      </c>
      <c r="F382" t="s">
        <v>6206</v>
      </c>
      <c r="G382" s="9">
        <v>0</v>
      </c>
    </row>
    <row r="383" spans="1:7" x14ac:dyDescent="0.3">
      <c r="A383" s="4">
        <v>43999</v>
      </c>
      <c r="B383">
        <v>360</v>
      </c>
      <c r="C383">
        <v>360.5</v>
      </c>
      <c r="D383">
        <v>361.25</v>
      </c>
      <c r="E383">
        <v>360.5</v>
      </c>
      <c r="F383" t="s">
        <v>6206</v>
      </c>
      <c r="G383" s="9">
        <v>0</v>
      </c>
    </row>
    <row r="384" spans="1:7" x14ac:dyDescent="0.3">
      <c r="A384" s="4">
        <v>44000</v>
      </c>
      <c r="B384">
        <v>360</v>
      </c>
      <c r="C384">
        <v>360.5</v>
      </c>
      <c r="D384">
        <v>361.25</v>
      </c>
      <c r="E384">
        <v>360.5</v>
      </c>
      <c r="F384" t="s">
        <v>6206</v>
      </c>
      <c r="G384" s="9">
        <v>0</v>
      </c>
    </row>
    <row r="385" spans="1:7" x14ac:dyDescent="0.3">
      <c r="A385" s="4">
        <v>44001</v>
      </c>
      <c r="B385">
        <v>360</v>
      </c>
      <c r="C385">
        <v>360.5</v>
      </c>
      <c r="D385">
        <v>361.25</v>
      </c>
      <c r="E385">
        <v>360.5</v>
      </c>
      <c r="F385" t="s">
        <v>6206</v>
      </c>
      <c r="G385" s="9">
        <v>0</v>
      </c>
    </row>
    <row r="386" spans="1:7" x14ac:dyDescent="0.3">
      <c r="A386" s="4">
        <v>44004</v>
      </c>
      <c r="B386">
        <v>360</v>
      </c>
      <c r="C386">
        <v>360.5</v>
      </c>
      <c r="D386">
        <v>361.25</v>
      </c>
      <c r="E386">
        <v>360.5</v>
      </c>
      <c r="F386" t="s">
        <v>6206</v>
      </c>
      <c r="G386" s="9">
        <v>0</v>
      </c>
    </row>
    <row r="387" spans="1:7" x14ac:dyDescent="0.3">
      <c r="A387" s="4">
        <v>44005</v>
      </c>
      <c r="B387">
        <v>360</v>
      </c>
      <c r="C387">
        <v>360.5</v>
      </c>
      <c r="D387">
        <v>361.25</v>
      </c>
      <c r="E387">
        <v>360.5</v>
      </c>
      <c r="F387" t="s">
        <v>6206</v>
      </c>
      <c r="G387" s="9">
        <v>0</v>
      </c>
    </row>
    <row r="388" spans="1:7" x14ac:dyDescent="0.3">
      <c r="A388" s="4">
        <v>44006</v>
      </c>
      <c r="B388">
        <v>360</v>
      </c>
      <c r="C388">
        <v>360.5</v>
      </c>
      <c r="D388">
        <v>361.25</v>
      </c>
      <c r="E388">
        <v>360.5</v>
      </c>
      <c r="F388" t="s">
        <v>6206</v>
      </c>
      <c r="G388" s="9">
        <v>0</v>
      </c>
    </row>
    <row r="389" spans="1:7" x14ac:dyDescent="0.3">
      <c r="A389" s="4">
        <v>44007</v>
      </c>
      <c r="B389">
        <v>360</v>
      </c>
      <c r="C389">
        <v>360.5</v>
      </c>
      <c r="D389">
        <v>361.25</v>
      </c>
      <c r="E389">
        <v>360.5</v>
      </c>
      <c r="F389" t="s">
        <v>6207</v>
      </c>
      <c r="G389" s="9">
        <v>0</v>
      </c>
    </row>
    <row r="390" spans="1:7" x14ac:dyDescent="0.3">
      <c r="A390" s="4">
        <v>44008</v>
      </c>
      <c r="B390">
        <v>360</v>
      </c>
      <c r="C390">
        <v>360.5</v>
      </c>
      <c r="D390">
        <v>360.5</v>
      </c>
      <c r="E390">
        <v>360.5</v>
      </c>
      <c r="G390" s="9">
        <v>0</v>
      </c>
    </row>
    <row r="391" spans="1:7" x14ac:dyDescent="0.3">
      <c r="A391" s="4">
        <v>44011</v>
      </c>
      <c r="B391">
        <v>360</v>
      </c>
      <c r="C391">
        <v>360.5</v>
      </c>
      <c r="D391">
        <v>361.25</v>
      </c>
      <c r="E391">
        <v>360.5</v>
      </c>
      <c r="F391" t="s">
        <v>6207</v>
      </c>
      <c r="G391" s="9">
        <v>0</v>
      </c>
    </row>
    <row r="392" spans="1:7" x14ac:dyDescent="0.3">
      <c r="A392" s="4">
        <v>44012</v>
      </c>
      <c r="B392">
        <v>360</v>
      </c>
      <c r="C392">
        <v>360.5</v>
      </c>
      <c r="D392">
        <v>361.25</v>
      </c>
      <c r="E392">
        <v>360.5</v>
      </c>
      <c r="F392" t="s">
        <v>6206</v>
      </c>
      <c r="G392" s="9">
        <v>0</v>
      </c>
    </row>
    <row r="393" spans="1:7" x14ac:dyDescent="0.3">
      <c r="A393" s="4">
        <v>44013</v>
      </c>
      <c r="B393">
        <v>306</v>
      </c>
      <c r="C393">
        <v>306.48</v>
      </c>
      <c r="D393">
        <v>306.72500000000002</v>
      </c>
      <c r="E393">
        <v>306.44</v>
      </c>
      <c r="G393" s="9">
        <v>1E-4</v>
      </c>
    </row>
    <row r="394" spans="1:7" x14ac:dyDescent="0.3">
      <c r="A394" s="4">
        <v>44014</v>
      </c>
      <c r="B394">
        <v>305.95</v>
      </c>
      <c r="C394">
        <v>306.45</v>
      </c>
      <c r="D394">
        <v>306.7</v>
      </c>
      <c r="E394">
        <v>306.39999999999998</v>
      </c>
      <c r="F394" t="s">
        <v>6208</v>
      </c>
      <c r="G394" s="9">
        <v>0</v>
      </c>
    </row>
    <row r="395" spans="1:7" x14ac:dyDescent="0.3">
      <c r="A395" s="4">
        <v>44016</v>
      </c>
      <c r="B395">
        <v>360</v>
      </c>
      <c r="C395">
        <v>360.5</v>
      </c>
      <c r="D395">
        <v>360.5</v>
      </c>
      <c r="E395">
        <v>360.5</v>
      </c>
      <c r="G395" s="9">
        <v>0</v>
      </c>
    </row>
    <row r="396" spans="1:7" x14ac:dyDescent="0.3">
      <c r="A396" s="4">
        <v>44017</v>
      </c>
      <c r="B396">
        <v>360</v>
      </c>
      <c r="C396">
        <v>360.5</v>
      </c>
      <c r="D396">
        <v>360.5</v>
      </c>
      <c r="E396">
        <v>360.5</v>
      </c>
      <c r="G396" s="9">
        <v>0</v>
      </c>
    </row>
    <row r="397" spans="1:7" x14ac:dyDescent="0.3">
      <c r="A397" s="4">
        <v>44019</v>
      </c>
      <c r="B397">
        <v>360</v>
      </c>
      <c r="C397">
        <v>360.5</v>
      </c>
      <c r="D397">
        <v>361.25</v>
      </c>
      <c r="E397">
        <v>360.5</v>
      </c>
      <c r="F397" t="s">
        <v>6206</v>
      </c>
      <c r="G397" s="9">
        <v>0</v>
      </c>
    </row>
    <row r="398" spans="1:7" x14ac:dyDescent="0.3">
      <c r="A398" s="4">
        <v>44020</v>
      </c>
      <c r="B398">
        <v>380.75</v>
      </c>
      <c r="C398">
        <v>381.25</v>
      </c>
      <c r="D398">
        <v>381.375</v>
      </c>
      <c r="E398">
        <v>380.25</v>
      </c>
      <c r="F398" t="s">
        <v>6207</v>
      </c>
      <c r="G398" s="9">
        <v>0</v>
      </c>
    </row>
    <row r="399" spans="1:7" x14ac:dyDescent="0.3">
      <c r="A399" s="4">
        <v>44021</v>
      </c>
      <c r="B399">
        <v>380.7</v>
      </c>
      <c r="C399">
        <v>381.2</v>
      </c>
      <c r="D399">
        <v>381.35</v>
      </c>
      <c r="E399">
        <v>380.25</v>
      </c>
      <c r="F399" t="s">
        <v>6206</v>
      </c>
      <c r="G399" s="9">
        <v>0</v>
      </c>
    </row>
    <row r="400" spans="1:7" x14ac:dyDescent="0.3">
      <c r="A400" s="4">
        <v>44022</v>
      </c>
      <c r="B400">
        <v>380.6</v>
      </c>
      <c r="C400">
        <v>381.1</v>
      </c>
      <c r="D400">
        <v>381.1</v>
      </c>
      <c r="E400">
        <v>381.1</v>
      </c>
      <c r="G400" s="9">
        <v>0</v>
      </c>
    </row>
    <row r="401" spans="1:7" x14ac:dyDescent="0.3">
      <c r="A401" s="4">
        <v>44024</v>
      </c>
      <c r="B401">
        <v>380.7</v>
      </c>
      <c r="C401">
        <v>381.2</v>
      </c>
      <c r="D401">
        <v>381.35</v>
      </c>
      <c r="E401">
        <v>380.75</v>
      </c>
      <c r="F401" t="s">
        <v>6206</v>
      </c>
      <c r="G401" s="9">
        <v>0</v>
      </c>
    </row>
    <row r="402" spans="1:7" x14ac:dyDescent="0.3">
      <c r="A402" s="4">
        <v>44025</v>
      </c>
      <c r="B402">
        <v>380.5</v>
      </c>
      <c r="C402">
        <v>380.75</v>
      </c>
      <c r="D402">
        <v>380.75</v>
      </c>
      <c r="E402">
        <v>380.75</v>
      </c>
      <c r="G402" s="9">
        <v>0</v>
      </c>
    </row>
    <row r="403" spans="1:7" x14ac:dyDescent="0.3">
      <c r="A403" s="4">
        <v>44026</v>
      </c>
      <c r="B403">
        <v>381</v>
      </c>
      <c r="C403">
        <v>380.75</v>
      </c>
      <c r="D403">
        <v>381.25</v>
      </c>
      <c r="E403">
        <v>380.75</v>
      </c>
      <c r="F403" t="s">
        <v>6207</v>
      </c>
      <c r="G403" s="9">
        <v>1.2999999999999999E-3</v>
      </c>
    </row>
    <row r="404" spans="1:7" x14ac:dyDescent="0.3">
      <c r="A404" s="4">
        <v>44027</v>
      </c>
      <c r="B404">
        <v>380.5</v>
      </c>
      <c r="C404">
        <v>381.25</v>
      </c>
      <c r="D404">
        <v>381.25</v>
      </c>
      <c r="E404">
        <v>380.75</v>
      </c>
      <c r="F404" t="s">
        <v>6207</v>
      </c>
      <c r="G404" s="9">
        <v>-1.2999999999999999E-3</v>
      </c>
    </row>
    <row r="405" spans="1:7" x14ac:dyDescent="0.3">
      <c r="A405" s="4">
        <v>44028</v>
      </c>
      <c r="B405">
        <v>380.5</v>
      </c>
      <c r="C405">
        <v>380.75</v>
      </c>
      <c r="D405">
        <v>380.75</v>
      </c>
      <c r="E405">
        <v>380.75</v>
      </c>
      <c r="F405" t="s">
        <v>6207</v>
      </c>
      <c r="G405" s="9">
        <v>0</v>
      </c>
    </row>
    <row r="406" spans="1:7" x14ac:dyDescent="0.3">
      <c r="A406" s="4">
        <v>44029</v>
      </c>
      <c r="B406">
        <v>380</v>
      </c>
      <c r="C406">
        <v>380.75</v>
      </c>
      <c r="D406">
        <v>381.25</v>
      </c>
      <c r="E406">
        <v>380.25</v>
      </c>
      <c r="F406" t="s">
        <v>6207</v>
      </c>
      <c r="G406" s="9">
        <v>-1.2999999999999999E-3</v>
      </c>
    </row>
    <row r="407" spans="1:7" x14ac:dyDescent="0.3">
      <c r="A407" s="4">
        <v>44032</v>
      </c>
      <c r="B407">
        <v>380.5</v>
      </c>
      <c r="C407">
        <v>381.25</v>
      </c>
      <c r="D407">
        <v>381.25</v>
      </c>
      <c r="E407">
        <v>380.25</v>
      </c>
      <c r="F407" t="s">
        <v>6207</v>
      </c>
      <c r="G407" s="9">
        <v>1.2999999999999999E-3</v>
      </c>
    </row>
    <row r="408" spans="1:7" x14ac:dyDescent="0.3">
      <c r="A408" s="4">
        <v>44033</v>
      </c>
      <c r="B408">
        <v>380</v>
      </c>
      <c r="C408">
        <v>381.25</v>
      </c>
      <c r="D408">
        <v>381.25</v>
      </c>
      <c r="E408">
        <v>380.25</v>
      </c>
      <c r="F408" t="s">
        <v>6207</v>
      </c>
      <c r="G408" s="9">
        <v>-1.2999999999999999E-3</v>
      </c>
    </row>
    <row r="409" spans="1:7" x14ac:dyDescent="0.3">
      <c r="A409" s="4">
        <v>44034</v>
      </c>
      <c r="B409">
        <v>380.5</v>
      </c>
      <c r="C409">
        <v>381.25</v>
      </c>
      <c r="D409">
        <v>381.25</v>
      </c>
      <c r="E409">
        <v>380.25</v>
      </c>
      <c r="F409" t="s">
        <v>6207</v>
      </c>
      <c r="G409" s="9">
        <v>1.2999999999999999E-3</v>
      </c>
    </row>
    <row r="410" spans="1:7" x14ac:dyDescent="0.3">
      <c r="A410" s="4">
        <v>44035</v>
      </c>
      <c r="B410">
        <v>381</v>
      </c>
      <c r="C410">
        <v>380.75</v>
      </c>
      <c r="D410">
        <v>381.25</v>
      </c>
      <c r="E410">
        <v>380.25</v>
      </c>
      <c r="F410" t="s">
        <v>6207</v>
      </c>
      <c r="G410" s="9">
        <v>1.2999999999999999E-3</v>
      </c>
    </row>
    <row r="411" spans="1:7" x14ac:dyDescent="0.3">
      <c r="A411" s="4">
        <v>44036</v>
      </c>
      <c r="B411">
        <v>380.5</v>
      </c>
      <c r="C411">
        <v>381.25</v>
      </c>
      <c r="D411">
        <v>381.25</v>
      </c>
      <c r="E411">
        <v>380.25</v>
      </c>
      <c r="F411" t="s">
        <v>6207</v>
      </c>
      <c r="G411" s="9">
        <v>-1.2999999999999999E-3</v>
      </c>
    </row>
    <row r="412" spans="1:7" x14ac:dyDescent="0.3">
      <c r="A412" s="4">
        <v>44039</v>
      </c>
      <c r="B412">
        <v>380.5</v>
      </c>
      <c r="C412">
        <v>381.25</v>
      </c>
      <c r="D412">
        <v>381.25</v>
      </c>
      <c r="E412">
        <v>380.25</v>
      </c>
      <c r="F412" t="s">
        <v>6207</v>
      </c>
      <c r="G412" s="9">
        <v>0</v>
      </c>
    </row>
    <row r="413" spans="1:7" x14ac:dyDescent="0.3">
      <c r="A413" s="4">
        <v>44040</v>
      </c>
      <c r="B413">
        <v>381</v>
      </c>
      <c r="C413">
        <v>381.25</v>
      </c>
      <c r="D413">
        <v>381.25</v>
      </c>
      <c r="E413">
        <v>381.25</v>
      </c>
      <c r="G413" s="9">
        <v>1.2999999999999999E-3</v>
      </c>
    </row>
    <row r="414" spans="1:7" x14ac:dyDescent="0.3">
      <c r="A414" s="4">
        <v>44041</v>
      </c>
      <c r="B414">
        <v>380.6</v>
      </c>
      <c r="C414">
        <v>380.25</v>
      </c>
      <c r="D414">
        <v>381.1</v>
      </c>
      <c r="E414">
        <v>380.25</v>
      </c>
      <c r="F414" t="s">
        <v>6207</v>
      </c>
      <c r="G414" s="9">
        <v>-1E-3</v>
      </c>
    </row>
    <row r="415" spans="1:7" x14ac:dyDescent="0.3">
      <c r="A415" s="4">
        <v>44042</v>
      </c>
      <c r="B415">
        <v>380.5</v>
      </c>
      <c r="C415">
        <v>381.1</v>
      </c>
      <c r="D415">
        <v>381.1</v>
      </c>
      <c r="E415">
        <v>381</v>
      </c>
      <c r="G415" s="9">
        <v>-2.9999999999999997E-4</v>
      </c>
    </row>
    <row r="416" spans="1:7" x14ac:dyDescent="0.3">
      <c r="A416" s="4">
        <v>44043</v>
      </c>
      <c r="B416">
        <v>380.5</v>
      </c>
      <c r="C416">
        <v>381</v>
      </c>
      <c r="D416">
        <v>381</v>
      </c>
      <c r="E416">
        <v>381</v>
      </c>
      <c r="G416" s="9">
        <v>0</v>
      </c>
    </row>
    <row r="417" spans="1:7" x14ac:dyDescent="0.3">
      <c r="A417" s="4">
        <v>44044</v>
      </c>
      <c r="B417">
        <v>306</v>
      </c>
      <c r="C417">
        <v>306.5</v>
      </c>
      <c r="D417">
        <v>307.2</v>
      </c>
      <c r="E417">
        <v>306.42500000000001</v>
      </c>
      <c r="G417" s="9">
        <v>0</v>
      </c>
    </row>
    <row r="418" spans="1:7" x14ac:dyDescent="0.3">
      <c r="A418" s="4">
        <v>44047</v>
      </c>
      <c r="B418">
        <v>360</v>
      </c>
      <c r="C418">
        <v>360.5</v>
      </c>
      <c r="D418">
        <v>360.5</v>
      </c>
      <c r="E418">
        <v>360.5</v>
      </c>
      <c r="G418" s="9">
        <v>0</v>
      </c>
    </row>
    <row r="419" spans="1:7" x14ac:dyDescent="0.3">
      <c r="A419" s="4">
        <v>44048</v>
      </c>
      <c r="B419">
        <v>360</v>
      </c>
      <c r="C419">
        <v>360.5</v>
      </c>
      <c r="D419">
        <v>360.5</v>
      </c>
      <c r="E419">
        <v>360.5</v>
      </c>
      <c r="G419" s="9">
        <v>0</v>
      </c>
    </row>
    <row r="420" spans="1:7" x14ac:dyDescent="0.3">
      <c r="A420" s="4">
        <v>44049</v>
      </c>
      <c r="B420">
        <v>360</v>
      </c>
      <c r="C420">
        <v>360.5</v>
      </c>
      <c r="D420">
        <v>361.25</v>
      </c>
      <c r="E420">
        <v>360.5</v>
      </c>
      <c r="F420" t="s">
        <v>6206</v>
      </c>
      <c r="G420" s="9">
        <v>0</v>
      </c>
    </row>
    <row r="421" spans="1:7" x14ac:dyDescent="0.3">
      <c r="A421" s="4">
        <v>44050</v>
      </c>
      <c r="B421">
        <v>360</v>
      </c>
      <c r="C421">
        <v>360.5</v>
      </c>
      <c r="D421">
        <v>361.25</v>
      </c>
      <c r="E421">
        <v>360.5</v>
      </c>
      <c r="F421" t="s">
        <v>6205</v>
      </c>
      <c r="G421" s="9">
        <v>0</v>
      </c>
    </row>
    <row r="422" spans="1:7" x14ac:dyDescent="0.3">
      <c r="A422" s="4">
        <v>44052</v>
      </c>
      <c r="B422">
        <v>380.7</v>
      </c>
      <c r="C422">
        <v>381.2</v>
      </c>
      <c r="D422">
        <v>381.2</v>
      </c>
      <c r="E422">
        <v>380.75</v>
      </c>
      <c r="F422" t="s">
        <v>6207</v>
      </c>
      <c r="G422" s="9">
        <v>0</v>
      </c>
    </row>
    <row r="423" spans="1:7" x14ac:dyDescent="0.3">
      <c r="A423" s="4">
        <v>44053</v>
      </c>
      <c r="B423">
        <v>380.6</v>
      </c>
      <c r="C423">
        <v>381.1</v>
      </c>
      <c r="D423">
        <v>381.1</v>
      </c>
      <c r="E423">
        <v>380.75</v>
      </c>
      <c r="F423" t="s">
        <v>6206</v>
      </c>
      <c r="G423" s="9">
        <v>0</v>
      </c>
    </row>
    <row r="424" spans="1:7" x14ac:dyDescent="0.3">
      <c r="A424" s="4">
        <v>44055</v>
      </c>
      <c r="B424">
        <v>380.7</v>
      </c>
      <c r="C424">
        <v>381.2</v>
      </c>
      <c r="D424">
        <v>381.35</v>
      </c>
      <c r="E424">
        <v>380.75</v>
      </c>
      <c r="F424" t="s">
        <v>6206</v>
      </c>
      <c r="G424" s="9">
        <v>0</v>
      </c>
    </row>
    <row r="425" spans="1:7" x14ac:dyDescent="0.3">
      <c r="A425" s="4">
        <v>44056</v>
      </c>
      <c r="B425">
        <v>380.55</v>
      </c>
      <c r="C425">
        <v>381</v>
      </c>
      <c r="D425">
        <v>381.27499999999998</v>
      </c>
      <c r="E425">
        <v>380.25</v>
      </c>
      <c r="F425" t="s">
        <v>6205</v>
      </c>
      <c r="G425" s="9">
        <v>1E-4</v>
      </c>
    </row>
    <row r="426" spans="1:7" x14ac:dyDescent="0.3">
      <c r="A426" s="4">
        <v>44057</v>
      </c>
      <c r="B426">
        <v>379</v>
      </c>
      <c r="C426">
        <v>381.05</v>
      </c>
      <c r="D426">
        <v>381.27499999999998</v>
      </c>
      <c r="E426">
        <v>379.5</v>
      </c>
      <c r="F426" t="s">
        <v>6205</v>
      </c>
      <c r="G426" s="9">
        <v>-4.1000000000000003E-3</v>
      </c>
    </row>
    <row r="427" spans="1:7" x14ac:dyDescent="0.3">
      <c r="A427" s="4">
        <v>44060</v>
      </c>
      <c r="B427">
        <v>381</v>
      </c>
      <c r="C427">
        <v>379.5</v>
      </c>
      <c r="D427">
        <v>381.5</v>
      </c>
      <c r="E427">
        <v>379.5</v>
      </c>
      <c r="F427" t="s">
        <v>6205</v>
      </c>
      <c r="G427" s="9">
        <v>5.3E-3</v>
      </c>
    </row>
    <row r="428" spans="1:7" x14ac:dyDescent="0.3">
      <c r="A428" s="4">
        <v>44061</v>
      </c>
      <c r="B428">
        <v>381</v>
      </c>
      <c r="C428">
        <v>381.5</v>
      </c>
      <c r="D428">
        <v>381.5</v>
      </c>
      <c r="E428">
        <v>380.75</v>
      </c>
      <c r="F428" t="s">
        <v>6206</v>
      </c>
      <c r="G428" s="9">
        <v>0</v>
      </c>
    </row>
    <row r="429" spans="1:7" x14ac:dyDescent="0.3">
      <c r="A429" s="4">
        <v>44062</v>
      </c>
      <c r="B429">
        <v>381</v>
      </c>
      <c r="C429">
        <v>381.5</v>
      </c>
      <c r="D429">
        <v>381.5</v>
      </c>
      <c r="E429">
        <v>380.25</v>
      </c>
      <c r="F429" t="s">
        <v>6205</v>
      </c>
      <c r="G429" s="9">
        <v>0</v>
      </c>
    </row>
    <row r="430" spans="1:7" x14ac:dyDescent="0.3">
      <c r="A430" s="4">
        <v>44063</v>
      </c>
      <c r="B430">
        <v>381</v>
      </c>
      <c r="C430">
        <v>381.5</v>
      </c>
      <c r="D430">
        <v>381.5</v>
      </c>
      <c r="E430">
        <v>380.25</v>
      </c>
      <c r="F430" t="s">
        <v>6206</v>
      </c>
      <c r="G430" s="9">
        <v>0</v>
      </c>
    </row>
    <row r="431" spans="1:7" x14ac:dyDescent="0.3">
      <c r="A431" s="4">
        <v>44064</v>
      </c>
      <c r="B431">
        <v>381</v>
      </c>
      <c r="C431">
        <v>381.5</v>
      </c>
      <c r="D431">
        <v>381.5</v>
      </c>
      <c r="E431">
        <v>380.25</v>
      </c>
      <c r="F431" t="s">
        <v>6206</v>
      </c>
      <c r="G431" s="9">
        <v>0</v>
      </c>
    </row>
    <row r="432" spans="1:7" x14ac:dyDescent="0.3">
      <c r="A432" s="4">
        <v>44067</v>
      </c>
      <c r="B432">
        <v>381</v>
      </c>
      <c r="C432">
        <v>381.5</v>
      </c>
      <c r="D432">
        <v>381.5</v>
      </c>
      <c r="E432">
        <v>381.25</v>
      </c>
      <c r="F432" t="s">
        <v>6207</v>
      </c>
      <c r="G432" s="9">
        <v>0</v>
      </c>
    </row>
    <row r="433" spans="1:7" x14ac:dyDescent="0.3">
      <c r="A433" s="4">
        <v>44068</v>
      </c>
      <c r="B433">
        <v>381</v>
      </c>
      <c r="C433">
        <v>381.5</v>
      </c>
      <c r="D433">
        <v>381.5</v>
      </c>
      <c r="E433">
        <v>380.25</v>
      </c>
      <c r="F433" t="s">
        <v>6207</v>
      </c>
      <c r="G433" s="9">
        <v>0</v>
      </c>
    </row>
    <row r="434" spans="1:7" x14ac:dyDescent="0.3">
      <c r="A434" s="4">
        <v>44069</v>
      </c>
      <c r="B434">
        <v>380.7</v>
      </c>
      <c r="C434">
        <v>381.5</v>
      </c>
      <c r="D434">
        <v>381.5</v>
      </c>
      <c r="E434">
        <v>380.75</v>
      </c>
      <c r="F434" t="s">
        <v>6205</v>
      </c>
      <c r="G434" s="9">
        <v>-8.0000000000000004E-4</v>
      </c>
    </row>
    <row r="435" spans="1:7" x14ac:dyDescent="0.3">
      <c r="A435" s="4">
        <v>44070</v>
      </c>
      <c r="B435">
        <v>380.7</v>
      </c>
      <c r="C435">
        <v>381.2</v>
      </c>
      <c r="D435">
        <v>381.35</v>
      </c>
      <c r="E435">
        <v>380.25</v>
      </c>
      <c r="F435" t="s">
        <v>6206</v>
      </c>
      <c r="G435" s="9">
        <v>0</v>
      </c>
    </row>
    <row r="436" spans="1:7" x14ac:dyDescent="0.3">
      <c r="A436" s="4">
        <v>44071</v>
      </c>
      <c r="B436">
        <v>380.7</v>
      </c>
      <c r="C436">
        <v>381.2</v>
      </c>
      <c r="D436">
        <v>381.35</v>
      </c>
      <c r="E436">
        <v>380.25</v>
      </c>
      <c r="F436" t="s">
        <v>6207</v>
      </c>
      <c r="G436" s="9">
        <v>0</v>
      </c>
    </row>
    <row r="437" spans="1:7" x14ac:dyDescent="0.3">
      <c r="A437" s="4">
        <v>44074</v>
      </c>
      <c r="B437">
        <v>380.7</v>
      </c>
      <c r="C437">
        <v>381.2</v>
      </c>
      <c r="D437">
        <v>381.35</v>
      </c>
      <c r="E437">
        <v>380.25</v>
      </c>
      <c r="F437" t="s">
        <v>6206</v>
      </c>
      <c r="G437" s="9">
        <v>0</v>
      </c>
    </row>
    <row r="438" spans="1:7" x14ac:dyDescent="0.3">
      <c r="A438" s="4">
        <v>44075</v>
      </c>
      <c r="B438">
        <v>305.89999999999998</v>
      </c>
      <c r="C438">
        <v>306.5</v>
      </c>
      <c r="D438">
        <v>306.72500000000002</v>
      </c>
      <c r="E438">
        <v>306.39999999999998</v>
      </c>
      <c r="G438" s="9">
        <v>-2.9999999999999997E-4</v>
      </c>
    </row>
    <row r="439" spans="1:7" x14ac:dyDescent="0.3">
      <c r="A439" s="4">
        <v>44077</v>
      </c>
      <c r="B439">
        <v>306</v>
      </c>
      <c r="C439">
        <v>306.5</v>
      </c>
      <c r="D439">
        <v>307.25</v>
      </c>
      <c r="E439">
        <v>306.42500000000001</v>
      </c>
      <c r="F439" t="s">
        <v>6206</v>
      </c>
      <c r="G439" s="9">
        <v>0</v>
      </c>
    </row>
    <row r="440" spans="1:7" x14ac:dyDescent="0.3">
      <c r="A440" s="4">
        <v>44078</v>
      </c>
      <c r="B440">
        <v>360</v>
      </c>
      <c r="C440">
        <v>360.5</v>
      </c>
      <c r="D440">
        <v>360.5</v>
      </c>
      <c r="E440">
        <v>360.5</v>
      </c>
      <c r="G440" s="9">
        <v>0</v>
      </c>
    </row>
    <row r="441" spans="1:7" x14ac:dyDescent="0.3">
      <c r="A441" s="4">
        <v>44080</v>
      </c>
      <c r="B441">
        <v>360</v>
      </c>
      <c r="C441">
        <v>360.5</v>
      </c>
      <c r="D441">
        <v>361.25</v>
      </c>
      <c r="E441">
        <v>360.5</v>
      </c>
      <c r="F441" t="s">
        <v>6206</v>
      </c>
      <c r="G441" s="9">
        <v>0</v>
      </c>
    </row>
    <row r="442" spans="1:7" x14ac:dyDescent="0.3">
      <c r="A442" s="4">
        <v>44081</v>
      </c>
      <c r="B442">
        <v>380.5</v>
      </c>
      <c r="C442">
        <v>380.75</v>
      </c>
      <c r="D442">
        <v>385.5</v>
      </c>
      <c r="E442">
        <v>380.25</v>
      </c>
      <c r="F442" t="s">
        <v>6206</v>
      </c>
      <c r="G442" s="9">
        <v>5.6899999999999999E-2</v>
      </c>
    </row>
    <row r="443" spans="1:7" x14ac:dyDescent="0.3">
      <c r="A443" s="4">
        <v>44083</v>
      </c>
      <c r="B443">
        <v>380.7</v>
      </c>
      <c r="C443">
        <v>381.2</v>
      </c>
      <c r="D443">
        <v>381.35</v>
      </c>
      <c r="E443">
        <v>380.75</v>
      </c>
      <c r="F443" t="s">
        <v>6206</v>
      </c>
      <c r="G443" s="9">
        <v>0</v>
      </c>
    </row>
    <row r="444" spans="1:7" x14ac:dyDescent="0.3">
      <c r="A444" s="4">
        <v>44084</v>
      </c>
      <c r="B444">
        <v>380.6</v>
      </c>
      <c r="C444">
        <v>381.1</v>
      </c>
      <c r="D444">
        <v>381.1</v>
      </c>
      <c r="E444">
        <v>380.75</v>
      </c>
      <c r="F444" t="s">
        <v>6207</v>
      </c>
      <c r="G444" s="9">
        <v>0</v>
      </c>
    </row>
    <row r="445" spans="1:7" x14ac:dyDescent="0.3">
      <c r="A445" s="4">
        <v>44085</v>
      </c>
      <c r="B445">
        <v>380.7</v>
      </c>
      <c r="C445">
        <v>381.2</v>
      </c>
      <c r="D445">
        <v>381.2</v>
      </c>
      <c r="E445">
        <v>380.25</v>
      </c>
      <c r="F445" t="s">
        <v>6206</v>
      </c>
      <c r="G445" s="9">
        <v>0</v>
      </c>
    </row>
    <row r="446" spans="1:7" x14ac:dyDescent="0.3">
      <c r="A446" s="4">
        <v>44086</v>
      </c>
      <c r="B446">
        <v>380.7</v>
      </c>
      <c r="C446">
        <v>381.2</v>
      </c>
      <c r="D446">
        <v>381.35</v>
      </c>
      <c r="E446">
        <v>381.1</v>
      </c>
      <c r="F446" t="s">
        <v>6206</v>
      </c>
      <c r="G446" s="9">
        <v>0</v>
      </c>
    </row>
    <row r="447" spans="1:7" x14ac:dyDescent="0.3">
      <c r="A447" s="4">
        <v>44088</v>
      </c>
      <c r="B447">
        <v>380.7</v>
      </c>
      <c r="C447">
        <v>381.2</v>
      </c>
      <c r="D447">
        <v>381.35</v>
      </c>
      <c r="E447">
        <v>380.25</v>
      </c>
      <c r="F447" t="s">
        <v>6206</v>
      </c>
      <c r="G447" s="9">
        <v>0</v>
      </c>
    </row>
    <row r="448" spans="1:7" x14ac:dyDescent="0.3">
      <c r="A448" s="4">
        <v>44089</v>
      </c>
      <c r="B448">
        <v>380.7</v>
      </c>
      <c r="C448">
        <v>381.2</v>
      </c>
      <c r="D448">
        <v>381.2</v>
      </c>
      <c r="E448">
        <v>380.75</v>
      </c>
      <c r="F448" t="s">
        <v>6206</v>
      </c>
      <c r="G448" s="9">
        <v>0</v>
      </c>
    </row>
    <row r="449" spans="1:7" x14ac:dyDescent="0.3">
      <c r="A449" s="4">
        <v>44090</v>
      </c>
      <c r="B449">
        <v>380.7</v>
      </c>
      <c r="C449">
        <v>381.2</v>
      </c>
      <c r="D449">
        <v>381.2</v>
      </c>
      <c r="E449">
        <v>380.75</v>
      </c>
      <c r="F449" t="s">
        <v>6206</v>
      </c>
      <c r="G449" s="9">
        <v>0</v>
      </c>
    </row>
    <row r="450" spans="1:7" x14ac:dyDescent="0.3">
      <c r="A450" s="4">
        <v>44091</v>
      </c>
      <c r="B450">
        <v>380.7</v>
      </c>
      <c r="C450">
        <v>381.2</v>
      </c>
      <c r="D450">
        <v>381.2</v>
      </c>
      <c r="E450">
        <v>380.25</v>
      </c>
      <c r="F450" t="s">
        <v>6207</v>
      </c>
      <c r="G450" s="9">
        <v>0</v>
      </c>
    </row>
    <row r="451" spans="1:7" x14ac:dyDescent="0.3">
      <c r="A451" s="4">
        <v>44092</v>
      </c>
      <c r="B451">
        <v>380.6</v>
      </c>
      <c r="C451">
        <v>381.2</v>
      </c>
      <c r="D451">
        <v>381.2</v>
      </c>
      <c r="E451">
        <v>381.1</v>
      </c>
      <c r="F451" t="s">
        <v>6206</v>
      </c>
      <c r="G451" s="9">
        <v>-2.9999999999999997E-4</v>
      </c>
    </row>
    <row r="452" spans="1:7" x14ac:dyDescent="0.3">
      <c r="A452" s="4">
        <v>44095</v>
      </c>
      <c r="B452">
        <v>380.6</v>
      </c>
      <c r="C452">
        <v>381.1</v>
      </c>
      <c r="D452">
        <v>381.1</v>
      </c>
      <c r="E452">
        <v>381.1</v>
      </c>
      <c r="G452" s="9">
        <v>0</v>
      </c>
    </row>
    <row r="453" spans="1:7" x14ac:dyDescent="0.3">
      <c r="A453" s="4">
        <v>44096</v>
      </c>
      <c r="B453">
        <v>380.6</v>
      </c>
      <c r="C453">
        <v>381.1</v>
      </c>
      <c r="D453">
        <v>381.1</v>
      </c>
      <c r="E453">
        <v>381.1</v>
      </c>
      <c r="G453" s="9">
        <v>0</v>
      </c>
    </row>
    <row r="454" spans="1:7" x14ac:dyDescent="0.3">
      <c r="A454" s="4">
        <v>44097</v>
      </c>
      <c r="B454">
        <v>380.6</v>
      </c>
      <c r="C454">
        <v>381.1</v>
      </c>
      <c r="D454">
        <v>381.1</v>
      </c>
      <c r="E454">
        <v>381.1</v>
      </c>
      <c r="G454" s="9">
        <v>0</v>
      </c>
    </row>
    <row r="455" spans="1:7" x14ac:dyDescent="0.3">
      <c r="A455" s="4">
        <v>44098</v>
      </c>
      <c r="B455">
        <v>380.6</v>
      </c>
      <c r="C455">
        <v>381.1</v>
      </c>
      <c r="D455">
        <v>381.1</v>
      </c>
      <c r="E455">
        <v>381.1</v>
      </c>
      <c r="G455" s="9">
        <v>0</v>
      </c>
    </row>
    <row r="456" spans="1:7" x14ac:dyDescent="0.3">
      <c r="A456" s="4">
        <v>44099</v>
      </c>
      <c r="B456">
        <v>380.6</v>
      </c>
      <c r="C456">
        <v>381.1</v>
      </c>
      <c r="D456">
        <v>381.1</v>
      </c>
      <c r="E456">
        <v>381.1</v>
      </c>
      <c r="G456" s="9">
        <v>0</v>
      </c>
    </row>
    <row r="457" spans="1:7" x14ac:dyDescent="0.3">
      <c r="A457" s="4">
        <v>44102</v>
      </c>
      <c r="B457">
        <v>380.6</v>
      </c>
      <c r="C457">
        <v>381.1</v>
      </c>
      <c r="D457">
        <v>381.3</v>
      </c>
      <c r="E457">
        <v>380.75</v>
      </c>
      <c r="F457" t="s">
        <v>6207</v>
      </c>
      <c r="G457" s="9">
        <v>0</v>
      </c>
    </row>
    <row r="458" spans="1:7" x14ac:dyDescent="0.3">
      <c r="A458" s="4">
        <v>44103</v>
      </c>
      <c r="B458">
        <v>380.6</v>
      </c>
      <c r="C458">
        <v>381.1</v>
      </c>
      <c r="D458">
        <v>381.1</v>
      </c>
      <c r="E458">
        <v>380.25</v>
      </c>
      <c r="F458" t="s">
        <v>6207</v>
      </c>
      <c r="G458" s="9">
        <v>0</v>
      </c>
    </row>
    <row r="459" spans="1:7" x14ac:dyDescent="0.3">
      <c r="A459" s="4">
        <v>44104</v>
      </c>
      <c r="B459">
        <v>380.6</v>
      </c>
      <c r="C459">
        <v>381.1</v>
      </c>
      <c r="D459">
        <v>381.1</v>
      </c>
      <c r="E459">
        <v>380.75</v>
      </c>
      <c r="F459" t="s">
        <v>6207</v>
      </c>
      <c r="G459" s="9">
        <v>0</v>
      </c>
    </row>
    <row r="460" spans="1:7" x14ac:dyDescent="0.3">
      <c r="A460" s="4">
        <v>44105</v>
      </c>
      <c r="B460">
        <v>305.89999999999998</v>
      </c>
      <c r="C460">
        <v>306.7</v>
      </c>
      <c r="D460">
        <v>306.7</v>
      </c>
      <c r="E460">
        <v>306.39999999999998</v>
      </c>
      <c r="G460" s="9">
        <v>0</v>
      </c>
    </row>
    <row r="461" spans="1:7" x14ac:dyDescent="0.3">
      <c r="A461" s="4">
        <v>44106</v>
      </c>
      <c r="B461">
        <v>305.95</v>
      </c>
      <c r="C461">
        <v>306.7</v>
      </c>
      <c r="D461">
        <v>307.25</v>
      </c>
      <c r="E461">
        <v>306.39999999999998</v>
      </c>
      <c r="F461" t="s">
        <v>6205</v>
      </c>
      <c r="G461" s="9">
        <v>0</v>
      </c>
    </row>
    <row r="462" spans="1:7" x14ac:dyDescent="0.3">
      <c r="A462" s="4">
        <v>44107</v>
      </c>
      <c r="B462">
        <v>306</v>
      </c>
      <c r="C462">
        <v>306.5</v>
      </c>
      <c r="D462">
        <v>306.72500000000002</v>
      </c>
      <c r="E462">
        <v>306.45</v>
      </c>
      <c r="F462" t="s">
        <v>6205</v>
      </c>
      <c r="G462" s="9">
        <v>0</v>
      </c>
    </row>
    <row r="463" spans="1:7" x14ac:dyDescent="0.3">
      <c r="A463" s="4">
        <v>44108</v>
      </c>
      <c r="B463">
        <v>360</v>
      </c>
      <c r="C463">
        <v>360.5</v>
      </c>
      <c r="D463">
        <v>360.5</v>
      </c>
      <c r="E463">
        <v>360.5</v>
      </c>
      <c r="G463" s="9">
        <v>0</v>
      </c>
    </row>
    <row r="464" spans="1:7" x14ac:dyDescent="0.3">
      <c r="A464" s="4">
        <v>44110</v>
      </c>
      <c r="B464">
        <v>360</v>
      </c>
      <c r="C464">
        <v>360.5</v>
      </c>
      <c r="D464">
        <v>361.25</v>
      </c>
      <c r="E464">
        <v>360.5</v>
      </c>
      <c r="F464" t="s">
        <v>6205</v>
      </c>
      <c r="G464" s="9">
        <v>0</v>
      </c>
    </row>
    <row r="465" spans="1:7" x14ac:dyDescent="0.3">
      <c r="A465" s="4">
        <v>44112</v>
      </c>
      <c r="B465">
        <v>380.8</v>
      </c>
      <c r="C465">
        <v>381.25</v>
      </c>
      <c r="D465">
        <v>381.4</v>
      </c>
      <c r="E465">
        <v>380.25</v>
      </c>
      <c r="F465" t="s">
        <v>6206</v>
      </c>
      <c r="G465" s="9">
        <v>1E-4</v>
      </c>
    </row>
    <row r="466" spans="1:7" x14ac:dyDescent="0.3">
      <c r="A466" s="4">
        <v>44113</v>
      </c>
      <c r="B466">
        <v>380.7</v>
      </c>
      <c r="C466">
        <v>381.2</v>
      </c>
      <c r="D466">
        <v>381.35</v>
      </c>
      <c r="E466">
        <v>380.75</v>
      </c>
      <c r="F466" t="s">
        <v>6206</v>
      </c>
      <c r="G466" s="9">
        <v>0</v>
      </c>
    </row>
    <row r="467" spans="1:7" x14ac:dyDescent="0.3">
      <c r="A467" s="4">
        <v>44115</v>
      </c>
      <c r="B467">
        <v>380.7</v>
      </c>
      <c r="C467">
        <v>381.2</v>
      </c>
      <c r="D467">
        <v>381.2</v>
      </c>
      <c r="E467">
        <v>380.25</v>
      </c>
      <c r="F467" t="s">
        <v>6207</v>
      </c>
      <c r="G467" s="9">
        <v>0</v>
      </c>
    </row>
    <row r="468" spans="1:7" x14ac:dyDescent="0.3">
      <c r="A468" s="4">
        <v>44116</v>
      </c>
      <c r="B468">
        <v>380.7</v>
      </c>
      <c r="C468">
        <v>381.2</v>
      </c>
      <c r="D468">
        <v>381.2</v>
      </c>
      <c r="E468">
        <v>380.75</v>
      </c>
      <c r="F468" t="s">
        <v>6206</v>
      </c>
      <c r="G468" s="9">
        <v>0</v>
      </c>
    </row>
    <row r="469" spans="1:7" x14ac:dyDescent="0.3">
      <c r="A469" s="4">
        <v>44117</v>
      </c>
      <c r="B469">
        <v>380.6</v>
      </c>
      <c r="C469">
        <v>381.1</v>
      </c>
      <c r="D469">
        <v>381.1</v>
      </c>
      <c r="E469">
        <v>380.75</v>
      </c>
      <c r="F469" t="s">
        <v>6207</v>
      </c>
      <c r="G469" s="9">
        <v>0</v>
      </c>
    </row>
    <row r="470" spans="1:7" x14ac:dyDescent="0.3">
      <c r="A470" s="4">
        <v>44118</v>
      </c>
      <c r="B470">
        <v>380.6</v>
      </c>
      <c r="C470">
        <v>381.1</v>
      </c>
      <c r="D470">
        <v>381.1</v>
      </c>
      <c r="E470">
        <v>381.1</v>
      </c>
      <c r="G470" s="9">
        <v>0</v>
      </c>
    </row>
    <row r="471" spans="1:7" x14ac:dyDescent="0.3">
      <c r="A471" s="4">
        <v>44119</v>
      </c>
      <c r="B471">
        <v>380.6</v>
      </c>
      <c r="C471">
        <v>381.1</v>
      </c>
      <c r="D471">
        <v>381.1</v>
      </c>
      <c r="E471">
        <v>380.75</v>
      </c>
      <c r="F471" t="s">
        <v>6207</v>
      </c>
      <c r="G471" s="9">
        <v>0</v>
      </c>
    </row>
    <row r="472" spans="1:7" x14ac:dyDescent="0.3">
      <c r="A472" s="4">
        <v>44120</v>
      </c>
      <c r="B472">
        <v>380.6</v>
      </c>
      <c r="C472">
        <v>381.1</v>
      </c>
      <c r="D472">
        <v>381.1</v>
      </c>
      <c r="E472">
        <v>381.1</v>
      </c>
      <c r="G472" s="9">
        <v>0</v>
      </c>
    </row>
    <row r="473" spans="1:7" x14ac:dyDescent="0.3">
      <c r="A473" s="4">
        <v>44123</v>
      </c>
      <c r="B473">
        <v>380.6</v>
      </c>
      <c r="C473">
        <v>381.1</v>
      </c>
      <c r="D473">
        <v>381.1</v>
      </c>
      <c r="E473">
        <v>380.75</v>
      </c>
      <c r="F473" t="s">
        <v>6206</v>
      </c>
      <c r="G473" s="9">
        <v>0</v>
      </c>
    </row>
    <row r="474" spans="1:7" x14ac:dyDescent="0.3">
      <c r="A474" s="4">
        <v>44124</v>
      </c>
      <c r="B474">
        <v>380.6</v>
      </c>
      <c r="C474">
        <v>381.1</v>
      </c>
      <c r="D474">
        <v>381.1</v>
      </c>
      <c r="E474">
        <v>380.75</v>
      </c>
      <c r="F474" t="s">
        <v>6206</v>
      </c>
      <c r="G474" s="9">
        <v>0</v>
      </c>
    </row>
    <row r="475" spans="1:7" x14ac:dyDescent="0.3">
      <c r="A475" s="4">
        <v>44125</v>
      </c>
      <c r="B475">
        <v>380.6</v>
      </c>
      <c r="C475">
        <v>381.1</v>
      </c>
      <c r="D475">
        <v>381.1</v>
      </c>
      <c r="E475">
        <v>381.1</v>
      </c>
      <c r="G475" s="9">
        <v>0</v>
      </c>
    </row>
    <row r="476" spans="1:7" x14ac:dyDescent="0.3">
      <c r="A476" s="4">
        <v>44126</v>
      </c>
      <c r="B476">
        <v>380.6</v>
      </c>
      <c r="C476">
        <v>381.1</v>
      </c>
      <c r="D476">
        <v>381.1</v>
      </c>
      <c r="E476">
        <v>381.1</v>
      </c>
      <c r="G476" s="9">
        <v>0</v>
      </c>
    </row>
    <row r="477" spans="1:7" x14ac:dyDescent="0.3">
      <c r="A477" s="4">
        <v>44127</v>
      </c>
      <c r="B477">
        <v>380.7</v>
      </c>
      <c r="C477">
        <v>381.1</v>
      </c>
      <c r="D477">
        <v>381.2</v>
      </c>
      <c r="E477">
        <v>381.1</v>
      </c>
      <c r="F477" t="s">
        <v>6206</v>
      </c>
      <c r="G477" s="9">
        <v>2.9999999999999997E-4</v>
      </c>
    </row>
    <row r="478" spans="1:7" x14ac:dyDescent="0.3">
      <c r="A478" s="4">
        <v>44130</v>
      </c>
      <c r="B478">
        <v>380.7</v>
      </c>
      <c r="C478">
        <v>381.2</v>
      </c>
      <c r="D478">
        <v>381.2</v>
      </c>
      <c r="E478">
        <v>381.2</v>
      </c>
      <c r="G478" s="9">
        <v>0</v>
      </c>
    </row>
    <row r="479" spans="1:7" x14ac:dyDescent="0.3">
      <c r="A479" s="4">
        <v>44131</v>
      </c>
      <c r="B479">
        <v>380.7</v>
      </c>
      <c r="C479">
        <v>381.2</v>
      </c>
      <c r="D479">
        <v>381.2</v>
      </c>
      <c r="E479">
        <v>381.2</v>
      </c>
      <c r="G479" s="9">
        <v>0</v>
      </c>
    </row>
    <row r="480" spans="1:7" x14ac:dyDescent="0.3">
      <c r="A480" s="4">
        <v>44132</v>
      </c>
      <c r="B480">
        <v>380.7</v>
      </c>
      <c r="C480">
        <v>381.2</v>
      </c>
      <c r="D480">
        <v>381.35</v>
      </c>
      <c r="E480">
        <v>380.25</v>
      </c>
      <c r="F480" t="s">
        <v>6206</v>
      </c>
      <c r="G480" s="9">
        <v>0</v>
      </c>
    </row>
    <row r="481" spans="1:7" x14ac:dyDescent="0.3">
      <c r="A481" s="4">
        <v>44133</v>
      </c>
      <c r="B481">
        <v>380.7</v>
      </c>
      <c r="C481">
        <v>381.2</v>
      </c>
      <c r="D481">
        <v>381.2</v>
      </c>
      <c r="E481">
        <v>381.2</v>
      </c>
      <c r="G481" s="9">
        <v>0</v>
      </c>
    </row>
    <row r="482" spans="1:7" x14ac:dyDescent="0.3">
      <c r="A482" s="4">
        <v>44134</v>
      </c>
      <c r="B482">
        <v>380.7</v>
      </c>
      <c r="C482">
        <v>381.2</v>
      </c>
      <c r="D482">
        <v>381.2</v>
      </c>
      <c r="E482">
        <v>381.2</v>
      </c>
      <c r="G482" s="9">
        <v>0</v>
      </c>
    </row>
    <row r="483" spans="1:7" x14ac:dyDescent="0.3">
      <c r="A483" s="4">
        <v>44137</v>
      </c>
      <c r="B483">
        <v>305.89999999999998</v>
      </c>
      <c r="C483">
        <v>306.45</v>
      </c>
      <c r="D483">
        <v>306.7</v>
      </c>
      <c r="E483">
        <v>306.39999999999998</v>
      </c>
      <c r="F483" t="s">
        <v>6209</v>
      </c>
      <c r="G483" s="9">
        <v>-2.0000000000000001E-4</v>
      </c>
    </row>
    <row r="484" spans="1:7" x14ac:dyDescent="0.3">
      <c r="A484" s="4">
        <v>44138</v>
      </c>
      <c r="B484">
        <v>305.89999999999998</v>
      </c>
      <c r="C484">
        <v>306.5</v>
      </c>
      <c r="D484">
        <v>306.72500000000002</v>
      </c>
      <c r="E484">
        <v>306.39999999999998</v>
      </c>
      <c r="F484" t="s">
        <v>6209</v>
      </c>
      <c r="G484" s="9">
        <v>-2.9999999999999997E-4</v>
      </c>
    </row>
    <row r="485" spans="1:7" x14ac:dyDescent="0.3">
      <c r="A485" s="4">
        <v>44140</v>
      </c>
      <c r="B485">
        <v>360</v>
      </c>
      <c r="C485">
        <v>360.5</v>
      </c>
      <c r="D485">
        <v>360.5</v>
      </c>
      <c r="E485">
        <v>360.5</v>
      </c>
      <c r="G485" s="9">
        <v>0</v>
      </c>
    </row>
    <row r="486" spans="1:7" x14ac:dyDescent="0.3">
      <c r="A486" s="4">
        <v>44141</v>
      </c>
      <c r="B486">
        <v>360</v>
      </c>
      <c r="C486">
        <v>360.5</v>
      </c>
      <c r="D486">
        <v>361.25</v>
      </c>
      <c r="E486">
        <v>360.5</v>
      </c>
      <c r="F486" t="s">
        <v>6206</v>
      </c>
      <c r="G486" s="9">
        <v>0</v>
      </c>
    </row>
    <row r="487" spans="1:7" x14ac:dyDescent="0.3">
      <c r="A487" s="4">
        <v>44143</v>
      </c>
      <c r="B487">
        <v>380.5</v>
      </c>
      <c r="C487">
        <v>381.3</v>
      </c>
      <c r="D487">
        <v>381.4</v>
      </c>
      <c r="E487">
        <v>380.25</v>
      </c>
      <c r="F487" t="s">
        <v>6205</v>
      </c>
      <c r="G487" s="9">
        <v>-8.0000000000000004E-4</v>
      </c>
    </row>
    <row r="488" spans="1:7" x14ac:dyDescent="0.3">
      <c r="A488" s="4">
        <v>44144</v>
      </c>
      <c r="B488">
        <v>380.7</v>
      </c>
      <c r="C488">
        <v>381.2</v>
      </c>
      <c r="D488">
        <v>381.35</v>
      </c>
      <c r="E488">
        <v>380.75</v>
      </c>
      <c r="F488" t="s">
        <v>6206</v>
      </c>
      <c r="G488" s="9">
        <v>0</v>
      </c>
    </row>
    <row r="489" spans="1:7" x14ac:dyDescent="0.3">
      <c r="A489" s="4">
        <v>44146</v>
      </c>
      <c r="B489">
        <v>380.7</v>
      </c>
      <c r="C489">
        <v>381.2</v>
      </c>
      <c r="D489">
        <v>381.2</v>
      </c>
      <c r="E489">
        <v>380.25</v>
      </c>
      <c r="F489" t="s">
        <v>6207</v>
      </c>
      <c r="G489" s="9">
        <v>0</v>
      </c>
    </row>
    <row r="490" spans="1:7" x14ac:dyDescent="0.3">
      <c r="A490" s="4">
        <v>44147</v>
      </c>
      <c r="B490">
        <v>380.7</v>
      </c>
      <c r="C490">
        <v>381.2</v>
      </c>
      <c r="D490">
        <v>381.2</v>
      </c>
      <c r="E490">
        <v>380.75</v>
      </c>
      <c r="F490" t="s">
        <v>6206</v>
      </c>
      <c r="G490" s="9">
        <v>0</v>
      </c>
    </row>
    <row r="491" spans="1:7" x14ac:dyDescent="0.3">
      <c r="A491" s="4">
        <v>44148</v>
      </c>
      <c r="B491">
        <v>380.7</v>
      </c>
      <c r="C491">
        <v>381.2</v>
      </c>
      <c r="D491">
        <v>381.35</v>
      </c>
      <c r="E491">
        <v>380.25</v>
      </c>
      <c r="F491" t="s">
        <v>6206</v>
      </c>
      <c r="G491" s="9">
        <v>0</v>
      </c>
    </row>
    <row r="492" spans="1:7" x14ac:dyDescent="0.3">
      <c r="A492" s="4">
        <v>44151</v>
      </c>
      <c r="B492">
        <v>380.7</v>
      </c>
      <c r="C492">
        <v>381.2</v>
      </c>
      <c r="D492">
        <v>382.34500000000003</v>
      </c>
      <c r="E492">
        <v>381.1</v>
      </c>
      <c r="F492" t="s">
        <v>6206</v>
      </c>
      <c r="G492" s="9">
        <v>0</v>
      </c>
    </row>
    <row r="493" spans="1:7" x14ac:dyDescent="0.3">
      <c r="A493" s="4">
        <v>44152</v>
      </c>
      <c r="B493">
        <v>380.7</v>
      </c>
      <c r="C493">
        <v>381.2</v>
      </c>
      <c r="D493">
        <v>381.35</v>
      </c>
      <c r="E493">
        <v>380.25</v>
      </c>
      <c r="F493" t="s">
        <v>6206</v>
      </c>
      <c r="G493" s="9">
        <v>0</v>
      </c>
    </row>
    <row r="494" spans="1:7" x14ac:dyDescent="0.3">
      <c r="A494" s="4">
        <v>44153</v>
      </c>
      <c r="B494">
        <v>380.7</v>
      </c>
      <c r="C494">
        <v>381.2</v>
      </c>
      <c r="D494">
        <v>381.2</v>
      </c>
      <c r="E494">
        <v>381.2</v>
      </c>
      <c r="G494" s="9">
        <v>0</v>
      </c>
    </row>
    <row r="495" spans="1:7" x14ac:dyDescent="0.3">
      <c r="A495" s="4">
        <v>44154</v>
      </c>
      <c r="B495">
        <v>380.7</v>
      </c>
      <c r="C495">
        <v>381.2</v>
      </c>
      <c r="D495">
        <v>381.2</v>
      </c>
      <c r="E495">
        <v>380.75</v>
      </c>
      <c r="F495" t="s">
        <v>6206</v>
      </c>
      <c r="G495" s="9">
        <v>0</v>
      </c>
    </row>
    <row r="496" spans="1:7" x14ac:dyDescent="0.3">
      <c r="A496" s="4">
        <v>44155</v>
      </c>
      <c r="B496">
        <v>380.7</v>
      </c>
      <c r="C496">
        <v>381.2</v>
      </c>
      <c r="D496">
        <v>381.2</v>
      </c>
      <c r="E496">
        <v>380.25</v>
      </c>
      <c r="F496" t="s">
        <v>6206</v>
      </c>
      <c r="G496" s="9">
        <v>0</v>
      </c>
    </row>
    <row r="497" spans="1:7" x14ac:dyDescent="0.3">
      <c r="A497" s="4">
        <v>44158</v>
      </c>
      <c r="B497">
        <v>380.7</v>
      </c>
      <c r="C497">
        <v>381.2</v>
      </c>
      <c r="D497">
        <v>381.35</v>
      </c>
      <c r="E497">
        <v>380.25</v>
      </c>
      <c r="F497" t="s">
        <v>6206</v>
      </c>
      <c r="G497" s="9">
        <v>0</v>
      </c>
    </row>
    <row r="498" spans="1:7" x14ac:dyDescent="0.3">
      <c r="A498" s="4">
        <v>44159</v>
      </c>
      <c r="B498">
        <v>380.7</v>
      </c>
      <c r="C498">
        <v>381.2</v>
      </c>
      <c r="D498">
        <v>381.2</v>
      </c>
      <c r="E498">
        <v>381.2</v>
      </c>
      <c r="G498" s="9">
        <v>0</v>
      </c>
    </row>
    <row r="499" spans="1:7" x14ac:dyDescent="0.3">
      <c r="A499" s="4">
        <v>44160</v>
      </c>
      <c r="B499">
        <v>380.7</v>
      </c>
      <c r="C499">
        <v>381.2</v>
      </c>
      <c r="D499">
        <v>381.2</v>
      </c>
      <c r="E499">
        <v>381.2</v>
      </c>
      <c r="G499" s="9">
        <v>0</v>
      </c>
    </row>
    <row r="500" spans="1:7" x14ac:dyDescent="0.3">
      <c r="A500" s="4">
        <v>44161</v>
      </c>
      <c r="B500">
        <v>380.7</v>
      </c>
      <c r="C500">
        <v>381.2</v>
      </c>
      <c r="D500">
        <v>381.2</v>
      </c>
      <c r="E500">
        <v>381.2</v>
      </c>
      <c r="G500" s="9">
        <v>0</v>
      </c>
    </row>
    <row r="501" spans="1:7" x14ac:dyDescent="0.3">
      <c r="A501" s="4">
        <v>44162</v>
      </c>
      <c r="B501">
        <v>380.7</v>
      </c>
      <c r="C501">
        <v>381.2</v>
      </c>
      <c r="D501">
        <v>381.2</v>
      </c>
      <c r="E501">
        <v>381.2</v>
      </c>
      <c r="G501" s="9">
        <v>0</v>
      </c>
    </row>
    <row r="502" spans="1:7" x14ac:dyDescent="0.3">
      <c r="A502" s="4">
        <v>44165</v>
      </c>
      <c r="B502">
        <v>380.7</v>
      </c>
      <c r="C502">
        <v>381.2</v>
      </c>
      <c r="D502">
        <v>381.35</v>
      </c>
      <c r="E502">
        <v>381.1</v>
      </c>
      <c r="F502" t="s">
        <v>6206</v>
      </c>
      <c r="G502" s="9">
        <v>0</v>
      </c>
    </row>
    <row r="503" spans="1:7" x14ac:dyDescent="0.3">
      <c r="A503" s="4">
        <v>44167</v>
      </c>
      <c r="B503">
        <v>305.89999999999998</v>
      </c>
      <c r="C503">
        <v>306.39999999999998</v>
      </c>
      <c r="D503">
        <v>307.2</v>
      </c>
      <c r="E503">
        <v>306.39999999999998</v>
      </c>
      <c r="F503" t="s">
        <v>6205</v>
      </c>
      <c r="G503" s="9">
        <v>0</v>
      </c>
    </row>
    <row r="504" spans="1:7" x14ac:dyDescent="0.3">
      <c r="A504" s="4">
        <v>44168</v>
      </c>
      <c r="B504">
        <v>305.95</v>
      </c>
      <c r="C504">
        <v>306.39999999999998</v>
      </c>
      <c r="D504">
        <v>306.7</v>
      </c>
      <c r="E504">
        <v>306.39999999999998</v>
      </c>
      <c r="F504" t="s">
        <v>6209</v>
      </c>
      <c r="G504" s="9">
        <v>2.0000000000000001E-4</v>
      </c>
    </row>
    <row r="505" spans="1:7" x14ac:dyDescent="0.3">
      <c r="A505" s="4">
        <v>44170</v>
      </c>
      <c r="B505">
        <v>360</v>
      </c>
      <c r="C505">
        <v>360.5</v>
      </c>
      <c r="D505">
        <v>361.25</v>
      </c>
      <c r="E505">
        <v>360.25</v>
      </c>
      <c r="F505" t="s">
        <v>6206</v>
      </c>
      <c r="G505" s="9">
        <v>0</v>
      </c>
    </row>
    <row r="506" spans="1:7" x14ac:dyDescent="0.3">
      <c r="A506" s="4">
        <v>44171</v>
      </c>
      <c r="B506">
        <v>360</v>
      </c>
      <c r="C506">
        <v>360.5</v>
      </c>
      <c r="D506">
        <v>360.5</v>
      </c>
      <c r="E506">
        <v>360.5</v>
      </c>
      <c r="G506" s="9">
        <v>0</v>
      </c>
    </row>
    <row r="507" spans="1:7" x14ac:dyDescent="0.3">
      <c r="A507" s="4">
        <v>44173</v>
      </c>
      <c r="B507">
        <v>380.5</v>
      </c>
      <c r="C507">
        <v>381</v>
      </c>
      <c r="D507">
        <v>381.25</v>
      </c>
      <c r="E507">
        <v>380.25</v>
      </c>
      <c r="F507" t="s">
        <v>6206</v>
      </c>
      <c r="G507" s="9">
        <v>0</v>
      </c>
    </row>
    <row r="508" spans="1:7" x14ac:dyDescent="0.3">
      <c r="A508" s="4">
        <v>44175</v>
      </c>
      <c r="B508">
        <v>380.6</v>
      </c>
      <c r="C508">
        <v>381.1</v>
      </c>
      <c r="D508">
        <v>381.1</v>
      </c>
      <c r="E508">
        <v>380.75</v>
      </c>
      <c r="F508" t="s">
        <v>6206</v>
      </c>
      <c r="G508" s="9">
        <v>0</v>
      </c>
    </row>
    <row r="509" spans="1:7" x14ac:dyDescent="0.3">
      <c r="A509" s="4">
        <v>44176</v>
      </c>
      <c r="B509">
        <v>380.7</v>
      </c>
      <c r="C509">
        <v>381.2</v>
      </c>
      <c r="D509">
        <v>381.35</v>
      </c>
      <c r="E509">
        <v>380.25</v>
      </c>
      <c r="F509" t="s">
        <v>6206</v>
      </c>
      <c r="G509" s="9">
        <v>0</v>
      </c>
    </row>
    <row r="510" spans="1:7" x14ac:dyDescent="0.3">
      <c r="A510" s="4">
        <v>44179</v>
      </c>
      <c r="B510">
        <v>380.7</v>
      </c>
      <c r="C510">
        <v>381.2</v>
      </c>
      <c r="D510">
        <v>381.35</v>
      </c>
      <c r="E510">
        <v>380.25</v>
      </c>
      <c r="F510" t="s">
        <v>6206</v>
      </c>
      <c r="G510" s="9">
        <v>0</v>
      </c>
    </row>
    <row r="511" spans="1:7" x14ac:dyDescent="0.3">
      <c r="A511" s="4">
        <v>44180</v>
      </c>
      <c r="B511">
        <v>380.7</v>
      </c>
      <c r="C511">
        <v>381.2</v>
      </c>
      <c r="D511">
        <v>381.35</v>
      </c>
      <c r="E511">
        <v>380.75</v>
      </c>
      <c r="F511" t="s">
        <v>6206</v>
      </c>
      <c r="G511" s="9">
        <v>0</v>
      </c>
    </row>
    <row r="512" spans="1:7" x14ac:dyDescent="0.3">
      <c r="A512" s="4">
        <v>44181</v>
      </c>
      <c r="B512">
        <v>380.7</v>
      </c>
      <c r="C512">
        <v>381.2</v>
      </c>
      <c r="D512">
        <v>381.35</v>
      </c>
      <c r="E512">
        <v>380.75</v>
      </c>
      <c r="F512" t="s">
        <v>6206</v>
      </c>
      <c r="G512" s="9">
        <v>0</v>
      </c>
    </row>
    <row r="513" spans="1:7" x14ac:dyDescent="0.3">
      <c r="A513" s="4">
        <v>44182</v>
      </c>
      <c r="B513">
        <v>380.7</v>
      </c>
      <c r="C513">
        <v>381.2</v>
      </c>
      <c r="D513">
        <v>381.2</v>
      </c>
      <c r="E513">
        <v>380.25</v>
      </c>
      <c r="F513" t="s">
        <v>6206</v>
      </c>
      <c r="G513" s="9">
        <v>0</v>
      </c>
    </row>
    <row r="514" spans="1:7" x14ac:dyDescent="0.3">
      <c r="A514" s="4">
        <v>44183</v>
      </c>
      <c r="B514">
        <v>380.7</v>
      </c>
      <c r="C514">
        <v>381.2</v>
      </c>
      <c r="D514">
        <v>381.35</v>
      </c>
      <c r="E514">
        <v>380.25</v>
      </c>
      <c r="F514" t="s">
        <v>6206</v>
      </c>
      <c r="G514" s="9">
        <v>0</v>
      </c>
    </row>
    <row r="515" spans="1:7" x14ac:dyDescent="0.3">
      <c r="A515" s="4">
        <v>44186</v>
      </c>
      <c r="B515">
        <v>380.7</v>
      </c>
      <c r="C515">
        <v>381.2</v>
      </c>
      <c r="D515">
        <v>381.35</v>
      </c>
      <c r="E515">
        <v>381.1</v>
      </c>
      <c r="F515" t="s">
        <v>6206</v>
      </c>
      <c r="G515" s="9">
        <v>0</v>
      </c>
    </row>
    <row r="516" spans="1:7" x14ac:dyDescent="0.3">
      <c r="A516" s="4">
        <v>44187</v>
      </c>
      <c r="B516">
        <v>380.7</v>
      </c>
      <c r="C516">
        <v>381.2</v>
      </c>
      <c r="D516">
        <v>381.35</v>
      </c>
      <c r="E516">
        <v>381.1</v>
      </c>
      <c r="F516" t="s">
        <v>6206</v>
      </c>
      <c r="G516" s="9">
        <v>0</v>
      </c>
    </row>
    <row r="517" spans="1:7" x14ac:dyDescent="0.3">
      <c r="A517" s="4">
        <v>44188</v>
      </c>
      <c r="B517">
        <v>380.7</v>
      </c>
      <c r="C517">
        <v>381.2</v>
      </c>
      <c r="D517">
        <v>381.2</v>
      </c>
      <c r="E517">
        <v>381.2</v>
      </c>
      <c r="G517" s="9">
        <v>0</v>
      </c>
    </row>
    <row r="518" spans="1:7" x14ac:dyDescent="0.3">
      <c r="A518" s="4">
        <v>44189</v>
      </c>
      <c r="B518">
        <v>380.7</v>
      </c>
      <c r="C518">
        <v>381.2</v>
      </c>
      <c r="D518">
        <v>381.2</v>
      </c>
      <c r="E518">
        <v>381.2</v>
      </c>
      <c r="G518" s="9">
        <v>0</v>
      </c>
    </row>
    <row r="519" spans="1:7" x14ac:dyDescent="0.3">
      <c r="A519" s="4">
        <v>44190</v>
      </c>
      <c r="B519">
        <v>380.7</v>
      </c>
      <c r="C519">
        <v>381.2</v>
      </c>
      <c r="D519">
        <v>381.2</v>
      </c>
      <c r="E519">
        <v>381.2</v>
      </c>
      <c r="G519" s="9">
        <v>0</v>
      </c>
    </row>
    <row r="520" spans="1:7" x14ac:dyDescent="0.3">
      <c r="A520" s="4">
        <v>44193</v>
      </c>
      <c r="B520">
        <v>380.7</v>
      </c>
      <c r="C520">
        <v>381.2</v>
      </c>
      <c r="D520">
        <v>381.2</v>
      </c>
      <c r="E520">
        <v>381.2</v>
      </c>
      <c r="G520" s="9">
        <v>0</v>
      </c>
    </row>
    <row r="521" spans="1:7" x14ac:dyDescent="0.3">
      <c r="A521" s="4">
        <v>44194</v>
      </c>
      <c r="B521">
        <v>380.7</v>
      </c>
      <c r="C521">
        <v>381.2</v>
      </c>
      <c r="D521">
        <v>381.35</v>
      </c>
      <c r="E521">
        <v>380.25</v>
      </c>
      <c r="F521" t="s">
        <v>6206</v>
      </c>
      <c r="G521" s="9">
        <v>0</v>
      </c>
    </row>
    <row r="522" spans="1:7" x14ac:dyDescent="0.3">
      <c r="A522" s="4">
        <v>44195</v>
      </c>
      <c r="B522">
        <v>380.7</v>
      </c>
      <c r="C522">
        <v>381.2</v>
      </c>
      <c r="D522">
        <v>381.2</v>
      </c>
      <c r="E522">
        <v>381.18</v>
      </c>
      <c r="F522" t="s">
        <v>6205</v>
      </c>
      <c r="G522" s="9">
        <v>0</v>
      </c>
    </row>
    <row r="523" spans="1:7" x14ac:dyDescent="0.3">
      <c r="A523" s="4">
        <v>44196</v>
      </c>
      <c r="B523">
        <v>380.7</v>
      </c>
      <c r="C523">
        <v>381.2</v>
      </c>
      <c r="D523">
        <v>381.2</v>
      </c>
      <c r="E523">
        <v>381.2</v>
      </c>
      <c r="G523" s="9">
        <v>0</v>
      </c>
    </row>
    <row r="524" spans="1:7" x14ac:dyDescent="0.3">
      <c r="A524" s="4">
        <v>44197</v>
      </c>
      <c r="B524">
        <v>380.7</v>
      </c>
      <c r="C524">
        <v>381.2</v>
      </c>
      <c r="D524">
        <v>381.2</v>
      </c>
      <c r="E524">
        <v>381.2</v>
      </c>
      <c r="G524" s="9">
        <v>0</v>
      </c>
    </row>
    <row r="525" spans="1:7" x14ac:dyDescent="0.3">
      <c r="A525" s="4">
        <v>44198</v>
      </c>
      <c r="B525">
        <v>380.7</v>
      </c>
      <c r="C525">
        <v>381.2</v>
      </c>
      <c r="D525">
        <v>381.2</v>
      </c>
      <c r="E525">
        <v>381.2</v>
      </c>
      <c r="G525" s="9">
        <v>0</v>
      </c>
    </row>
    <row r="526" spans="1:7" x14ac:dyDescent="0.3">
      <c r="A526" s="4">
        <v>44199</v>
      </c>
      <c r="B526">
        <v>380.55</v>
      </c>
      <c r="C526">
        <v>381.08</v>
      </c>
      <c r="D526">
        <v>381.29</v>
      </c>
      <c r="E526">
        <v>381.02499999999998</v>
      </c>
      <c r="F526" t="s">
        <v>6205</v>
      </c>
      <c r="G526" s="9">
        <v>-1E-4</v>
      </c>
    </row>
    <row r="527" spans="1:7" x14ac:dyDescent="0.3">
      <c r="A527" s="4">
        <v>44200</v>
      </c>
      <c r="B527">
        <v>380.55</v>
      </c>
      <c r="C527">
        <v>381.05</v>
      </c>
      <c r="D527">
        <v>381.27499999999998</v>
      </c>
      <c r="E527">
        <v>380.75</v>
      </c>
      <c r="F527" t="s">
        <v>6206</v>
      </c>
      <c r="G527" s="9">
        <v>0</v>
      </c>
    </row>
    <row r="528" spans="1:7" x14ac:dyDescent="0.3">
      <c r="A528" s="4">
        <v>44202</v>
      </c>
      <c r="B528">
        <v>410.48</v>
      </c>
      <c r="C528">
        <v>413</v>
      </c>
      <c r="D528">
        <v>413.375</v>
      </c>
      <c r="E528">
        <v>410.5</v>
      </c>
      <c r="F528" t="s">
        <v>6205</v>
      </c>
      <c r="G528" s="9">
        <v>0</v>
      </c>
    </row>
    <row r="529" spans="1:7" x14ac:dyDescent="0.3">
      <c r="A529" s="4">
        <v>44203</v>
      </c>
      <c r="B529">
        <v>411</v>
      </c>
      <c r="C529">
        <v>411.5</v>
      </c>
      <c r="D529">
        <v>411.5</v>
      </c>
      <c r="E529">
        <v>411.5</v>
      </c>
      <c r="G529" s="9">
        <v>0</v>
      </c>
    </row>
    <row r="530" spans="1:7" x14ac:dyDescent="0.3">
      <c r="A530" s="4">
        <v>44205</v>
      </c>
      <c r="B530">
        <v>411</v>
      </c>
      <c r="C530">
        <v>411.5</v>
      </c>
      <c r="D530">
        <v>412</v>
      </c>
      <c r="E530">
        <v>411.5</v>
      </c>
      <c r="F530" t="s">
        <v>6206</v>
      </c>
      <c r="G530" s="9">
        <v>0</v>
      </c>
    </row>
    <row r="531" spans="1:7" x14ac:dyDescent="0.3">
      <c r="A531" s="4">
        <v>44206</v>
      </c>
      <c r="B531">
        <v>409.77</v>
      </c>
      <c r="C531">
        <v>410.8</v>
      </c>
      <c r="D531">
        <v>410.8</v>
      </c>
      <c r="E531">
        <v>410.77</v>
      </c>
      <c r="F531" t="s">
        <v>6205</v>
      </c>
      <c r="G531" s="9">
        <v>-1E-4</v>
      </c>
    </row>
    <row r="532" spans="1:7" x14ac:dyDescent="0.3">
      <c r="A532" s="4">
        <v>44207</v>
      </c>
      <c r="B532">
        <v>410.05</v>
      </c>
      <c r="C532">
        <v>410.31</v>
      </c>
      <c r="D532">
        <v>413.5</v>
      </c>
      <c r="E532">
        <v>409.5</v>
      </c>
      <c r="F532" t="s">
        <v>6205</v>
      </c>
      <c r="G532" s="9">
        <v>0</v>
      </c>
    </row>
    <row r="533" spans="1:7" x14ac:dyDescent="0.3">
      <c r="A533" s="4">
        <v>44208</v>
      </c>
      <c r="B533">
        <v>409.66</v>
      </c>
      <c r="C533">
        <v>409.89</v>
      </c>
      <c r="D533">
        <v>409.91</v>
      </c>
      <c r="E533">
        <v>409.89</v>
      </c>
      <c r="F533" t="s">
        <v>6205</v>
      </c>
      <c r="G533" s="9">
        <v>0</v>
      </c>
    </row>
    <row r="534" spans="1:7" x14ac:dyDescent="0.3">
      <c r="A534" s="4">
        <v>44209</v>
      </c>
      <c r="B534">
        <v>380.7</v>
      </c>
      <c r="C534">
        <v>381.2</v>
      </c>
      <c r="D534">
        <v>381.2</v>
      </c>
      <c r="E534">
        <v>380.25</v>
      </c>
      <c r="F534" t="s">
        <v>6205</v>
      </c>
      <c r="G534" s="9">
        <v>0</v>
      </c>
    </row>
    <row r="535" spans="1:7" x14ac:dyDescent="0.3">
      <c r="A535" s="4">
        <v>44210</v>
      </c>
      <c r="B535">
        <v>380.7</v>
      </c>
      <c r="C535">
        <v>381.2</v>
      </c>
      <c r="D535">
        <v>381.35</v>
      </c>
      <c r="E535">
        <v>381.1</v>
      </c>
      <c r="F535" t="s">
        <v>6206</v>
      </c>
      <c r="G535" s="9">
        <v>0</v>
      </c>
    </row>
    <row r="536" spans="1:7" x14ac:dyDescent="0.3">
      <c r="A536" s="4">
        <v>44211</v>
      </c>
      <c r="B536">
        <v>380.7</v>
      </c>
      <c r="C536">
        <v>381.2</v>
      </c>
      <c r="D536">
        <v>381.35</v>
      </c>
      <c r="E536">
        <v>381.1</v>
      </c>
      <c r="F536" t="s">
        <v>6206</v>
      </c>
      <c r="G536" s="9">
        <v>0</v>
      </c>
    </row>
    <row r="537" spans="1:7" x14ac:dyDescent="0.3">
      <c r="A537" s="4">
        <v>44214</v>
      </c>
      <c r="B537">
        <v>380.7</v>
      </c>
      <c r="C537">
        <v>381.2</v>
      </c>
      <c r="D537">
        <v>381.35</v>
      </c>
      <c r="E537">
        <v>381.1</v>
      </c>
      <c r="F537" t="s">
        <v>6206</v>
      </c>
      <c r="G537" s="9">
        <v>0</v>
      </c>
    </row>
    <row r="538" spans="1:7" x14ac:dyDescent="0.3">
      <c r="A538" s="4">
        <v>44215</v>
      </c>
      <c r="B538">
        <v>380.7</v>
      </c>
      <c r="C538">
        <v>381.2</v>
      </c>
      <c r="D538">
        <v>381.35</v>
      </c>
      <c r="E538">
        <v>380.25</v>
      </c>
      <c r="F538" t="s">
        <v>6206</v>
      </c>
      <c r="G538" s="9">
        <v>0</v>
      </c>
    </row>
    <row r="539" spans="1:7" x14ac:dyDescent="0.3">
      <c r="A539" s="4">
        <v>44216</v>
      </c>
      <c r="B539">
        <v>380.7</v>
      </c>
      <c r="C539">
        <v>381.2</v>
      </c>
      <c r="D539">
        <v>381.35</v>
      </c>
      <c r="E539">
        <v>381.1</v>
      </c>
      <c r="F539" t="s">
        <v>6206</v>
      </c>
      <c r="G539" s="9">
        <v>0</v>
      </c>
    </row>
    <row r="540" spans="1:7" x14ac:dyDescent="0.3">
      <c r="A540" s="4">
        <v>44217</v>
      </c>
      <c r="B540">
        <v>380.7</v>
      </c>
      <c r="C540">
        <v>381.2</v>
      </c>
      <c r="D540">
        <v>381.35</v>
      </c>
      <c r="E540">
        <v>381.1</v>
      </c>
      <c r="F540" t="s">
        <v>6206</v>
      </c>
      <c r="G540" s="9">
        <v>0</v>
      </c>
    </row>
    <row r="541" spans="1:7" x14ac:dyDescent="0.3">
      <c r="A541" s="4">
        <v>44218</v>
      </c>
      <c r="B541">
        <v>380.7</v>
      </c>
      <c r="C541">
        <v>381.2</v>
      </c>
      <c r="D541">
        <v>381.2</v>
      </c>
      <c r="E541">
        <v>381.2</v>
      </c>
      <c r="G541" s="9">
        <v>0</v>
      </c>
    </row>
    <row r="542" spans="1:7" x14ac:dyDescent="0.3">
      <c r="A542" s="4">
        <v>44221</v>
      </c>
      <c r="B542">
        <v>380.7</v>
      </c>
      <c r="C542">
        <v>381.2</v>
      </c>
      <c r="D542">
        <v>381.35</v>
      </c>
      <c r="E542">
        <v>381.1</v>
      </c>
      <c r="F542" t="s">
        <v>6206</v>
      </c>
      <c r="G542" s="9">
        <v>0</v>
      </c>
    </row>
    <row r="543" spans="1:7" x14ac:dyDescent="0.3">
      <c r="A543" s="4">
        <v>44222</v>
      </c>
      <c r="B543">
        <v>380.7</v>
      </c>
      <c r="C543">
        <v>381.2</v>
      </c>
      <c r="D543">
        <v>381.35</v>
      </c>
      <c r="E543">
        <v>381.1</v>
      </c>
      <c r="F543" t="s">
        <v>6206</v>
      </c>
      <c r="G543" s="9">
        <v>0</v>
      </c>
    </row>
    <row r="544" spans="1:7" x14ac:dyDescent="0.3">
      <c r="A544" s="4">
        <v>44223</v>
      </c>
      <c r="B544">
        <v>380.68</v>
      </c>
      <c r="C544">
        <v>381.2</v>
      </c>
      <c r="D544">
        <v>381.35</v>
      </c>
      <c r="E544">
        <v>380.75</v>
      </c>
      <c r="F544" t="s">
        <v>6206</v>
      </c>
      <c r="G544" s="9">
        <v>-1E-4</v>
      </c>
    </row>
    <row r="545" spans="1:7" x14ac:dyDescent="0.3">
      <c r="A545" s="4">
        <v>44224</v>
      </c>
      <c r="B545">
        <v>380.7</v>
      </c>
      <c r="C545">
        <v>381.18</v>
      </c>
      <c r="D545">
        <v>381.2</v>
      </c>
      <c r="E545">
        <v>381.18</v>
      </c>
      <c r="F545" t="s">
        <v>6205</v>
      </c>
      <c r="G545" s="9">
        <v>1E-4</v>
      </c>
    </row>
    <row r="546" spans="1:7" x14ac:dyDescent="0.3">
      <c r="A546" s="4">
        <v>44225</v>
      </c>
      <c r="B546">
        <v>380.7</v>
      </c>
      <c r="C546">
        <v>381.2</v>
      </c>
      <c r="D546">
        <v>381.2</v>
      </c>
      <c r="E546">
        <v>381.2</v>
      </c>
      <c r="G546" s="9">
        <v>0</v>
      </c>
    </row>
    <row r="547" spans="1:7" x14ac:dyDescent="0.3">
      <c r="A547" s="4">
        <v>44229</v>
      </c>
      <c r="B547">
        <v>380.7</v>
      </c>
      <c r="C547">
        <v>381.2</v>
      </c>
      <c r="D547">
        <v>381.35</v>
      </c>
      <c r="E547">
        <v>380.75</v>
      </c>
      <c r="F547" t="s">
        <v>6206</v>
      </c>
      <c r="G547" s="9">
        <v>0</v>
      </c>
    </row>
    <row r="548" spans="1:7" x14ac:dyDescent="0.3">
      <c r="A548" s="4">
        <v>44230</v>
      </c>
      <c r="B548">
        <v>380.55</v>
      </c>
      <c r="C548">
        <v>381.05</v>
      </c>
      <c r="D548">
        <v>381.27499999999998</v>
      </c>
      <c r="E548">
        <v>381.02499999999998</v>
      </c>
      <c r="F548" t="s">
        <v>6206</v>
      </c>
      <c r="G548" s="9">
        <v>0</v>
      </c>
    </row>
    <row r="549" spans="1:7" x14ac:dyDescent="0.3">
      <c r="A549" s="4">
        <v>44231</v>
      </c>
      <c r="B549">
        <v>380.55</v>
      </c>
      <c r="C549">
        <v>381.05</v>
      </c>
      <c r="D549">
        <v>381.05</v>
      </c>
      <c r="E549">
        <v>381.05</v>
      </c>
      <c r="G549" s="9">
        <v>0</v>
      </c>
    </row>
    <row r="550" spans="1:7" x14ac:dyDescent="0.3">
      <c r="A550" s="4">
        <v>44233</v>
      </c>
      <c r="B550">
        <v>410.05</v>
      </c>
      <c r="C550">
        <v>412.98</v>
      </c>
      <c r="D550">
        <v>412.99</v>
      </c>
      <c r="E550">
        <v>410.5</v>
      </c>
      <c r="F550" t="s">
        <v>6208</v>
      </c>
      <c r="G550" s="9">
        <v>-1E-3</v>
      </c>
    </row>
    <row r="551" spans="1:7" x14ac:dyDescent="0.3">
      <c r="A551" s="4">
        <v>44234</v>
      </c>
      <c r="B551">
        <v>411</v>
      </c>
      <c r="C551">
        <v>411.5</v>
      </c>
      <c r="D551">
        <v>411.5</v>
      </c>
      <c r="E551">
        <v>411.25</v>
      </c>
      <c r="F551" t="s">
        <v>6206</v>
      </c>
      <c r="G551" s="9">
        <v>0</v>
      </c>
    </row>
    <row r="552" spans="1:7" x14ac:dyDescent="0.3">
      <c r="A552" s="4">
        <v>44235</v>
      </c>
      <c r="B552">
        <v>411</v>
      </c>
      <c r="C552">
        <v>411.5</v>
      </c>
      <c r="D552">
        <v>411.55</v>
      </c>
      <c r="E552">
        <v>411.25</v>
      </c>
      <c r="F552" t="s">
        <v>6205</v>
      </c>
      <c r="G552" s="9">
        <v>0</v>
      </c>
    </row>
    <row r="553" spans="1:7" x14ac:dyDescent="0.3">
      <c r="A553" s="4">
        <v>44236</v>
      </c>
      <c r="B553">
        <v>411</v>
      </c>
      <c r="C553">
        <v>411.5</v>
      </c>
      <c r="D553">
        <v>412</v>
      </c>
      <c r="E553">
        <v>410.5</v>
      </c>
      <c r="F553" t="s">
        <v>6205</v>
      </c>
      <c r="G553" s="9">
        <v>0</v>
      </c>
    </row>
    <row r="554" spans="1:7" x14ac:dyDescent="0.3">
      <c r="A554" s="4">
        <v>44238</v>
      </c>
      <c r="B554">
        <v>410.17</v>
      </c>
      <c r="C554">
        <v>410.3</v>
      </c>
      <c r="D554">
        <v>410.42</v>
      </c>
      <c r="E554">
        <v>410.3</v>
      </c>
      <c r="F554" t="s">
        <v>6205</v>
      </c>
      <c r="G554" s="9">
        <v>2.9999999999999997E-4</v>
      </c>
    </row>
    <row r="555" spans="1:7" x14ac:dyDescent="0.3">
      <c r="A555" s="4">
        <v>44239</v>
      </c>
      <c r="B555">
        <v>409.7</v>
      </c>
      <c r="C555">
        <v>409.91</v>
      </c>
      <c r="D555">
        <v>409.97</v>
      </c>
      <c r="E555">
        <v>409.91</v>
      </c>
      <c r="F555" t="s">
        <v>6205</v>
      </c>
      <c r="G555" s="9">
        <v>1E-4</v>
      </c>
    </row>
    <row r="556" spans="1:7" x14ac:dyDescent="0.3">
      <c r="A556" s="4">
        <v>44242</v>
      </c>
      <c r="B556">
        <v>380.65</v>
      </c>
      <c r="C556">
        <v>381.15</v>
      </c>
      <c r="D556">
        <v>381.32499999999999</v>
      </c>
      <c r="E556">
        <v>381.07499999999999</v>
      </c>
      <c r="F556" t="s">
        <v>6207</v>
      </c>
      <c r="G556" s="9">
        <v>0</v>
      </c>
    </row>
    <row r="557" spans="1:7" x14ac:dyDescent="0.3">
      <c r="A557" s="4">
        <v>44243</v>
      </c>
      <c r="B557">
        <v>380.65</v>
      </c>
      <c r="C557">
        <v>381.15</v>
      </c>
      <c r="D557">
        <v>381.32499999999999</v>
      </c>
      <c r="E557">
        <v>381.07499999999999</v>
      </c>
      <c r="F557" t="s">
        <v>6206</v>
      </c>
      <c r="G557" s="9">
        <v>0</v>
      </c>
    </row>
    <row r="558" spans="1:7" x14ac:dyDescent="0.3">
      <c r="A558" s="4">
        <v>44244</v>
      </c>
      <c r="B558">
        <v>380.65</v>
      </c>
      <c r="C558">
        <v>381.15</v>
      </c>
      <c r="D558">
        <v>381.32499999999999</v>
      </c>
      <c r="E558">
        <v>381.07499999999999</v>
      </c>
      <c r="F558" t="s">
        <v>6206</v>
      </c>
      <c r="G558" s="9">
        <v>0</v>
      </c>
    </row>
    <row r="559" spans="1:7" x14ac:dyDescent="0.3">
      <c r="A559" s="4">
        <v>44245</v>
      </c>
      <c r="B559">
        <v>380.6</v>
      </c>
      <c r="C559">
        <v>381.15</v>
      </c>
      <c r="D559">
        <v>381.15</v>
      </c>
      <c r="E559">
        <v>381.1</v>
      </c>
      <c r="F559" t="s">
        <v>6205</v>
      </c>
      <c r="G559" s="9">
        <v>-1E-4</v>
      </c>
    </row>
    <row r="560" spans="1:7" x14ac:dyDescent="0.3">
      <c r="A560" s="4">
        <v>44246</v>
      </c>
      <c r="B560">
        <v>380.6</v>
      </c>
      <c r="C560">
        <v>381.1</v>
      </c>
      <c r="D560">
        <v>381.3</v>
      </c>
      <c r="E560">
        <v>381.05</v>
      </c>
      <c r="F560" t="s">
        <v>6206</v>
      </c>
      <c r="G560" s="9">
        <v>0</v>
      </c>
    </row>
    <row r="561" spans="1:7" x14ac:dyDescent="0.3">
      <c r="A561" s="4">
        <v>44249</v>
      </c>
      <c r="B561">
        <v>380.6</v>
      </c>
      <c r="C561">
        <v>381.1</v>
      </c>
      <c r="D561">
        <v>381.3</v>
      </c>
      <c r="E561">
        <v>381.05</v>
      </c>
      <c r="F561" t="s">
        <v>6206</v>
      </c>
      <c r="G561" s="9">
        <v>0</v>
      </c>
    </row>
    <row r="562" spans="1:7" x14ac:dyDescent="0.3">
      <c r="A562" s="4">
        <v>44250</v>
      </c>
      <c r="B562">
        <v>380.6</v>
      </c>
      <c r="C562">
        <v>381.1</v>
      </c>
      <c r="D562">
        <v>381.3</v>
      </c>
      <c r="E562">
        <v>381.05</v>
      </c>
      <c r="F562" t="s">
        <v>6206</v>
      </c>
      <c r="G562" s="9">
        <v>0</v>
      </c>
    </row>
    <row r="563" spans="1:7" x14ac:dyDescent="0.3">
      <c r="A563" s="4">
        <v>44251</v>
      </c>
      <c r="B563">
        <v>380.6</v>
      </c>
      <c r="C563">
        <v>381.1</v>
      </c>
      <c r="D563">
        <v>381.3</v>
      </c>
      <c r="E563">
        <v>380.75</v>
      </c>
      <c r="F563" t="s">
        <v>6206</v>
      </c>
      <c r="G563" s="9">
        <v>0</v>
      </c>
    </row>
    <row r="564" spans="1:7" x14ac:dyDescent="0.3">
      <c r="A564" s="4">
        <v>44252</v>
      </c>
      <c r="B564">
        <v>380.58</v>
      </c>
      <c r="C564">
        <v>381.1</v>
      </c>
      <c r="D564">
        <v>381.3</v>
      </c>
      <c r="E564">
        <v>381.04</v>
      </c>
      <c r="F564" t="s">
        <v>6205</v>
      </c>
      <c r="G564" s="9">
        <v>-1E-4</v>
      </c>
    </row>
    <row r="565" spans="1:7" x14ac:dyDescent="0.3">
      <c r="A565" s="4">
        <v>44253</v>
      </c>
      <c r="B565">
        <v>380.58</v>
      </c>
      <c r="C565">
        <v>381.08</v>
      </c>
      <c r="D565">
        <v>381.29</v>
      </c>
      <c r="E565">
        <v>381.04</v>
      </c>
      <c r="F565" t="s">
        <v>6206</v>
      </c>
      <c r="G565" s="9">
        <v>0</v>
      </c>
    </row>
    <row r="566" spans="1:7" x14ac:dyDescent="0.3">
      <c r="A566" s="4">
        <v>44257</v>
      </c>
      <c r="B566">
        <v>380.7</v>
      </c>
      <c r="C566">
        <v>381.2</v>
      </c>
      <c r="D566">
        <v>381.35</v>
      </c>
      <c r="E566">
        <v>381.1</v>
      </c>
      <c r="F566" t="s">
        <v>6206</v>
      </c>
      <c r="G566" s="9">
        <v>0</v>
      </c>
    </row>
    <row r="567" spans="1:7" x14ac:dyDescent="0.3">
      <c r="A567" s="4">
        <v>44258</v>
      </c>
      <c r="B567">
        <v>380.55</v>
      </c>
      <c r="C567">
        <v>381.05</v>
      </c>
      <c r="D567">
        <v>381.27499999999998</v>
      </c>
      <c r="E567">
        <v>380.75</v>
      </c>
      <c r="F567" t="s">
        <v>6206</v>
      </c>
      <c r="G567" s="9">
        <v>0</v>
      </c>
    </row>
    <row r="568" spans="1:7" x14ac:dyDescent="0.3">
      <c r="A568" s="4">
        <v>44260</v>
      </c>
      <c r="B568">
        <v>380.57</v>
      </c>
      <c r="C568">
        <v>381.05</v>
      </c>
      <c r="D568">
        <v>381.07</v>
      </c>
      <c r="E568">
        <v>381.05</v>
      </c>
      <c r="F568" t="s">
        <v>6205</v>
      </c>
      <c r="G568" s="9">
        <v>1E-4</v>
      </c>
    </row>
    <row r="569" spans="1:7" x14ac:dyDescent="0.3">
      <c r="A569" s="4">
        <v>44261</v>
      </c>
      <c r="B569">
        <v>410.05</v>
      </c>
      <c r="C569">
        <v>412.55</v>
      </c>
      <c r="D569">
        <v>412.55</v>
      </c>
      <c r="E569">
        <v>410.25</v>
      </c>
      <c r="F569" t="s">
        <v>6206</v>
      </c>
      <c r="G569" s="9">
        <v>0</v>
      </c>
    </row>
    <row r="570" spans="1:7" x14ac:dyDescent="0.3">
      <c r="A570" s="4">
        <v>44263</v>
      </c>
      <c r="B570">
        <v>411</v>
      </c>
      <c r="C570">
        <v>411.5</v>
      </c>
      <c r="D570">
        <v>411.5</v>
      </c>
      <c r="E570">
        <v>411.5</v>
      </c>
      <c r="G570" s="9">
        <v>0</v>
      </c>
    </row>
    <row r="571" spans="1:7" x14ac:dyDescent="0.3">
      <c r="A571" s="4">
        <v>44264</v>
      </c>
      <c r="B571">
        <v>411.02</v>
      </c>
      <c r="C571">
        <v>411.5</v>
      </c>
      <c r="D571">
        <v>411.52</v>
      </c>
      <c r="E571">
        <v>410.75</v>
      </c>
      <c r="F571" t="s">
        <v>6205</v>
      </c>
      <c r="G571" s="9">
        <v>0</v>
      </c>
    </row>
    <row r="572" spans="1:7" x14ac:dyDescent="0.3">
      <c r="A572" s="4">
        <v>44266</v>
      </c>
      <c r="B572">
        <v>410.21</v>
      </c>
      <c r="C572">
        <v>410.42</v>
      </c>
      <c r="D572">
        <v>414.23</v>
      </c>
      <c r="E572">
        <v>410.4</v>
      </c>
      <c r="F572" t="s">
        <v>6205</v>
      </c>
      <c r="G572" s="9">
        <v>1E-4</v>
      </c>
    </row>
    <row r="573" spans="1:7" x14ac:dyDescent="0.3">
      <c r="A573" s="4">
        <v>44267</v>
      </c>
      <c r="B573">
        <v>409.73</v>
      </c>
      <c r="C573">
        <v>409.95</v>
      </c>
      <c r="D573">
        <v>409.98</v>
      </c>
      <c r="E573">
        <v>409.95</v>
      </c>
      <c r="F573" t="s">
        <v>6206</v>
      </c>
      <c r="G573" s="9">
        <v>1E-4</v>
      </c>
    </row>
    <row r="574" spans="1:7" x14ac:dyDescent="0.3">
      <c r="A574" s="4">
        <v>44270</v>
      </c>
      <c r="B574">
        <v>380.55</v>
      </c>
      <c r="C574">
        <v>381.05</v>
      </c>
      <c r="D574">
        <v>381.27499999999998</v>
      </c>
      <c r="E574">
        <v>380.75</v>
      </c>
      <c r="F574" t="s">
        <v>6206</v>
      </c>
      <c r="G574" s="9">
        <v>0</v>
      </c>
    </row>
    <row r="575" spans="1:7" x14ac:dyDescent="0.3">
      <c r="A575" s="4">
        <v>44271</v>
      </c>
      <c r="B575">
        <v>380.55</v>
      </c>
      <c r="C575">
        <v>381.05</v>
      </c>
      <c r="D575">
        <v>381.05</v>
      </c>
      <c r="E575">
        <v>380.75</v>
      </c>
      <c r="F575" t="s">
        <v>6207</v>
      </c>
      <c r="G575" s="9">
        <v>0</v>
      </c>
    </row>
    <row r="576" spans="1:7" x14ac:dyDescent="0.3">
      <c r="A576" s="4">
        <v>44272</v>
      </c>
      <c r="B576">
        <v>380.55</v>
      </c>
      <c r="C576">
        <v>381.05</v>
      </c>
      <c r="D576">
        <v>381.05</v>
      </c>
      <c r="E576">
        <v>380.75</v>
      </c>
      <c r="F576" t="s">
        <v>6206</v>
      </c>
      <c r="G576" s="9">
        <v>0</v>
      </c>
    </row>
    <row r="577" spans="1:7" x14ac:dyDescent="0.3">
      <c r="A577" s="4">
        <v>44273</v>
      </c>
      <c r="B577">
        <v>380.55</v>
      </c>
      <c r="C577">
        <v>381.05</v>
      </c>
      <c r="D577">
        <v>381.27499999999998</v>
      </c>
      <c r="E577">
        <v>381.02499999999998</v>
      </c>
      <c r="F577" t="s">
        <v>6206</v>
      </c>
      <c r="G577" s="9">
        <v>0</v>
      </c>
    </row>
    <row r="578" spans="1:7" x14ac:dyDescent="0.3">
      <c r="A578" s="4">
        <v>44274</v>
      </c>
      <c r="B578">
        <v>380.55</v>
      </c>
      <c r="C578">
        <v>381.05</v>
      </c>
      <c r="D578">
        <v>381.05</v>
      </c>
      <c r="E578">
        <v>380.75</v>
      </c>
      <c r="F578" t="s">
        <v>6206</v>
      </c>
      <c r="G578" s="9">
        <v>0</v>
      </c>
    </row>
    <row r="579" spans="1:7" x14ac:dyDescent="0.3">
      <c r="A579" s="4">
        <v>44277</v>
      </c>
      <c r="B579">
        <v>380.55</v>
      </c>
      <c r="C579">
        <v>381.05</v>
      </c>
      <c r="D579">
        <v>381.27499999999998</v>
      </c>
      <c r="E579">
        <v>381.02499999999998</v>
      </c>
      <c r="F579" t="s">
        <v>6206</v>
      </c>
      <c r="G579" s="9">
        <v>0</v>
      </c>
    </row>
    <row r="580" spans="1:7" x14ac:dyDescent="0.3">
      <c r="A580" s="4">
        <v>44278</v>
      </c>
      <c r="B580">
        <v>380.55</v>
      </c>
      <c r="C580">
        <v>381.05</v>
      </c>
      <c r="D580">
        <v>381.05</v>
      </c>
      <c r="E580">
        <v>381.05</v>
      </c>
      <c r="G580" s="9">
        <v>0</v>
      </c>
    </row>
    <row r="581" spans="1:7" x14ac:dyDescent="0.3">
      <c r="A581" s="4">
        <v>44279</v>
      </c>
      <c r="B581">
        <v>380.55</v>
      </c>
      <c r="C581">
        <v>381.05</v>
      </c>
      <c r="D581">
        <v>381.05</v>
      </c>
      <c r="E581">
        <v>380.75</v>
      </c>
      <c r="F581" t="s">
        <v>6207</v>
      </c>
      <c r="G581" s="9">
        <v>0</v>
      </c>
    </row>
    <row r="582" spans="1:7" x14ac:dyDescent="0.3">
      <c r="A582" s="4">
        <v>44280</v>
      </c>
      <c r="B582">
        <v>380.55</v>
      </c>
      <c r="C582">
        <v>381.05</v>
      </c>
      <c r="D582">
        <v>381.05</v>
      </c>
      <c r="E582">
        <v>380.75</v>
      </c>
      <c r="F582" t="s">
        <v>6206</v>
      </c>
      <c r="G582" s="9">
        <v>0</v>
      </c>
    </row>
    <row r="583" spans="1:7" x14ac:dyDescent="0.3">
      <c r="A583" s="4">
        <v>44281</v>
      </c>
      <c r="B583">
        <v>380.55</v>
      </c>
      <c r="C583">
        <v>381.05</v>
      </c>
      <c r="D583">
        <v>381.05</v>
      </c>
      <c r="E583">
        <v>381.05</v>
      </c>
      <c r="G583" s="9">
        <v>0</v>
      </c>
    </row>
    <row r="584" spans="1:7" x14ac:dyDescent="0.3">
      <c r="A584" s="4">
        <v>44284</v>
      </c>
      <c r="B584">
        <v>380.55</v>
      </c>
      <c r="C584">
        <v>381.05</v>
      </c>
      <c r="D584">
        <v>381.05</v>
      </c>
      <c r="E584">
        <v>380.75</v>
      </c>
      <c r="F584" t="s">
        <v>6206</v>
      </c>
      <c r="G584" s="9">
        <v>0</v>
      </c>
    </row>
    <row r="585" spans="1:7" x14ac:dyDescent="0.3">
      <c r="A585" s="4">
        <v>44285</v>
      </c>
      <c r="B585">
        <v>380.55</v>
      </c>
      <c r="C585">
        <v>381.05</v>
      </c>
      <c r="D585">
        <v>381.05</v>
      </c>
      <c r="E585">
        <v>380.75</v>
      </c>
      <c r="F585" t="s">
        <v>6205</v>
      </c>
      <c r="G585" s="9">
        <v>0</v>
      </c>
    </row>
    <row r="586" spans="1:7" x14ac:dyDescent="0.3">
      <c r="A586" s="4">
        <v>44286</v>
      </c>
      <c r="B586">
        <v>380.55</v>
      </c>
      <c r="C586">
        <v>381.05</v>
      </c>
      <c r="D586">
        <v>381.05</v>
      </c>
      <c r="E586">
        <v>380.75</v>
      </c>
      <c r="F586" t="s">
        <v>6206</v>
      </c>
      <c r="G586" s="9">
        <v>0</v>
      </c>
    </row>
    <row r="587" spans="1:7" x14ac:dyDescent="0.3">
      <c r="A587" s="4">
        <v>44287</v>
      </c>
      <c r="B587">
        <v>380.7</v>
      </c>
      <c r="C587">
        <v>381.2</v>
      </c>
      <c r="D587">
        <v>381.35</v>
      </c>
      <c r="E587">
        <v>381.1</v>
      </c>
      <c r="G587" s="9">
        <v>0</v>
      </c>
    </row>
    <row r="588" spans="1:7" x14ac:dyDescent="0.3">
      <c r="A588" s="4">
        <v>44288</v>
      </c>
      <c r="B588">
        <v>380.7</v>
      </c>
      <c r="C588">
        <v>381.2</v>
      </c>
      <c r="D588">
        <v>381.35</v>
      </c>
      <c r="E588">
        <v>381.1</v>
      </c>
      <c r="F588" t="s">
        <v>6206</v>
      </c>
      <c r="G588" s="9">
        <v>0</v>
      </c>
    </row>
    <row r="589" spans="1:7" x14ac:dyDescent="0.3">
      <c r="A589" s="4">
        <v>44289</v>
      </c>
      <c r="B589">
        <v>380.55</v>
      </c>
      <c r="C589">
        <v>381.05</v>
      </c>
      <c r="D589">
        <v>381.27499999999998</v>
      </c>
      <c r="E589">
        <v>381.02499999999998</v>
      </c>
      <c r="F589" t="s">
        <v>6206</v>
      </c>
      <c r="G589" s="9">
        <v>0</v>
      </c>
    </row>
    <row r="590" spans="1:7" x14ac:dyDescent="0.3">
      <c r="A590" s="4">
        <v>44291</v>
      </c>
      <c r="B590">
        <v>380.57</v>
      </c>
      <c r="C590">
        <v>381.07</v>
      </c>
      <c r="D590">
        <v>381.28500000000003</v>
      </c>
      <c r="E590">
        <v>381.03500000000003</v>
      </c>
      <c r="F590" t="s">
        <v>6206</v>
      </c>
      <c r="G590" s="9">
        <v>0</v>
      </c>
    </row>
    <row r="591" spans="1:7" x14ac:dyDescent="0.3">
      <c r="A591" s="4">
        <v>44292</v>
      </c>
      <c r="B591">
        <v>410.05</v>
      </c>
      <c r="C591">
        <v>412.55</v>
      </c>
      <c r="D591">
        <v>412.55</v>
      </c>
      <c r="E591">
        <v>410.5</v>
      </c>
      <c r="F591" t="s">
        <v>6206</v>
      </c>
      <c r="G591" s="9">
        <v>0</v>
      </c>
    </row>
    <row r="592" spans="1:7" x14ac:dyDescent="0.3">
      <c r="A592" s="4">
        <v>44294</v>
      </c>
      <c r="B592">
        <v>411</v>
      </c>
      <c r="C592">
        <v>411.5</v>
      </c>
      <c r="D592">
        <v>411.5</v>
      </c>
      <c r="E592">
        <v>411.5</v>
      </c>
      <c r="G592" s="9">
        <v>0</v>
      </c>
    </row>
    <row r="593" spans="1:7" x14ac:dyDescent="0.3">
      <c r="A593" s="4">
        <v>44296</v>
      </c>
      <c r="B593">
        <v>409.8</v>
      </c>
      <c r="C593">
        <v>410.77</v>
      </c>
      <c r="D593">
        <v>413.5</v>
      </c>
      <c r="E593">
        <v>410.77</v>
      </c>
      <c r="F593" t="s">
        <v>6206</v>
      </c>
      <c r="G593" s="9">
        <v>1E-4</v>
      </c>
    </row>
    <row r="594" spans="1:7" x14ac:dyDescent="0.3">
      <c r="A594" s="4">
        <v>44297</v>
      </c>
      <c r="B594">
        <v>410.24</v>
      </c>
      <c r="C594">
        <v>410.46</v>
      </c>
      <c r="D594">
        <v>413.83</v>
      </c>
      <c r="E594">
        <v>410.45</v>
      </c>
      <c r="F594" t="s">
        <v>6205</v>
      </c>
      <c r="G594" s="9">
        <v>1E-4</v>
      </c>
    </row>
    <row r="595" spans="1:7" x14ac:dyDescent="0.3">
      <c r="A595" s="4">
        <v>44299</v>
      </c>
      <c r="B595">
        <v>380.55</v>
      </c>
      <c r="C595">
        <v>381.05</v>
      </c>
      <c r="D595">
        <v>381.27499999999998</v>
      </c>
      <c r="E595">
        <v>380.75</v>
      </c>
      <c r="F595" t="s">
        <v>6206</v>
      </c>
      <c r="G595" s="9">
        <v>0</v>
      </c>
    </row>
    <row r="596" spans="1:7" x14ac:dyDescent="0.3">
      <c r="A596" s="4">
        <v>44300</v>
      </c>
      <c r="B596">
        <v>380.55</v>
      </c>
      <c r="C596">
        <v>381.05</v>
      </c>
      <c r="D596">
        <v>381.27499999999998</v>
      </c>
      <c r="E596">
        <v>380.75</v>
      </c>
      <c r="F596" t="s">
        <v>6206</v>
      </c>
      <c r="G596" s="9">
        <v>0</v>
      </c>
    </row>
    <row r="597" spans="1:7" x14ac:dyDescent="0.3">
      <c r="A597" s="4">
        <v>44301</v>
      </c>
      <c r="B597">
        <v>380.55</v>
      </c>
      <c r="C597">
        <v>381.05</v>
      </c>
      <c r="D597">
        <v>381.27499999999998</v>
      </c>
      <c r="E597">
        <v>381.02499999999998</v>
      </c>
      <c r="F597" t="s">
        <v>6206</v>
      </c>
      <c r="G597" s="9">
        <v>0</v>
      </c>
    </row>
    <row r="598" spans="1:7" x14ac:dyDescent="0.3">
      <c r="A598" s="4">
        <v>44302</v>
      </c>
      <c r="B598">
        <v>380.55</v>
      </c>
      <c r="C598">
        <v>381.05</v>
      </c>
      <c r="D598">
        <v>381.27499999999998</v>
      </c>
      <c r="E598">
        <v>380.75</v>
      </c>
      <c r="F598" t="s">
        <v>6206</v>
      </c>
      <c r="G598" s="9">
        <v>0</v>
      </c>
    </row>
    <row r="599" spans="1:7" x14ac:dyDescent="0.3">
      <c r="A599" s="4">
        <v>44305</v>
      </c>
      <c r="B599">
        <v>380.55</v>
      </c>
      <c r="C599">
        <v>381.05</v>
      </c>
      <c r="D599">
        <v>381.27499999999998</v>
      </c>
      <c r="E599">
        <v>381.02499999999998</v>
      </c>
      <c r="F599" t="s">
        <v>6206</v>
      </c>
      <c r="G599" s="9">
        <v>0</v>
      </c>
    </row>
    <row r="600" spans="1:7" x14ac:dyDescent="0.3">
      <c r="A600" s="4">
        <v>44306</v>
      </c>
      <c r="B600">
        <v>380.55</v>
      </c>
      <c r="C600">
        <v>381.05</v>
      </c>
      <c r="D600">
        <v>381.27499999999998</v>
      </c>
      <c r="E600">
        <v>380.75</v>
      </c>
      <c r="F600" t="s">
        <v>6206</v>
      </c>
      <c r="G600" s="9">
        <v>0</v>
      </c>
    </row>
    <row r="601" spans="1:7" x14ac:dyDescent="0.3">
      <c r="A601" s="4">
        <v>44307</v>
      </c>
      <c r="B601">
        <v>380.55</v>
      </c>
      <c r="C601">
        <v>381.05</v>
      </c>
      <c r="D601">
        <v>381.27499999999998</v>
      </c>
      <c r="E601">
        <v>381.02499999999998</v>
      </c>
      <c r="F601" t="s">
        <v>6206</v>
      </c>
      <c r="G601" s="9">
        <v>0</v>
      </c>
    </row>
    <row r="602" spans="1:7" x14ac:dyDescent="0.3">
      <c r="A602" s="4">
        <v>44308</v>
      </c>
      <c r="B602">
        <v>380.55</v>
      </c>
      <c r="C602">
        <v>381.05</v>
      </c>
      <c r="D602">
        <v>381.27499999999998</v>
      </c>
      <c r="E602">
        <v>381.02499999999998</v>
      </c>
      <c r="F602" t="s">
        <v>6206</v>
      </c>
      <c r="G602" s="9">
        <v>0</v>
      </c>
    </row>
    <row r="603" spans="1:7" x14ac:dyDescent="0.3">
      <c r="A603" s="4">
        <v>44309</v>
      </c>
      <c r="B603">
        <v>380.55</v>
      </c>
      <c r="C603">
        <v>381.05</v>
      </c>
      <c r="D603">
        <v>381.27499999999998</v>
      </c>
      <c r="E603">
        <v>381.02499999999998</v>
      </c>
      <c r="F603" t="s">
        <v>6206</v>
      </c>
      <c r="G603" s="9">
        <v>0</v>
      </c>
    </row>
    <row r="604" spans="1:7" x14ac:dyDescent="0.3">
      <c r="A604" s="4">
        <v>44312</v>
      </c>
      <c r="B604">
        <v>380.55</v>
      </c>
      <c r="C604">
        <v>381.05</v>
      </c>
      <c r="D604">
        <v>381.27499999999998</v>
      </c>
      <c r="E604">
        <v>380.75</v>
      </c>
      <c r="F604" t="s">
        <v>6206</v>
      </c>
      <c r="G604" s="9">
        <v>0</v>
      </c>
    </row>
    <row r="605" spans="1:7" x14ac:dyDescent="0.3">
      <c r="A605" s="4">
        <v>44313</v>
      </c>
      <c r="B605">
        <v>380.55</v>
      </c>
      <c r="C605">
        <v>381.05</v>
      </c>
      <c r="D605">
        <v>381.27499999999998</v>
      </c>
      <c r="E605">
        <v>380.75</v>
      </c>
      <c r="F605" t="s">
        <v>6208</v>
      </c>
      <c r="G605" s="9">
        <v>0</v>
      </c>
    </row>
    <row r="606" spans="1:7" x14ac:dyDescent="0.3">
      <c r="A606" s="4">
        <v>44314</v>
      </c>
      <c r="B606">
        <v>380.55</v>
      </c>
      <c r="C606">
        <v>381.05</v>
      </c>
      <c r="D606">
        <v>381.05</v>
      </c>
      <c r="E606">
        <v>381.05</v>
      </c>
      <c r="G606" s="9">
        <v>0</v>
      </c>
    </row>
    <row r="607" spans="1:7" x14ac:dyDescent="0.3">
      <c r="A607" s="4">
        <v>44315</v>
      </c>
      <c r="B607">
        <v>380.55</v>
      </c>
      <c r="C607">
        <v>381.05</v>
      </c>
      <c r="D607">
        <v>381.05</v>
      </c>
      <c r="E607">
        <v>381.05</v>
      </c>
      <c r="G607" s="9">
        <v>0</v>
      </c>
    </row>
    <row r="608" spans="1:7" x14ac:dyDescent="0.3">
      <c r="A608" s="4">
        <v>44316</v>
      </c>
      <c r="B608">
        <v>380.55</v>
      </c>
      <c r="C608">
        <v>381.05</v>
      </c>
      <c r="D608">
        <v>381.05</v>
      </c>
      <c r="E608">
        <v>381.05</v>
      </c>
      <c r="G608" s="9">
        <v>0</v>
      </c>
    </row>
    <row r="609" spans="1:7" x14ac:dyDescent="0.3">
      <c r="A609" s="4">
        <v>44317</v>
      </c>
      <c r="B609">
        <v>380.7</v>
      </c>
      <c r="C609">
        <v>381.2</v>
      </c>
      <c r="D609">
        <v>381.2</v>
      </c>
      <c r="E609">
        <v>381.2</v>
      </c>
      <c r="G609" s="9">
        <v>0</v>
      </c>
    </row>
    <row r="610" spans="1:7" x14ac:dyDescent="0.3">
      <c r="A610" s="4">
        <v>44318</v>
      </c>
      <c r="B610">
        <v>380.7</v>
      </c>
      <c r="C610">
        <v>381.2</v>
      </c>
      <c r="D610">
        <v>381.35</v>
      </c>
      <c r="E610">
        <v>381.1</v>
      </c>
      <c r="F610" t="s">
        <v>6207</v>
      </c>
      <c r="G610" s="9">
        <v>0</v>
      </c>
    </row>
    <row r="611" spans="1:7" x14ac:dyDescent="0.3">
      <c r="A611" s="4">
        <v>44319</v>
      </c>
      <c r="B611">
        <v>380.55</v>
      </c>
      <c r="C611">
        <v>381.05</v>
      </c>
      <c r="D611">
        <v>381.27499999999998</v>
      </c>
      <c r="E611">
        <v>381.02499999999998</v>
      </c>
      <c r="F611" t="s">
        <v>6206</v>
      </c>
      <c r="G611" s="9">
        <v>0</v>
      </c>
    </row>
    <row r="612" spans="1:7" x14ac:dyDescent="0.3">
      <c r="A612" s="4">
        <v>44320</v>
      </c>
      <c r="B612">
        <v>380.55</v>
      </c>
      <c r="C612">
        <v>381.05</v>
      </c>
      <c r="D612">
        <v>381.05</v>
      </c>
      <c r="E612">
        <v>381.05</v>
      </c>
      <c r="G612" s="9">
        <v>0</v>
      </c>
    </row>
    <row r="613" spans="1:7" x14ac:dyDescent="0.3">
      <c r="A613" s="4">
        <v>44321</v>
      </c>
      <c r="B613">
        <v>380.57</v>
      </c>
      <c r="C613">
        <v>381.07</v>
      </c>
      <c r="D613">
        <v>381.07</v>
      </c>
      <c r="E613">
        <v>381.07</v>
      </c>
      <c r="G613" s="9">
        <v>0</v>
      </c>
    </row>
    <row r="614" spans="1:7" x14ac:dyDescent="0.3">
      <c r="A614" s="4">
        <v>44323</v>
      </c>
      <c r="B614">
        <v>411</v>
      </c>
      <c r="C614">
        <v>411.5</v>
      </c>
      <c r="D614">
        <v>411.5</v>
      </c>
      <c r="E614">
        <v>411.25</v>
      </c>
      <c r="F614" t="s">
        <v>6206</v>
      </c>
      <c r="G614" s="9">
        <v>0</v>
      </c>
    </row>
    <row r="615" spans="1:7" x14ac:dyDescent="0.3">
      <c r="A615" s="4">
        <v>44324</v>
      </c>
      <c r="B615">
        <v>411</v>
      </c>
      <c r="C615">
        <v>411.5</v>
      </c>
      <c r="D615">
        <v>411.5</v>
      </c>
      <c r="E615">
        <v>411.5</v>
      </c>
      <c r="G615" s="9">
        <v>0</v>
      </c>
    </row>
    <row r="616" spans="1:7" x14ac:dyDescent="0.3">
      <c r="A616" s="4">
        <v>44326</v>
      </c>
      <c r="B616">
        <v>409.8</v>
      </c>
      <c r="C616">
        <v>410.8</v>
      </c>
      <c r="D616">
        <v>410.8</v>
      </c>
      <c r="E616">
        <v>410.8</v>
      </c>
      <c r="G616" s="9">
        <v>0</v>
      </c>
    </row>
    <row r="617" spans="1:7" x14ac:dyDescent="0.3">
      <c r="A617" s="4">
        <v>44327</v>
      </c>
      <c r="B617">
        <v>410.27</v>
      </c>
      <c r="C617">
        <v>410.49</v>
      </c>
      <c r="D617">
        <v>410.52</v>
      </c>
      <c r="E617">
        <v>410.47</v>
      </c>
      <c r="F617" t="s">
        <v>6205</v>
      </c>
      <c r="G617" s="9">
        <v>1E-4</v>
      </c>
    </row>
    <row r="618" spans="1:7" x14ac:dyDescent="0.3">
      <c r="A618" s="4">
        <v>44329</v>
      </c>
      <c r="B618">
        <v>380.59</v>
      </c>
      <c r="C618">
        <v>381.09</v>
      </c>
      <c r="D618">
        <v>381.09</v>
      </c>
      <c r="E618">
        <v>381.09</v>
      </c>
      <c r="G618" s="9">
        <v>0</v>
      </c>
    </row>
    <row r="619" spans="1:7" x14ac:dyDescent="0.3">
      <c r="A619" s="4">
        <v>44330</v>
      </c>
      <c r="B619">
        <v>410</v>
      </c>
      <c r="C619">
        <v>381.09</v>
      </c>
      <c r="D619">
        <v>412.66500000000002</v>
      </c>
      <c r="E619">
        <v>381.09</v>
      </c>
      <c r="F619" t="s">
        <v>6209</v>
      </c>
      <c r="G619" s="9">
        <v>7.7299999999999994E-2</v>
      </c>
    </row>
    <row r="620" spans="1:7" x14ac:dyDescent="0.3">
      <c r="A620" s="4">
        <v>44333</v>
      </c>
      <c r="B620">
        <v>410.9</v>
      </c>
      <c r="C620">
        <v>412.5</v>
      </c>
      <c r="D620">
        <v>413.45</v>
      </c>
      <c r="E620">
        <v>408.75</v>
      </c>
      <c r="F620" t="s">
        <v>6205</v>
      </c>
      <c r="G620" s="9">
        <v>2.2000000000000001E-3</v>
      </c>
    </row>
    <row r="621" spans="1:7" x14ac:dyDescent="0.3">
      <c r="A621" s="4">
        <v>44334</v>
      </c>
      <c r="B621">
        <v>410.9</v>
      </c>
      <c r="C621">
        <v>413.4</v>
      </c>
      <c r="D621">
        <v>413.4</v>
      </c>
      <c r="E621">
        <v>413.4</v>
      </c>
      <c r="G621" s="9">
        <v>0</v>
      </c>
    </row>
    <row r="622" spans="1:7" x14ac:dyDescent="0.3">
      <c r="A622" s="4">
        <v>44335</v>
      </c>
      <c r="B622">
        <v>410.3</v>
      </c>
      <c r="C622">
        <v>413.4</v>
      </c>
      <c r="D622">
        <v>413.42500000000001</v>
      </c>
      <c r="E622">
        <v>410.815</v>
      </c>
      <c r="F622" t="s">
        <v>6205</v>
      </c>
      <c r="G622" s="9">
        <v>-1.5E-3</v>
      </c>
    </row>
    <row r="623" spans="1:7" x14ac:dyDescent="0.3">
      <c r="A623" s="4">
        <v>44336</v>
      </c>
      <c r="B623">
        <v>410.3</v>
      </c>
      <c r="C623">
        <v>412.8</v>
      </c>
      <c r="D623">
        <v>413.02499999999998</v>
      </c>
      <c r="E623">
        <v>409.5</v>
      </c>
      <c r="F623" t="s">
        <v>6206</v>
      </c>
      <c r="G623" s="9">
        <v>0</v>
      </c>
    </row>
    <row r="624" spans="1:7" x14ac:dyDescent="0.3">
      <c r="A624" s="4">
        <v>44337</v>
      </c>
      <c r="B624">
        <v>410.2</v>
      </c>
      <c r="C624">
        <v>412.8</v>
      </c>
      <c r="D624">
        <v>412.8</v>
      </c>
      <c r="E624">
        <v>412.7</v>
      </c>
      <c r="F624" t="s">
        <v>6208</v>
      </c>
      <c r="G624" s="9">
        <v>-2.0000000000000001E-4</v>
      </c>
    </row>
    <row r="625" spans="1:7" x14ac:dyDescent="0.3">
      <c r="A625" s="4">
        <v>44340</v>
      </c>
      <c r="B625">
        <v>410.11</v>
      </c>
      <c r="C625">
        <v>412.7</v>
      </c>
      <c r="D625">
        <v>412.7</v>
      </c>
      <c r="E625">
        <v>410.25</v>
      </c>
      <c r="F625" t="s">
        <v>6208</v>
      </c>
      <c r="G625" s="9">
        <v>-2.0000000000000001E-4</v>
      </c>
    </row>
    <row r="626" spans="1:7" x14ac:dyDescent="0.3">
      <c r="A626" s="4">
        <v>44341</v>
      </c>
      <c r="B626">
        <v>410.1</v>
      </c>
      <c r="C626">
        <v>412.61</v>
      </c>
      <c r="D626">
        <v>412.80500000000001</v>
      </c>
      <c r="E626">
        <v>410.5</v>
      </c>
      <c r="F626" t="s">
        <v>6209</v>
      </c>
      <c r="G626" s="9">
        <v>0</v>
      </c>
    </row>
    <row r="627" spans="1:7" x14ac:dyDescent="0.3">
      <c r="A627" s="4">
        <v>44342</v>
      </c>
      <c r="B627">
        <v>410.1</v>
      </c>
      <c r="C627">
        <v>412.6</v>
      </c>
      <c r="D627">
        <v>412.8</v>
      </c>
      <c r="E627">
        <v>408.75</v>
      </c>
      <c r="F627" t="s">
        <v>6206</v>
      </c>
      <c r="G627" s="9">
        <v>0</v>
      </c>
    </row>
    <row r="628" spans="1:7" x14ac:dyDescent="0.3">
      <c r="A628" s="4">
        <v>44343</v>
      </c>
      <c r="B628">
        <v>410.1</v>
      </c>
      <c r="C628">
        <v>412.6</v>
      </c>
      <c r="D628">
        <v>412.6</v>
      </c>
      <c r="E628">
        <v>412.6</v>
      </c>
      <c r="G628" s="9">
        <v>0</v>
      </c>
    </row>
    <row r="629" spans="1:7" x14ac:dyDescent="0.3">
      <c r="A629" s="4">
        <v>44344</v>
      </c>
      <c r="B629">
        <v>410.5</v>
      </c>
      <c r="C629">
        <v>412.6</v>
      </c>
      <c r="D629">
        <v>413.25</v>
      </c>
      <c r="E629">
        <v>407.5</v>
      </c>
      <c r="F629" t="s">
        <v>6205</v>
      </c>
      <c r="G629" s="9">
        <v>1E-3</v>
      </c>
    </row>
    <row r="630" spans="1:7" x14ac:dyDescent="0.3">
      <c r="A630" s="4">
        <v>44347</v>
      </c>
      <c r="B630">
        <v>410.5</v>
      </c>
      <c r="C630">
        <v>413</v>
      </c>
      <c r="D630">
        <v>413.25</v>
      </c>
      <c r="E630">
        <v>410.25</v>
      </c>
      <c r="F630" t="s">
        <v>6206</v>
      </c>
      <c r="G630" s="9">
        <v>0</v>
      </c>
    </row>
    <row r="631" spans="1:7" x14ac:dyDescent="0.3">
      <c r="A631" s="4">
        <v>44348</v>
      </c>
      <c r="B631">
        <v>380.7</v>
      </c>
      <c r="C631">
        <v>381.2</v>
      </c>
      <c r="D631">
        <v>381.2</v>
      </c>
      <c r="E631">
        <v>380.25</v>
      </c>
      <c r="F631" t="s">
        <v>6206</v>
      </c>
      <c r="G631" s="9">
        <v>0</v>
      </c>
    </row>
    <row r="632" spans="1:7" x14ac:dyDescent="0.3">
      <c r="A632" s="4">
        <v>44351</v>
      </c>
      <c r="B632">
        <v>380.55</v>
      </c>
      <c r="C632">
        <v>381.05</v>
      </c>
      <c r="D632">
        <v>381.27499999999998</v>
      </c>
      <c r="E632">
        <v>381.02499999999998</v>
      </c>
      <c r="F632" t="s">
        <v>6206</v>
      </c>
      <c r="G632" s="9">
        <v>0</v>
      </c>
    </row>
    <row r="633" spans="1:7" x14ac:dyDescent="0.3">
      <c r="A633" s="4">
        <v>44352</v>
      </c>
      <c r="B633">
        <v>380.59</v>
      </c>
      <c r="C633">
        <v>381.07</v>
      </c>
      <c r="D633">
        <v>381.09</v>
      </c>
      <c r="E633">
        <v>381.07</v>
      </c>
      <c r="F633" t="s">
        <v>6208</v>
      </c>
      <c r="G633" s="9">
        <v>1E-4</v>
      </c>
    </row>
    <row r="634" spans="1:7" x14ac:dyDescent="0.3">
      <c r="A634" s="4">
        <v>44354</v>
      </c>
      <c r="B634">
        <v>411</v>
      </c>
      <c r="C634">
        <v>411.5</v>
      </c>
      <c r="D634">
        <v>411.5</v>
      </c>
      <c r="E634">
        <v>411.5</v>
      </c>
      <c r="G634" s="9">
        <v>0</v>
      </c>
    </row>
    <row r="635" spans="1:7" x14ac:dyDescent="0.3">
      <c r="A635" s="4">
        <v>44355</v>
      </c>
      <c r="B635">
        <v>411</v>
      </c>
      <c r="C635">
        <v>411.5</v>
      </c>
      <c r="D635">
        <v>411.5</v>
      </c>
      <c r="E635">
        <v>411.5</v>
      </c>
      <c r="G635" s="9">
        <v>0</v>
      </c>
    </row>
    <row r="636" spans="1:7" x14ac:dyDescent="0.3">
      <c r="A636" s="4">
        <v>44356</v>
      </c>
      <c r="B636">
        <v>411.02</v>
      </c>
      <c r="C636">
        <v>411.52</v>
      </c>
      <c r="D636">
        <v>411.52</v>
      </c>
      <c r="E636">
        <v>411.5</v>
      </c>
      <c r="F636" t="s">
        <v>6206</v>
      </c>
      <c r="G636" s="9">
        <v>0</v>
      </c>
    </row>
    <row r="637" spans="1:7" x14ac:dyDescent="0.3">
      <c r="A637" s="4">
        <v>44357</v>
      </c>
      <c r="B637">
        <v>409.82</v>
      </c>
      <c r="C637">
        <v>410.8</v>
      </c>
      <c r="D637">
        <v>410.82</v>
      </c>
      <c r="E637">
        <v>410.8</v>
      </c>
      <c r="F637" t="s">
        <v>6206</v>
      </c>
      <c r="G637" s="9">
        <v>0</v>
      </c>
    </row>
    <row r="638" spans="1:7" x14ac:dyDescent="0.3">
      <c r="A638" s="4">
        <v>44359</v>
      </c>
      <c r="B638">
        <v>409.74</v>
      </c>
      <c r="C638">
        <v>409.98</v>
      </c>
      <c r="D638">
        <v>413.5</v>
      </c>
      <c r="E638">
        <v>409.98</v>
      </c>
      <c r="F638" t="s">
        <v>6205</v>
      </c>
      <c r="G638" s="9">
        <v>0</v>
      </c>
    </row>
    <row r="639" spans="1:7" x14ac:dyDescent="0.3">
      <c r="A639" s="4">
        <v>44361</v>
      </c>
      <c r="B639">
        <v>410.09</v>
      </c>
      <c r="C639">
        <v>412.59</v>
      </c>
      <c r="D639">
        <v>412.59</v>
      </c>
      <c r="E639">
        <v>412.59</v>
      </c>
      <c r="G639" s="9">
        <v>0</v>
      </c>
    </row>
    <row r="640" spans="1:7" x14ac:dyDescent="0.3">
      <c r="A640" s="4">
        <v>44362</v>
      </c>
      <c r="B640">
        <v>410.48</v>
      </c>
      <c r="C640">
        <v>412.59</v>
      </c>
      <c r="D640">
        <v>413.24</v>
      </c>
      <c r="E640">
        <v>408.5</v>
      </c>
      <c r="F640" t="s">
        <v>6209</v>
      </c>
      <c r="G640" s="9">
        <v>1E-3</v>
      </c>
    </row>
    <row r="641" spans="1:7" x14ac:dyDescent="0.3">
      <c r="A641" s="4">
        <v>44363</v>
      </c>
      <c r="B641">
        <v>410</v>
      </c>
      <c r="C641">
        <v>412.98</v>
      </c>
      <c r="D641">
        <v>412.98</v>
      </c>
      <c r="E641">
        <v>408.5</v>
      </c>
      <c r="F641" t="s">
        <v>6206</v>
      </c>
      <c r="G641" s="9">
        <v>-1.1999999999999999E-3</v>
      </c>
    </row>
    <row r="642" spans="1:7" x14ac:dyDescent="0.3">
      <c r="A642" s="4">
        <v>44364</v>
      </c>
      <c r="B642">
        <v>410</v>
      </c>
      <c r="C642">
        <v>410.5</v>
      </c>
      <c r="D642">
        <v>410.5</v>
      </c>
      <c r="E642">
        <v>408.5</v>
      </c>
      <c r="F642" t="s">
        <v>6206</v>
      </c>
      <c r="G642" s="9">
        <v>0</v>
      </c>
    </row>
    <row r="643" spans="1:7" x14ac:dyDescent="0.3">
      <c r="A643" s="4">
        <v>44365</v>
      </c>
      <c r="B643">
        <v>410</v>
      </c>
      <c r="C643">
        <v>410.5</v>
      </c>
      <c r="D643">
        <v>410.5</v>
      </c>
      <c r="E643">
        <v>410.5</v>
      </c>
      <c r="G643" s="9">
        <v>0</v>
      </c>
    </row>
    <row r="644" spans="1:7" x14ac:dyDescent="0.3">
      <c r="A644" s="4">
        <v>44368</v>
      </c>
      <c r="B644">
        <v>410.4</v>
      </c>
      <c r="C644">
        <v>410.5</v>
      </c>
      <c r="D644">
        <v>411.25</v>
      </c>
      <c r="E644">
        <v>410.5</v>
      </c>
      <c r="F644" t="s">
        <v>6205</v>
      </c>
      <c r="G644" s="9">
        <v>1E-3</v>
      </c>
    </row>
    <row r="645" spans="1:7" x14ac:dyDescent="0.3">
      <c r="A645" s="4">
        <v>44369</v>
      </c>
      <c r="B645">
        <v>410.88</v>
      </c>
      <c r="C645">
        <v>410.9</v>
      </c>
      <c r="D645">
        <v>411.5</v>
      </c>
      <c r="E645">
        <v>408.5</v>
      </c>
      <c r="F645" t="s">
        <v>6208</v>
      </c>
      <c r="G645" s="9">
        <v>1.1999999999999999E-3</v>
      </c>
    </row>
    <row r="646" spans="1:7" x14ac:dyDescent="0.3">
      <c r="A646" s="4">
        <v>44370</v>
      </c>
      <c r="B646">
        <v>411</v>
      </c>
      <c r="C646">
        <v>411.38</v>
      </c>
      <c r="D646">
        <v>411.5</v>
      </c>
      <c r="E646">
        <v>410.25</v>
      </c>
      <c r="F646" t="s">
        <v>6205</v>
      </c>
      <c r="G646" s="9">
        <v>2.9999999999999997E-4</v>
      </c>
    </row>
    <row r="647" spans="1:7" x14ac:dyDescent="0.3">
      <c r="A647" s="4">
        <v>44371</v>
      </c>
      <c r="B647">
        <v>411</v>
      </c>
      <c r="C647">
        <v>411.5</v>
      </c>
      <c r="D647">
        <v>411.5</v>
      </c>
      <c r="E647">
        <v>411.5</v>
      </c>
      <c r="G647" s="9">
        <v>0</v>
      </c>
    </row>
    <row r="648" spans="1:7" x14ac:dyDescent="0.3">
      <c r="A648" s="4">
        <v>44372</v>
      </c>
      <c r="B648">
        <v>411</v>
      </c>
      <c r="C648">
        <v>411.5</v>
      </c>
      <c r="D648">
        <v>411.5</v>
      </c>
      <c r="E648">
        <v>410.75</v>
      </c>
      <c r="F648" t="s">
        <v>6206</v>
      </c>
      <c r="G648" s="9">
        <v>0</v>
      </c>
    </row>
    <row r="649" spans="1:7" x14ac:dyDescent="0.3">
      <c r="A649" s="4">
        <v>44375</v>
      </c>
      <c r="B649">
        <v>411</v>
      </c>
      <c r="C649">
        <v>411.5</v>
      </c>
      <c r="D649">
        <v>411.5</v>
      </c>
      <c r="E649">
        <v>411.25</v>
      </c>
      <c r="F649" t="s">
        <v>6207</v>
      </c>
      <c r="G649" s="9">
        <v>0</v>
      </c>
    </row>
    <row r="650" spans="1:7" x14ac:dyDescent="0.3">
      <c r="A650" s="4">
        <v>44376</v>
      </c>
      <c r="B650">
        <v>411</v>
      </c>
      <c r="C650">
        <v>411.5</v>
      </c>
      <c r="D650">
        <v>411.5</v>
      </c>
      <c r="E650">
        <v>411.5</v>
      </c>
      <c r="G650" s="9">
        <v>0</v>
      </c>
    </row>
    <row r="651" spans="1:7" x14ac:dyDescent="0.3">
      <c r="A651" s="4">
        <v>44377</v>
      </c>
      <c r="B651">
        <v>411</v>
      </c>
      <c r="C651">
        <v>411.5</v>
      </c>
      <c r="D651">
        <v>411.5</v>
      </c>
      <c r="E651">
        <v>411.5</v>
      </c>
      <c r="G651" s="9">
        <v>0</v>
      </c>
    </row>
    <row r="652" spans="1:7" x14ac:dyDescent="0.3">
      <c r="A652" s="4">
        <v>44378</v>
      </c>
      <c r="B652">
        <v>380.7</v>
      </c>
      <c r="C652">
        <v>381.2</v>
      </c>
      <c r="D652">
        <v>381.35</v>
      </c>
      <c r="E652">
        <v>381.1</v>
      </c>
      <c r="F652" t="s">
        <v>6206</v>
      </c>
      <c r="G652" s="9">
        <v>0</v>
      </c>
    </row>
    <row r="653" spans="1:7" x14ac:dyDescent="0.3">
      <c r="A653" s="4">
        <v>44381</v>
      </c>
      <c r="B653">
        <v>380.55</v>
      </c>
      <c r="C653">
        <v>381.05</v>
      </c>
      <c r="D653">
        <v>381.27499999999998</v>
      </c>
      <c r="E653">
        <v>381.02499999999998</v>
      </c>
      <c r="F653" t="s">
        <v>6206</v>
      </c>
      <c r="G653" s="9">
        <v>0</v>
      </c>
    </row>
    <row r="654" spans="1:7" x14ac:dyDescent="0.3">
      <c r="A654" s="4">
        <v>44382</v>
      </c>
      <c r="B654">
        <v>380.59</v>
      </c>
      <c r="C654">
        <v>381.09</v>
      </c>
      <c r="D654">
        <v>381.09</v>
      </c>
      <c r="E654">
        <v>381.09</v>
      </c>
      <c r="G654" s="9">
        <v>0</v>
      </c>
    </row>
    <row r="655" spans="1:7" x14ac:dyDescent="0.3">
      <c r="A655" s="4">
        <v>44383</v>
      </c>
      <c r="B655">
        <v>410.05</v>
      </c>
      <c r="C655">
        <v>412.55</v>
      </c>
      <c r="D655">
        <v>413.02499999999998</v>
      </c>
      <c r="E655">
        <v>408.5</v>
      </c>
      <c r="F655" t="s">
        <v>6206</v>
      </c>
      <c r="G655" s="9">
        <v>0</v>
      </c>
    </row>
    <row r="656" spans="1:7" x14ac:dyDescent="0.3">
      <c r="A656" s="4">
        <v>44384</v>
      </c>
      <c r="B656">
        <v>411</v>
      </c>
      <c r="C656">
        <v>411.5</v>
      </c>
      <c r="D656">
        <v>411.5</v>
      </c>
      <c r="E656">
        <v>411.25</v>
      </c>
      <c r="F656" t="s">
        <v>6206</v>
      </c>
      <c r="G656" s="9">
        <v>0</v>
      </c>
    </row>
    <row r="657" spans="1:7" x14ac:dyDescent="0.3">
      <c r="A657" s="4">
        <v>44386</v>
      </c>
      <c r="B657">
        <v>411</v>
      </c>
      <c r="C657">
        <v>411.52</v>
      </c>
      <c r="D657">
        <v>411.52</v>
      </c>
      <c r="E657">
        <v>410.25</v>
      </c>
      <c r="F657" t="s">
        <v>6206</v>
      </c>
      <c r="G657" s="9">
        <v>0</v>
      </c>
    </row>
    <row r="658" spans="1:7" x14ac:dyDescent="0.3">
      <c r="A658" s="4">
        <v>44387</v>
      </c>
      <c r="B658">
        <v>409.81</v>
      </c>
      <c r="C658">
        <v>410.82</v>
      </c>
      <c r="D658">
        <v>412.25</v>
      </c>
      <c r="E658">
        <v>410.78</v>
      </c>
      <c r="F658" t="s">
        <v>6206</v>
      </c>
      <c r="G658" s="9">
        <v>0</v>
      </c>
    </row>
    <row r="659" spans="1:7" x14ac:dyDescent="0.3">
      <c r="A659" s="4">
        <v>44389</v>
      </c>
      <c r="B659">
        <v>409.74</v>
      </c>
      <c r="C659">
        <v>409.99</v>
      </c>
      <c r="D659">
        <v>409.99</v>
      </c>
      <c r="E659">
        <v>409.99</v>
      </c>
      <c r="G659" s="9">
        <v>0</v>
      </c>
    </row>
    <row r="660" spans="1:7" x14ac:dyDescent="0.3">
      <c r="A660" s="4">
        <v>44390</v>
      </c>
      <c r="B660">
        <v>411</v>
      </c>
      <c r="C660">
        <v>411.5</v>
      </c>
      <c r="D660">
        <v>411.5</v>
      </c>
      <c r="E660">
        <v>411.5</v>
      </c>
      <c r="G660" s="9">
        <v>0</v>
      </c>
    </row>
    <row r="661" spans="1:7" x14ac:dyDescent="0.3">
      <c r="A661" s="4">
        <v>44391</v>
      </c>
      <c r="B661">
        <v>411</v>
      </c>
      <c r="C661">
        <v>411.5</v>
      </c>
      <c r="D661">
        <v>411.5</v>
      </c>
      <c r="E661">
        <v>411.5</v>
      </c>
      <c r="G661" s="9">
        <v>0</v>
      </c>
    </row>
    <row r="662" spans="1:7" x14ac:dyDescent="0.3">
      <c r="A662" s="4">
        <v>44392</v>
      </c>
      <c r="B662">
        <v>411</v>
      </c>
      <c r="C662">
        <v>411.5</v>
      </c>
      <c r="D662">
        <v>411.5</v>
      </c>
      <c r="E662">
        <v>411.5</v>
      </c>
      <c r="G662" s="9">
        <v>0</v>
      </c>
    </row>
    <row r="663" spans="1:7" x14ac:dyDescent="0.3">
      <c r="A663" s="4">
        <v>44393</v>
      </c>
      <c r="B663">
        <v>411</v>
      </c>
      <c r="C663">
        <v>411.5</v>
      </c>
      <c r="D663">
        <v>411.5</v>
      </c>
      <c r="E663">
        <v>411.25</v>
      </c>
      <c r="F663" t="s">
        <v>6206</v>
      </c>
      <c r="G663" s="9">
        <v>0</v>
      </c>
    </row>
    <row r="664" spans="1:7" x14ac:dyDescent="0.3">
      <c r="A664" s="4">
        <v>44396</v>
      </c>
      <c r="B664">
        <v>411</v>
      </c>
      <c r="C664">
        <v>411.5</v>
      </c>
      <c r="D664">
        <v>411.5</v>
      </c>
      <c r="E664">
        <v>411.25</v>
      </c>
      <c r="F664" t="s">
        <v>6206</v>
      </c>
      <c r="G664" s="9">
        <v>0</v>
      </c>
    </row>
    <row r="665" spans="1:7" x14ac:dyDescent="0.3">
      <c r="A665" s="4">
        <v>44397</v>
      </c>
      <c r="B665">
        <v>411</v>
      </c>
      <c r="C665">
        <v>411.5</v>
      </c>
      <c r="D665">
        <v>411.5</v>
      </c>
      <c r="E665">
        <v>411.5</v>
      </c>
      <c r="G665" s="9">
        <v>0</v>
      </c>
    </row>
    <row r="666" spans="1:7" x14ac:dyDescent="0.3">
      <c r="A666" s="4">
        <v>44398</v>
      </c>
      <c r="B666">
        <v>411</v>
      </c>
      <c r="C666">
        <v>411.5</v>
      </c>
      <c r="D666">
        <v>411.5</v>
      </c>
      <c r="E666">
        <v>411.5</v>
      </c>
      <c r="G666" s="9">
        <v>0</v>
      </c>
    </row>
    <row r="667" spans="1:7" x14ac:dyDescent="0.3">
      <c r="A667" s="4">
        <v>44399</v>
      </c>
      <c r="B667">
        <v>411</v>
      </c>
      <c r="C667">
        <v>411.5</v>
      </c>
      <c r="D667">
        <v>411.5</v>
      </c>
      <c r="E667">
        <v>411.5</v>
      </c>
      <c r="G667" s="9">
        <v>0</v>
      </c>
    </row>
    <row r="668" spans="1:7" x14ac:dyDescent="0.3">
      <c r="A668" s="4">
        <v>44400</v>
      </c>
      <c r="B668">
        <v>411</v>
      </c>
      <c r="C668">
        <v>411.5</v>
      </c>
      <c r="D668">
        <v>411.5</v>
      </c>
      <c r="E668">
        <v>411.5</v>
      </c>
      <c r="G668" s="9">
        <v>0</v>
      </c>
    </row>
    <row r="669" spans="1:7" x14ac:dyDescent="0.3">
      <c r="A669" s="4">
        <v>44403</v>
      </c>
      <c r="B669">
        <v>411</v>
      </c>
      <c r="C669">
        <v>411.5</v>
      </c>
      <c r="D669">
        <v>411.5</v>
      </c>
      <c r="E669">
        <v>411.25</v>
      </c>
      <c r="F669" t="s">
        <v>6206</v>
      </c>
      <c r="G669" s="9">
        <v>0</v>
      </c>
    </row>
    <row r="670" spans="1:7" x14ac:dyDescent="0.3">
      <c r="A670" s="4">
        <v>44404</v>
      </c>
      <c r="B670">
        <v>411</v>
      </c>
      <c r="C670">
        <v>411.5</v>
      </c>
      <c r="D670">
        <v>411.5</v>
      </c>
      <c r="E670">
        <v>411.25</v>
      </c>
      <c r="F670" t="s">
        <v>6207</v>
      </c>
      <c r="G670" s="9">
        <v>0</v>
      </c>
    </row>
    <row r="671" spans="1:7" x14ac:dyDescent="0.3">
      <c r="A671" s="4">
        <v>44405</v>
      </c>
      <c r="B671">
        <v>411</v>
      </c>
      <c r="C671">
        <v>411.5</v>
      </c>
      <c r="D671">
        <v>411.5</v>
      </c>
      <c r="E671">
        <v>411.5</v>
      </c>
      <c r="G671" s="9">
        <v>0</v>
      </c>
    </row>
    <row r="672" spans="1:7" x14ac:dyDescent="0.3">
      <c r="A672" s="4">
        <v>44406</v>
      </c>
      <c r="B672">
        <v>411</v>
      </c>
      <c r="C672">
        <v>411.5</v>
      </c>
      <c r="D672">
        <v>411.5</v>
      </c>
      <c r="E672">
        <v>411.5</v>
      </c>
      <c r="G672" s="9">
        <v>0</v>
      </c>
    </row>
    <row r="673" spans="1:7" x14ac:dyDescent="0.3">
      <c r="A673" s="4">
        <v>44407</v>
      </c>
      <c r="B673">
        <v>411</v>
      </c>
      <c r="C673">
        <v>411.5</v>
      </c>
      <c r="D673">
        <v>411.5</v>
      </c>
      <c r="E673">
        <v>411.5</v>
      </c>
      <c r="G673" s="9">
        <v>0</v>
      </c>
    </row>
    <row r="674" spans="1:7" x14ac:dyDescent="0.3">
      <c r="A674" s="4">
        <v>44409</v>
      </c>
      <c r="B674">
        <v>380.7</v>
      </c>
      <c r="C674">
        <v>381.2</v>
      </c>
      <c r="D674">
        <v>381.35</v>
      </c>
      <c r="E674">
        <v>380.25</v>
      </c>
      <c r="F674" t="s">
        <v>6206</v>
      </c>
      <c r="G674" s="9">
        <v>0</v>
      </c>
    </row>
    <row r="675" spans="1:7" x14ac:dyDescent="0.3">
      <c r="A675" s="4">
        <v>44410</v>
      </c>
      <c r="B675">
        <v>380.7</v>
      </c>
      <c r="C675">
        <v>381.2</v>
      </c>
      <c r="D675">
        <v>381.35</v>
      </c>
      <c r="E675">
        <v>381.1</v>
      </c>
      <c r="F675" t="s">
        <v>6206</v>
      </c>
      <c r="G675" s="9">
        <v>0</v>
      </c>
    </row>
    <row r="676" spans="1:7" x14ac:dyDescent="0.3">
      <c r="A676" s="4">
        <v>44411</v>
      </c>
      <c r="B676">
        <v>380.55</v>
      </c>
      <c r="C676">
        <v>381.05</v>
      </c>
      <c r="D676">
        <v>381.27499999999998</v>
      </c>
      <c r="E676">
        <v>380.75</v>
      </c>
      <c r="F676" t="s">
        <v>6206</v>
      </c>
      <c r="G676" s="9">
        <v>0</v>
      </c>
    </row>
    <row r="677" spans="1:7" x14ac:dyDescent="0.3">
      <c r="A677" s="4">
        <v>44412</v>
      </c>
      <c r="B677">
        <v>380.55</v>
      </c>
      <c r="C677">
        <v>381.05</v>
      </c>
      <c r="D677">
        <v>381.27499999999998</v>
      </c>
      <c r="E677">
        <v>381.02499999999998</v>
      </c>
      <c r="G677" s="9">
        <v>0</v>
      </c>
    </row>
    <row r="678" spans="1:7" x14ac:dyDescent="0.3">
      <c r="A678" s="4">
        <v>44414</v>
      </c>
      <c r="B678">
        <v>410.04</v>
      </c>
      <c r="C678">
        <v>412.54</v>
      </c>
      <c r="D678">
        <v>412.77</v>
      </c>
      <c r="E678">
        <v>408.5</v>
      </c>
      <c r="F678" t="s">
        <v>6206</v>
      </c>
      <c r="G678" s="9">
        <v>0</v>
      </c>
    </row>
    <row r="679" spans="1:7" x14ac:dyDescent="0.3">
      <c r="A679" s="4">
        <v>44415</v>
      </c>
      <c r="B679">
        <v>411</v>
      </c>
      <c r="C679">
        <v>411.5</v>
      </c>
      <c r="D679">
        <v>411.5</v>
      </c>
      <c r="E679">
        <v>411.5</v>
      </c>
      <c r="G679" s="9">
        <v>0</v>
      </c>
    </row>
    <row r="680" spans="1:7" x14ac:dyDescent="0.3">
      <c r="A680" s="4">
        <v>44417</v>
      </c>
      <c r="B680">
        <v>410.8</v>
      </c>
      <c r="C680">
        <v>411.5</v>
      </c>
      <c r="D680">
        <v>411.5</v>
      </c>
      <c r="E680">
        <v>411</v>
      </c>
      <c r="F680" t="s">
        <v>6206</v>
      </c>
      <c r="G680" s="9">
        <v>-5.0000000000000001E-4</v>
      </c>
    </row>
    <row r="681" spans="1:7" x14ac:dyDescent="0.3">
      <c r="A681" s="4">
        <v>44418</v>
      </c>
      <c r="B681">
        <v>409.81</v>
      </c>
      <c r="C681">
        <v>410.81</v>
      </c>
      <c r="D681">
        <v>410.81</v>
      </c>
      <c r="E681">
        <v>410.8</v>
      </c>
      <c r="F681" t="s">
        <v>6206</v>
      </c>
      <c r="G681" s="9">
        <v>0</v>
      </c>
    </row>
    <row r="682" spans="1:7" x14ac:dyDescent="0.3">
      <c r="A682" s="4">
        <v>44419</v>
      </c>
      <c r="B682">
        <v>410.29</v>
      </c>
      <c r="C682">
        <v>410.52</v>
      </c>
      <c r="D682">
        <v>413.5</v>
      </c>
      <c r="E682">
        <v>409.5</v>
      </c>
      <c r="F682" t="s">
        <v>6205</v>
      </c>
      <c r="G682" s="9">
        <v>0</v>
      </c>
    </row>
    <row r="683" spans="1:7" x14ac:dyDescent="0.3">
      <c r="A683" s="4">
        <v>44420</v>
      </c>
      <c r="B683">
        <v>409.74</v>
      </c>
      <c r="C683">
        <v>409.99</v>
      </c>
      <c r="D683">
        <v>409.99</v>
      </c>
      <c r="E683">
        <v>409.97</v>
      </c>
      <c r="F683" t="s">
        <v>6207</v>
      </c>
      <c r="G683" s="9">
        <v>0</v>
      </c>
    </row>
    <row r="684" spans="1:7" x14ac:dyDescent="0.3">
      <c r="A684" s="4">
        <v>44421</v>
      </c>
      <c r="B684">
        <v>411</v>
      </c>
      <c r="C684">
        <v>411.5</v>
      </c>
      <c r="D684">
        <v>411.5</v>
      </c>
      <c r="E684">
        <v>410.5</v>
      </c>
      <c r="F684" t="s">
        <v>6206</v>
      </c>
      <c r="G684" s="9">
        <v>0</v>
      </c>
    </row>
    <row r="685" spans="1:7" x14ac:dyDescent="0.3">
      <c r="A685" s="4">
        <v>44424</v>
      </c>
      <c r="B685">
        <v>411</v>
      </c>
      <c r="C685">
        <v>411.5</v>
      </c>
      <c r="D685">
        <v>411.5</v>
      </c>
      <c r="E685">
        <v>411.065</v>
      </c>
      <c r="F685" t="s">
        <v>6206</v>
      </c>
      <c r="G685" s="9">
        <v>0</v>
      </c>
    </row>
    <row r="686" spans="1:7" x14ac:dyDescent="0.3">
      <c r="A686" s="4">
        <v>44425</v>
      </c>
      <c r="B686">
        <v>411.2</v>
      </c>
      <c r="C686">
        <v>411.5</v>
      </c>
      <c r="D686">
        <v>412</v>
      </c>
      <c r="E686">
        <v>411.5</v>
      </c>
      <c r="F686" t="s">
        <v>6206</v>
      </c>
      <c r="G686" s="9">
        <v>5.0000000000000001E-4</v>
      </c>
    </row>
    <row r="687" spans="1:7" x14ac:dyDescent="0.3">
      <c r="A687" s="4">
        <v>44426</v>
      </c>
      <c r="B687">
        <v>411.4</v>
      </c>
      <c r="C687">
        <v>411.7</v>
      </c>
      <c r="D687">
        <v>412</v>
      </c>
      <c r="E687">
        <v>411.7</v>
      </c>
      <c r="F687" t="s">
        <v>6205</v>
      </c>
      <c r="G687" s="9">
        <v>5.0000000000000001E-4</v>
      </c>
    </row>
    <row r="688" spans="1:7" x14ac:dyDescent="0.3">
      <c r="A688" s="4">
        <v>44427</v>
      </c>
      <c r="B688">
        <v>411.3</v>
      </c>
      <c r="C688">
        <v>411.9</v>
      </c>
      <c r="D688">
        <v>411.9</v>
      </c>
      <c r="E688">
        <v>411.8</v>
      </c>
      <c r="F688" t="s">
        <v>6206</v>
      </c>
      <c r="G688" s="9">
        <v>-2.0000000000000001E-4</v>
      </c>
    </row>
    <row r="689" spans="1:7" x14ac:dyDescent="0.3">
      <c r="A689" s="4">
        <v>44428</v>
      </c>
      <c r="B689">
        <v>411.2</v>
      </c>
      <c r="C689">
        <v>411.8</v>
      </c>
      <c r="D689">
        <v>411.8</v>
      </c>
      <c r="E689">
        <v>411.7</v>
      </c>
      <c r="F689" t="s">
        <v>6205</v>
      </c>
      <c r="G689" s="9">
        <v>-2.0000000000000001E-4</v>
      </c>
    </row>
    <row r="690" spans="1:7" x14ac:dyDescent="0.3">
      <c r="A690" s="4">
        <v>44431</v>
      </c>
      <c r="B690">
        <v>411.05</v>
      </c>
      <c r="C690">
        <v>411.7</v>
      </c>
      <c r="D690">
        <v>411.7</v>
      </c>
      <c r="E690">
        <v>411.5</v>
      </c>
      <c r="F690" t="s">
        <v>6206</v>
      </c>
      <c r="G690" s="9">
        <v>-4.0000000000000002E-4</v>
      </c>
    </row>
    <row r="691" spans="1:7" x14ac:dyDescent="0.3">
      <c r="A691" s="4">
        <v>44432</v>
      </c>
      <c r="B691">
        <v>411</v>
      </c>
      <c r="C691">
        <v>411.55</v>
      </c>
      <c r="D691">
        <v>411.55</v>
      </c>
      <c r="E691">
        <v>409.5</v>
      </c>
      <c r="F691" t="s">
        <v>6206</v>
      </c>
      <c r="G691" s="9">
        <v>-1E-4</v>
      </c>
    </row>
    <row r="692" spans="1:7" x14ac:dyDescent="0.3">
      <c r="A692" s="4">
        <v>44433</v>
      </c>
      <c r="B692">
        <v>411.05</v>
      </c>
      <c r="C692">
        <v>411.5</v>
      </c>
      <c r="D692">
        <v>411.55</v>
      </c>
      <c r="E692">
        <v>411.5</v>
      </c>
      <c r="F692" t="s">
        <v>6206</v>
      </c>
      <c r="G692" s="9">
        <v>1E-4</v>
      </c>
    </row>
    <row r="693" spans="1:7" x14ac:dyDescent="0.3">
      <c r="A693" s="4">
        <v>44434</v>
      </c>
      <c r="B693">
        <v>411</v>
      </c>
      <c r="C693">
        <v>411.55</v>
      </c>
      <c r="D693">
        <v>411.55</v>
      </c>
      <c r="E693">
        <v>411.5</v>
      </c>
      <c r="F693" t="s">
        <v>6206</v>
      </c>
      <c r="G693" s="9">
        <v>-1E-4</v>
      </c>
    </row>
    <row r="694" spans="1:7" x14ac:dyDescent="0.3">
      <c r="A694" s="4">
        <v>44435</v>
      </c>
      <c r="B694">
        <v>411</v>
      </c>
      <c r="C694">
        <v>411.5</v>
      </c>
      <c r="D694">
        <v>411.5</v>
      </c>
      <c r="E694">
        <v>410.5</v>
      </c>
      <c r="F694" t="s">
        <v>6206</v>
      </c>
      <c r="G694" s="9">
        <v>0</v>
      </c>
    </row>
    <row r="695" spans="1:7" x14ac:dyDescent="0.3">
      <c r="A695" s="4">
        <v>44438</v>
      </c>
      <c r="B695">
        <v>411</v>
      </c>
      <c r="C695">
        <v>411.5</v>
      </c>
      <c r="D695">
        <v>412</v>
      </c>
      <c r="E695">
        <v>411.5</v>
      </c>
      <c r="F695" t="s">
        <v>6206</v>
      </c>
      <c r="G695" s="9">
        <v>0</v>
      </c>
    </row>
    <row r="696" spans="1:7" x14ac:dyDescent="0.3">
      <c r="A696" s="4">
        <v>44439</v>
      </c>
      <c r="B696">
        <v>411</v>
      </c>
      <c r="C696">
        <v>411.5</v>
      </c>
      <c r="D696">
        <v>412</v>
      </c>
      <c r="E696">
        <v>409.5</v>
      </c>
      <c r="F696" t="s">
        <v>6206</v>
      </c>
      <c r="G696" s="9">
        <v>0</v>
      </c>
    </row>
    <row r="697" spans="1:7" x14ac:dyDescent="0.3">
      <c r="A697" s="4">
        <v>44441</v>
      </c>
      <c r="B697">
        <v>380.7</v>
      </c>
      <c r="C697">
        <v>381.2</v>
      </c>
      <c r="D697">
        <v>381.35</v>
      </c>
      <c r="E697">
        <v>381.1</v>
      </c>
      <c r="F697" t="s">
        <v>6206</v>
      </c>
      <c r="G697" s="9">
        <v>0</v>
      </c>
    </row>
    <row r="698" spans="1:7" x14ac:dyDescent="0.3">
      <c r="A698" s="4">
        <v>44442</v>
      </c>
      <c r="B698">
        <v>380.55</v>
      </c>
      <c r="C698">
        <v>381.05</v>
      </c>
      <c r="D698">
        <v>381.05</v>
      </c>
      <c r="E698">
        <v>381.05</v>
      </c>
      <c r="G698" s="9">
        <v>0</v>
      </c>
    </row>
    <row r="699" spans="1:7" x14ac:dyDescent="0.3">
      <c r="A699" s="4">
        <v>44443</v>
      </c>
      <c r="B699">
        <v>380.55</v>
      </c>
      <c r="C699">
        <v>381.05</v>
      </c>
      <c r="D699">
        <v>381.27499999999998</v>
      </c>
      <c r="E699">
        <v>381.02499999999998</v>
      </c>
      <c r="F699" t="s">
        <v>6206</v>
      </c>
      <c r="G699" s="9">
        <v>0</v>
      </c>
    </row>
    <row r="700" spans="1:7" x14ac:dyDescent="0.3">
      <c r="A700" s="4">
        <v>44445</v>
      </c>
      <c r="B700">
        <v>410.04</v>
      </c>
      <c r="C700">
        <v>412.54</v>
      </c>
      <c r="D700">
        <v>412.54</v>
      </c>
      <c r="E700">
        <v>410.25</v>
      </c>
      <c r="F700" t="s">
        <v>6205</v>
      </c>
      <c r="G700" s="9">
        <v>0</v>
      </c>
    </row>
    <row r="701" spans="1:7" x14ac:dyDescent="0.3">
      <c r="A701" s="4">
        <v>44446</v>
      </c>
      <c r="B701">
        <v>411</v>
      </c>
      <c r="C701">
        <v>411.5</v>
      </c>
      <c r="D701">
        <v>411.5</v>
      </c>
      <c r="E701">
        <v>411.5</v>
      </c>
      <c r="G701" s="9">
        <v>0</v>
      </c>
    </row>
    <row r="702" spans="1:7" x14ac:dyDescent="0.3">
      <c r="A702" s="4">
        <v>44447</v>
      </c>
      <c r="B702">
        <v>411</v>
      </c>
      <c r="C702">
        <v>411.5</v>
      </c>
      <c r="D702">
        <v>411.5</v>
      </c>
      <c r="E702">
        <v>411.5</v>
      </c>
      <c r="G702" s="9">
        <v>0</v>
      </c>
    </row>
    <row r="703" spans="1:7" x14ac:dyDescent="0.3">
      <c r="A703" s="4">
        <v>44448</v>
      </c>
      <c r="B703">
        <v>410.9</v>
      </c>
      <c r="C703">
        <v>411.3</v>
      </c>
      <c r="D703">
        <v>411.45</v>
      </c>
      <c r="E703">
        <v>410.75</v>
      </c>
      <c r="F703" t="s">
        <v>6205</v>
      </c>
      <c r="G703" s="9">
        <v>2.0000000000000001E-4</v>
      </c>
    </row>
    <row r="704" spans="1:7" x14ac:dyDescent="0.3">
      <c r="A704" s="4">
        <v>44450</v>
      </c>
      <c r="B704">
        <v>410.32</v>
      </c>
      <c r="C704">
        <v>410.54</v>
      </c>
      <c r="D704">
        <v>410.57</v>
      </c>
      <c r="E704">
        <v>410.5</v>
      </c>
      <c r="F704" t="s">
        <v>6206</v>
      </c>
      <c r="G704" s="9">
        <v>1E-4</v>
      </c>
    </row>
    <row r="705" spans="1:7" x14ac:dyDescent="0.3">
      <c r="A705" s="4">
        <v>44451</v>
      </c>
      <c r="B705">
        <v>409.74</v>
      </c>
      <c r="C705">
        <v>409.99</v>
      </c>
      <c r="D705">
        <v>410</v>
      </c>
      <c r="E705">
        <v>409.99</v>
      </c>
      <c r="F705" t="s">
        <v>6206</v>
      </c>
      <c r="G705" s="9">
        <v>0</v>
      </c>
    </row>
    <row r="706" spans="1:7" x14ac:dyDescent="0.3">
      <c r="A706" s="4">
        <v>44452</v>
      </c>
      <c r="B706">
        <v>411</v>
      </c>
      <c r="C706">
        <v>411.43</v>
      </c>
      <c r="D706">
        <v>412</v>
      </c>
      <c r="E706">
        <v>411.43</v>
      </c>
      <c r="F706" t="s">
        <v>6206</v>
      </c>
      <c r="G706" s="9">
        <v>2.0000000000000001E-4</v>
      </c>
    </row>
    <row r="707" spans="1:7" x14ac:dyDescent="0.3">
      <c r="A707" s="4">
        <v>44453</v>
      </c>
      <c r="B707">
        <v>411</v>
      </c>
      <c r="C707">
        <v>411.5</v>
      </c>
      <c r="D707">
        <v>411.5</v>
      </c>
      <c r="E707">
        <v>409.5</v>
      </c>
      <c r="F707" t="s">
        <v>6206</v>
      </c>
      <c r="G707" s="9">
        <v>0</v>
      </c>
    </row>
    <row r="708" spans="1:7" x14ac:dyDescent="0.3">
      <c r="A708" s="4">
        <v>44454</v>
      </c>
      <c r="B708">
        <v>411</v>
      </c>
      <c r="C708">
        <v>411.5</v>
      </c>
      <c r="D708">
        <v>411.5</v>
      </c>
      <c r="E708">
        <v>411.5</v>
      </c>
      <c r="G708" s="9">
        <v>0</v>
      </c>
    </row>
    <row r="709" spans="1:7" x14ac:dyDescent="0.3">
      <c r="A709" s="4">
        <v>44455</v>
      </c>
      <c r="B709">
        <v>411</v>
      </c>
      <c r="C709">
        <v>411.5</v>
      </c>
      <c r="D709">
        <v>412</v>
      </c>
      <c r="E709">
        <v>411.5</v>
      </c>
      <c r="F709" t="s">
        <v>6205</v>
      </c>
      <c r="G709" s="9">
        <v>0</v>
      </c>
    </row>
    <row r="710" spans="1:7" x14ac:dyDescent="0.3">
      <c r="A710" s="4">
        <v>44456</v>
      </c>
      <c r="B710">
        <v>411</v>
      </c>
      <c r="C710">
        <v>411.5</v>
      </c>
      <c r="D710">
        <v>411.5</v>
      </c>
      <c r="E710">
        <v>411.5</v>
      </c>
      <c r="G710" s="9">
        <v>0</v>
      </c>
    </row>
    <row r="711" spans="1:7" x14ac:dyDescent="0.3">
      <c r="A711" s="4">
        <v>44459</v>
      </c>
      <c r="B711">
        <v>411</v>
      </c>
      <c r="C711">
        <v>411.5</v>
      </c>
      <c r="D711">
        <v>411.75</v>
      </c>
      <c r="E711">
        <v>411.5</v>
      </c>
      <c r="F711" t="s">
        <v>6206</v>
      </c>
      <c r="G711" s="9">
        <v>0</v>
      </c>
    </row>
    <row r="712" spans="1:7" x14ac:dyDescent="0.3">
      <c r="A712" s="4">
        <v>44460</v>
      </c>
      <c r="B712">
        <v>411</v>
      </c>
      <c r="C712">
        <v>411.5</v>
      </c>
      <c r="D712">
        <v>411.5</v>
      </c>
      <c r="E712">
        <v>411</v>
      </c>
      <c r="F712" t="s">
        <v>6206</v>
      </c>
      <c r="G712" s="9">
        <v>0</v>
      </c>
    </row>
    <row r="713" spans="1:7" x14ac:dyDescent="0.3">
      <c r="A713" s="4">
        <v>44461</v>
      </c>
      <c r="B713">
        <v>411</v>
      </c>
      <c r="C713">
        <v>411.5</v>
      </c>
      <c r="D713">
        <v>412.5</v>
      </c>
      <c r="E713">
        <v>411.5</v>
      </c>
      <c r="F713" t="s">
        <v>6206</v>
      </c>
      <c r="G713" s="9">
        <v>0</v>
      </c>
    </row>
    <row r="714" spans="1:7" x14ac:dyDescent="0.3">
      <c r="A714" s="4">
        <v>44462</v>
      </c>
      <c r="B714">
        <v>411</v>
      </c>
      <c r="C714">
        <v>411.5</v>
      </c>
      <c r="D714">
        <v>411.75</v>
      </c>
      <c r="E714">
        <v>411.5</v>
      </c>
      <c r="F714" t="s">
        <v>6206</v>
      </c>
      <c r="G714" s="9">
        <v>0</v>
      </c>
    </row>
    <row r="715" spans="1:7" x14ac:dyDescent="0.3">
      <c r="A715" s="4">
        <v>44463</v>
      </c>
      <c r="B715">
        <v>411</v>
      </c>
      <c r="C715">
        <v>411.5</v>
      </c>
      <c r="D715">
        <v>412.43</v>
      </c>
      <c r="E715">
        <v>411.5</v>
      </c>
      <c r="F715" t="s">
        <v>6206</v>
      </c>
      <c r="G715" s="9">
        <v>0</v>
      </c>
    </row>
    <row r="716" spans="1:7" x14ac:dyDescent="0.3">
      <c r="A716" s="4">
        <v>44466</v>
      </c>
      <c r="B716">
        <v>411</v>
      </c>
      <c r="C716">
        <v>411.5</v>
      </c>
      <c r="D716">
        <v>413.5</v>
      </c>
      <c r="E716">
        <v>411.5</v>
      </c>
      <c r="F716" t="s">
        <v>6206</v>
      </c>
      <c r="G716" s="9">
        <v>0</v>
      </c>
    </row>
    <row r="717" spans="1:7" x14ac:dyDescent="0.3">
      <c r="A717" s="4">
        <v>44467</v>
      </c>
      <c r="B717">
        <v>408.76</v>
      </c>
      <c r="C717">
        <v>411.5</v>
      </c>
      <c r="D717">
        <v>411.5</v>
      </c>
      <c r="E717">
        <v>409.26</v>
      </c>
      <c r="F717" t="s">
        <v>6208</v>
      </c>
      <c r="G717" s="9">
        <v>-5.4999999999999997E-3</v>
      </c>
    </row>
    <row r="718" spans="1:7" x14ac:dyDescent="0.3">
      <c r="A718" s="4">
        <v>44468</v>
      </c>
      <c r="B718">
        <v>408.76</v>
      </c>
      <c r="C718">
        <v>409.76</v>
      </c>
      <c r="D718">
        <v>413.5</v>
      </c>
      <c r="E718">
        <v>409.76</v>
      </c>
      <c r="F718" t="s">
        <v>6206</v>
      </c>
      <c r="G718" s="9">
        <v>0</v>
      </c>
    </row>
    <row r="719" spans="1:7" x14ac:dyDescent="0.3">
      <c r="A719" s="4">
        <v>44469</v>
      </c>
      <c r="B719">
        <v>409.8</v>
      </c>
      <c r="C719">
        <v>409.76</v>
      </c>
      <c r="D719">
        <v>410.8</v>
      </c>
      <c r="E719">
        <v>409.76</v>
      </c>
      <c r="F719" t="s">
        <v>6206</v>
      </c>
      <c r="G719" s="9">
        <v>2.5000000000000001E-3</v>
      </c>
    </row>
    <row r="720" spans="1:7" x14ac:dyDescent="0.3">
      <c r="A720" s="4">
        <v>44471</v>
      </c>
      <c r="B720">
        <v>380.7</v>
      </c>
      <c r="C720">
        <v>381.2</v>
      </c>
      <c r="D720">
        <v>381.35</v>
      </c>
      <c r="E720">
        <v>380.75</v>
      </c>
      <c r="F720" t="s">
        <v>6206</v>
      </c>
      <c r="G720" s="9">
        <v>0</v>
      </c>
    </row>
    <row r="721" spans="1:7" x14ac:dyDescent="0.3">
      <c r="A721" s="4">
        <v>44472</v>
      </c>
      <c r="B721">
        <v>380.55</v>
      </c>
      <c r="C721">
        <v>381.05</v>
      </c>
      <c r="D721">
        <v>381.27499999999998</v>
      </c>
      <c r="E721">
        <v>381.02499999999998</v>
      </c>
      <c r="F721" t="s">
        <v>6206</v>
      </c>
      <c r="G721" s="9">
        <v>0</v>
      </c>
    </row>
    <row r="722" spans="1:7" x14ac:dyDescent="0.3">
      <c r="A722" s="4">
        <v>44474</v>
      </c>
      <c r="B722">
        <v>380.59</v>
      </c>
      <c r="C722">
        <v>381.09</v>
      </c>
      <c r="D722">
        <v>381.09</v>
      </c>
      <c r="E722">
        <v>380.75</v>
      </c>
      <c r="F722" t="s">
        <v>6206</v>
      </c>
      <c r="G722" s="9">
        <v>0</v>
      </c>
    </row>
    <row r="723" spans="1:7" x14ac:dyDescent="0.3">
      <c r="A723" s="4">
        <v>44475</v>
      </c>
      <c r="B723">
        <v>410.04</v>
      </c>
      <c r="C723">
        <v>412.54</v>
      </c>
      <c r="D723">
        <v>412.94499999999999</v>
      </c>
      <c r="E723">
        <v>408.5</v>
      </c>
      <c r="F723" t="s">
        <v>6205</v>
      </c>
      <c r="G723" s="9">
        <v>0</v>
      </c>
    </row>
    <row r="724" spans="1:7" x14ac:dyDescent="0.3">
      <c r="A724" s="4">
        <v>44477</v>
      </c>
      <c r="B724">
        <v>411</v>
      </c>
      <c r="C724">
        <v>411.5</v>
      </c>
      <c r="D724">
        <v>411.5</v>
      </c>
      <c r="E724">
        <v>411.5</v>
      </c>
      <c r="G724" s="9">
        <v>0</v>
      </c>
    </row>
    <row r="725" spans="1:7" x14ac:dyDescent="0.3">
      <c r="A725" s="4">
        <v>44478</v>
      </c>
      <c r="B725">
        <v>410.93</v>
      </c>
      <c r="C725">
        <v>411.4</v>
      </c>
      <c r="D725">
        <v>411.75</v>
      </c>
      <c r="E725">
        <v>411.2</v>
      </c>
      <c r="F725" t="s">
        <v>6206</v>
      </c>
      <c r="G725" s="9">
        <v>1E-4</v>
      </c>
    </row>
    <row r="726" spans="1:7" x14ac:dyDescent="0.3">
      <c r="A726" s="4">
        <v>44480</v>
      </c>
      <c r="B726">
        <v>410.34</v>
      </c>
      <c r="C726">
        <v>410.57</v>
      </c>
      <c r="D726">
        <v>410.59</v>
      </c>
      <c r="E726">
        <v>410.55</v>
      </c>
      <c r="F726" t="s">
        <v>6205</v>
      </c>
      <c r="G726" s="9">
        <v>0</v>
      </c>
    </row>
    <row r="727" spans="1:7" x14ac:dyDescent="0.3">
      <c r="A727" s="4">
        <v>44481</v>
      </c>
      <c r="B727">
        <v>409.72</v>
      </c>
      <c r="C727">
        <v>410</v>
      </c>
      <c r="D727">
        <v>410</v>
      </c>
      <c r="E727">
        <v>409.97</v>
      </c>
      <c r="F727" t="s">
        <v>6206</v>
      </c>
      <c r="G727" s="9">
        <v>0</v>
      </c>
    </row>
    <row r="728" spans="1:7" x14ac:dyDescent="0.3">
      <c r="A728" s="4">
        <v>44482</v>
      </c>
      <c r="B728">
        <v>409.82</v>
      </c>
      <c r="C728">
        <v>410.87</v>
      </c>
      <c r="D728">
        <v>412.75</v>
      </c>
      <c r="E728">
        <v>410.8</v>
      </c>
      <c r="F728" t="s">
        <v>6208</v>
      </c>
      <c r="G728" s="9">
        <v>-1E-4</v>
      </c>
    </row>
    <row r="729" spans="1:7" x14ac:dyDescent="0.3">
      <c r="A729" s="4">
        <v>44483</v>
      </c>
      <c r="B729">
        <v>409.85</v>
      </c>
      <c r="C729">
        <v>410.82</v>
      </c>
      <c r="D729">
        <v>410.85</v>
      </c>
      <c r="E729">
        <v>410.8</v>
      </c>
      <c r="F729" t="s">
        <v>6206</v>
      </c>
      <c r="G729" s="9">
        <v>1E-4</v>
      </c>
    </row>
    <row r="730" spans="1:7" x14ac:dyDescent="0.3">
      <c r="A730" s="4">
        <v>44484</v>
      </c>
      <c r="B730">
        <v>409.91</v>
      </c>
      <c r="C730">
        <v>410.85</v>
      </c>
      <c r="D730">
        <v>410.91</v>
      </c>
      <c r="E730">
        <v>410.82</v>
      </c>
      <c r="F730" t="s">
        <v>6206</v>
      </c>
      <c r="G730" s="9">
        <v>1E-4</v>
      </c>
    </row>
    <row r="731" spans="1:7" x14ac:dyDescent="0.3">
      <c r="A731" s="4">
        <v>44487</v>
      </c>
      <c r="B731">
        <v>409.91</v>
      </c>
      <c r="C731">
        <v>410.91</v>
      </c>
      <c r="D731">
        <v>413.5</v>
      </c>
      <c r="E731">
        <v>410.9</v>
      </c>
      <c r="F731" t="s">
        <v>6206</v>
      </c>
      <c r="G731" s="9">
        <v>0</v>
      </c>
    </row>
    <row r="732" spans="1:7" x14ac:dyDescent="0.3">
      <c r="A732" s="4">
        <v>44488</v>
      </c>
      <c r="B732">
        <v>409.89</v>
      </c>
      <c r="C732">
        <v>410.91</v>
      </c>
      <c r="D732">
        <v>410.95</v>
      </c>
      <c r="E732">
        <v>410.89</v>
      </c>
      <c r="F732" t="s">
        <v>6205</v>
      </c>
      <c r="G732" s="9">
        <v>0</v>
      </c>
    </row>
    <row r="733" spans="1:7" x14ac:dyDescent="0.3">
      <c r="A733" s="4">
        <v>44489</v>
      </c>
      <c r="B733">
        <v>409.82</v>
      </c>
      <c r="C733">
        <v>410.89</v>
      </c>
      <c r="D733">
        <v>410.89</v>
      </c>
      <c r="E733">
        <v>410.82</v>
      </c>
      <c r="F733" t="s">
        <v>6206</v>
      </c>
      <c r="G733" s="9">
        <v>-2.0000000000000001E-4</v>
      </c>
    </row>
    <row r="734" spans="1:7" x14ac:dyDescent="0.3">
      <c r="A734" s="4">
        <v>44490</v>
      </c>
      <c r="B734">
        <v>409.88</v>
      </c>
      <c r="C734">
        <v>410.82</v>
      </c>
      <c r="D734">
        <v>410.88</v>
      </c>
      <c r="E734">
        <v>410.8</v>
      </c>
      <c r="F734" t="s">
        <v>6206</v>
      </c>
      <c r="G734" s="9">
        <v>1E-4</v>
      </c>
    </row>
    <row r="735" spans="1:7" x14ac:dyDescent="0.3">
      <c r="A735" s="4">
        <v>44491</v>
      </c>
      <c r="B735">
        <v>409.91</v>
      </c>
      <c r="C735">
        <v>410.88</v>
      </c>
      <c r="D735">
        <v>410.91</v>
      </c>
      <c r="E735">
        <v>410.88</v>
      </c>
      <c r="F735" t="s">
        <v>6205</v>
      </c>
      <c r="G735" s="9">
        <v>1E-4</v>
      </c>
    </row>
    <row r="736" spans="1:7" x14ac:dyDescent="0.3">
      <c r="A736" s="4">
        <v>44494</v>
      </c>
      <c r="B736">
        <v>409.96</v>
      </c>
      <c r="C736">
        <v>410.9</v>
      </c>
      <c r="D736">
        <v>413.5</v>
      </c>
      <c r="E736">
        <v>410.18</v>
      </c>
      <c r="F736" t="s">
        <v>6205</v>
      </c>
      <c r="G736" s="9">
        <v>1E-4</v>
      </c>
    </row>
    <row r="737" spans="1:7" x14ac:dyDescent="0.3">
      <c r="A737" s="4">
        <v>44495</v>
      </c>
      <c r="B737">
        <v>409.99</v>
      </c>
      <c r="C737">
        <v>410.21</v>
      </c>
      <c r="D737">
        <v>410.24</v>
      </c>
      <c r="E737">
        <v>410.2</v>
      </c>
      <c r="F737" t="s">
        <v>6206</v>
      </c>
      <c r="G737" s="9">
        <v>1E-4</v>
      </c>
    </row>
    <row r="738" spans="1:7" x14ac:dyDescent="0.3">
      <c r="A738" s="4">
        <v>44496</v>
      </c>
      <c r="B738">
        <v>410.02</v>
      </c>
      <c r="C738">
        <v>410.24</v>
      </c>
      <c r="D738">
        <v>410.27</v>
      </c>
      <c r="E738">
        <v>410.23</v>
      </c>
      <c r="F738" t="s">
        <v>6208</v>
      </c>
      <c r="G738" s="9">
        <v>1E-4</v>
      </c>
    </row>
    <row r="739" spans="1:7" x14ac:dyDescent="0.3">
      <c r="A739" s="4">
        <v>44497</v>
      </c>
      <c r="B739">
        <v>410</v>
      </c>
      <c r="C739">
        <v>410.27</v>
      </c>
      <c r="D739">
        <v>410.27</v>
      </c>
      <c r="E739">
        <v>410.25</v>
      </c>
      <c r="F739" t="s">
        <v>6209</v>
      </c>
      <c r="G739" s="9">
        <v>0</v>
      </c>
    </row>
    <row r="740" spans="1:7" x14ac:dyDescent="0.3">
      <c r="A740" s="4">
        <v>44498</v>
      </c>
      <c r="B740">
        <v>410.06</v>
      </c>
      <c r="C740">
        <v>410.25</v>
      </c>
      <c r="D740">
        <v>410.31</v>
      </c>
      <c r="E740">
        <v>410.25</v>
      </c>
      <c r="F740" t="s">
        <v>6206</v>
      </c>
      <c r="G740" s="9">
        <v>1E-4</v>
      </c>
    </row>
    <row r="741" spans="1:7" x14ac:dyDescent="0.3">
      <c r="A741" s="4">
        <v>44501</v>
      </c>
      <c r="B741">
        <v>380.7</v>
      </c>
      <c r="C741">
        <v>381.2</v>
      </c>
      <c r="D741">
        <v>381.35</v>
      </c>
      <c r="E741">
        <v>381.1</v>
      </c>
      <c r="F741" t="s">
        <v>6206</v>
      </c>
      <c r="G741" s="9">
        <v>0</v>
      </c>
    </row>
    <row r="742" spans="1:7" x14ac:dyDescent="0.3">
      <c r="A742" s="4">
        <v>44502</v>
      </c>
      <c r="B742">
        <v>380.7</v>
      </c>
      <c r="C742">
        <v>381.2</v>
      </c>
      <c r="D742">
        <v>381.35</v>
      </c>
      <c r="E742">
        <v>381.1</v>
      </c>
      <c r="F742" t="s">
        <v>6206</v>
      </c>
      <c r="G742" s="9">
        <v>0</v>
      </c>
    </row>
    <row r="743" spans="1:7" x14ac:dyDescent="0.3">
      <c r="A743" s="4">
        <v>44503</v>
      </c>
      <c r="B743">
        <v>380.55</v>
      </c>
      <c r="C743">
        <v>381.05</v>
      </c>
      <c r="D743">
        <v>381.27499999999998</v>
      </c>
      <c r="E743">
        <v>381.02499999999998</v>
      </c>
      <c r="F743" t="s">
        <v>6206</v>
      </c>
      <c r="G743" s="9">
        <v>0</v>
      </c>
    </row>
    <row r="744" spans="1:7" x14ac:dyDescent="0.3">
      <c r="A744" s="4">
        <v>44505</v>
      </c>
      <c r="B744">
        <v>380.59</v>
      </c>
      <c r="C744">
        <v>381.09</v>
      </c>
      <c r="D744">
        <v>381.29500000000002</v>
      </c>
      <c r="E744">
        <v>381.04500000000002</v>
      </c>
      <c r="F744" t="s">
        <v>6205</v>
      </c>
      <c r="G744" s="9">
        <v>0</v>
      </c>
    </row>
    <row r="745" spans="1:7" x14ac:dyDescent="0.3">
      <c r="A745" s="4">
        <v>44506</v>
      </c>
      <c r="B745">
        <v>410.09</v>
      </c>
      <c r="C745">
        <v>412.54</v>
      </c>
      <c r="D745">
        <v>412.59500000000003</v>
      </c>
      <c r="E745">
        <v>410.25</v>
      </c>
      <c r="F745" t="s">
        <v>6208</v>
      </c>
      <c r="G745" s="9">
        <v>1E-4</v>
      </c>
    </row>
    <row r="746" spans="1:7" x14ac:dyDescent="0.3">
      <c r="A746" s="4">
        <v>44508</v>
      </c>
      <c r="B746">
        <v>411</v>
      </c>
      <c r="C746">
        <v>411.5</v>
      </c>
      <c r="D746">
        <v>411.5</v>
      </c>
      <c r="E746">
        <v>411.5</v>
      </c>
      <c r="G746" s="9">
        <v>0</v>
      </c>
    </row>
    <row r="747" spans="1:7" x14ac:dyDescent="0.3">
      <c r="A747" s="4">
        <v>44510</v>
      </c>
      <c r="B747">
        <v>409.77</v>
      </c>
      <c r="C747">
        <v>410.81</v>
      </c>
      <c r="D747">
        <v>413.5</v>
      </c>
      <c r="E747">
        <v>410.77</v>
      </c>
      <c r="F747" t="s">
        <v>6205</v>
      </c>
      <c r="G747" s="9">
        <v>-1E-4</v>
      </c>
    </row>
    <row r="748" spans="1:7" x14ac:dyDescent="0.3">
      <c r="A748" s="4">
        <v>44511</v>
      </c>
      <c r="B748">
        <v>410.37</v>
      </c>
      <c r="C748">
        <v>410.59</v>
      </c>
      <c r="D748">
        <v>410.62</v>
      </c>
      <c r="E748">
        <v>410.58</v>
      </c>
      <c r="F748" t="s">
        <v>6206</v>
      </c>
      <c r="G748" s="9">
        <v>1E-4</v>
      </c>
    </row>
    <row r="749" spans="1:7" x14ac:dyDescent="0.3">
      <c r="A749" s="4">
        <v>44515</v>
      </c>
      <c r="B749">
        <v>410.42</v>
      </c>
      <c r="C749">
        <v>410.64</v>
      </c>
      <c r="D749">
        <v>413.5</v>
      </c>
      <c r="E749">
        <v>410.64</v>
      </c>
      <c r="F749" t="s">
        <v>6205</v>
      </c>
      <c r="G749" s="9">
        <v>1E-4</v>
      </c>
    </row>
    <row r="750" spans="1:7" x14ac:dyDescent="0.3">
      <c r="A750" s="4">
        <v>44516</v>
      </c>
      <c r="B750">
        <v>410.43</v>
      </c>
      <c r="C750">
        <v>410.67</v>
      </c>
      <c r="D750">
        <v>410.68</v>
      </c>
      <c r="E750">
        <v>410.65</v>
      </c>
      <c r="F750" t="s">
        <v>6205</v>
      </c>
      <c r="G750" s="9">
        <v>0</v>
      </c>
    </row>
    <row r="751" spans="1:7" x14ac:dyDescent="0.3">
      <c r="A751" s="4">
        <v>44517</v>
      </c>
      <c r="B751">
        <v>410.43</v>
      </c>
      <c r="C751">
        <v>410.68</v>
      </c>
      <c r="D751">
        <v>410.68</v>
      </c>
      <c r="E751">
        <v>410.65</v>
      </c>
      <c r="F751" t="s">
        <v>6206</v>
      </c>
      <c r="G751" s="9">
        <v>0</v>
      </c>
    </row>
    <row r="752" spans="1:7" x14ac:dyDescent="0.3">
      <c r="A752" s="4">
        <v>44518</v>
      </c>
      <c r="B752">
        <v>410.57</v>
      </c>
      <c r="C752">
        <v>410.68</v>
      </c>
      <c r="D752">
        <v>410.82</v>
      </c>
      <c r="E752">
        <v>410.68</v>
      </c>
      <c r="F752" t="s">
        <v>6205</v>
      </c>
      <c r="G752" s="9">
        <v>2.9999999999999997E-4</v>
      </c>
    </row>
    <row r="753" spans="1:7" x14ac:dyDescent="0.3">
      <c r="A753" s="4">
        <v>44519</v>
      </c>
      <c r="B753">
        <v>410.59</v>
      </c>
      <c r="C753">
        <v>410.82</v>
      </c>
      <c r="D753">
        <v>410.85</v>
      </c>
      <c r="E753">
        <v>410.82</v>
      </c>
      <c r="F753" t="s">
        <v>6206</v>
      </c>
      <c r="G753" s="9">
        <v>0</v>
      </c>
    </row>
    <row r="754" spans="1:7" x14ac:dyDescent="0.3">
      <c r="A754" s="4">
        <v>44522</v>
      </c>
      <c r="B754">
        <v>410.59</v>
      </c>
      <c r="C754">
        <v>410.84</v>
      </c>
      <c r="D754">
        <v>413.5</v>
      </c>
      <c r="E754">
        <v>410.84</v>
      </c>
      <c r="F754" t="s">
        <v>6207</v>
      </c>
      <c r="G754" s="9">
        <v>0</v>
      </c>
    </row>
    <row r="755" spans="1:7" x14ac:dyDescent="0.3">
      <c r="A755" s="4">
        <v>44523</v>
      </c>
      <c r="B755">
        <v>409.63</v>
      </c>
      <c r="C755">
        <v>410.84</v>
      </c>
      <c r="D755">
        <v>410.84</v>
      </c>
      <c r="E755">
        <v>409.88</v>
      </c>
      <c r="F755" t="s">
        <v>6206</v>
      </c>
      <c r="G755" s="9">
        <v>-2.3E-3</v>
      </c>
    </row>
    <row r="756" spans="1:7" x14ac:dyDescent="0.3">
      <c r="A756" s="4">
        <v>44524</v>
      </c>
      <c r="B756">
        <v>409.63</v>
      </c>
      <c r="C756">
        <v>409.88</v>
      </c>
      <c r="D756">
        <v>409.88</v>
      </c>
      <c r="E756">
        <v>409.85</v>
      </c>
      <c r="F756" t="s">
        <v>6207</v>
      </c>
      <c r="G756" s="9">
        <v>0</v>
      </c>
    </row>
    <row r="757" spans="1:7" x14ac:dyDescent="0.3">
      <c r="A757" s="4">
        <v>44525</v>
      </c>
      <c r="B757">
        <v>409.63</v>
      </c>
      <c r="C757">
        <v>409.88</v>
      </c>
      <c r="D757">
        <v>409.88</v>
      </c>
      <c r="E757">
        <v>409.88</v>
      </c>
      <c r="G757" s="9">
        <v>0</v>
      </c>
    </row>
    <row r="758" spans="1:7" x14ac:dyDescent="0.3">
      <c r="A758" s="4">
        <v>44526</v>
      </c>
      <c r="B758">
        <v>409.64</v>
      </c>
      <c r="C758">
        <v>409.9</v>
      </c>
      <c r="D758">
        <v>409.9</v>
      </c>
      <c r="E758">
        <v>409.89</v>
      </c>
      <c r="F758" t="s">
        <v>6206</v>
      </c>
      <c r="G758" s="9">
        <v>0</v>
      </c>
    </row>
    <row r="759" spans="1:7" x14ac:dyDescent="0.3">
      <c r="A759" s="4">
        <v>44529</v>
      </c>
      <c r="B759">
        <v>409.64</v>
      </c>
      <c r="C759">
        <v>409.89</v>
      </c>
      <c r="D759">
        <v>413.5</v>
      </c>
      <c r="E759">
        <v>409.89</v>
      </c>
      <c r="F759" t="s">
        <v>6205</v>
      </c>
      <c r="G759" s="9">
        <v>0</v>
      </c>
    </row>
    <row r="760" spans="1:7" x14ac:dyDescent="0.3">
      <c r="A760" s="4">
        <v>44530</v>
      </c>
      <c r="B760">
        <v>409.64</v>
      </c>
      <c r="C760">
        <v>409.89</v>
      </c>
      <c r="D760">
        <v>409.9</v>
      </c>
      <c r="E760">
        <v>409.89</v>
      </c>
      <c r="F760" t="s">
        <v>6206</v>
      </c>
      <c r="G760" s="9">
        <v>0</v>
      </c>
    </row>
    <row r="761" spans="1:7" x14ac:dyDescent="0.3">
      <c r="A761" s="4">
        <v>44531</v>
      </c>
      <c r="B761">
        <v>380.7</v>
      </c>
      <c r="C761">
        <v>381.2</v>
      </c>
      <c r="D761">
        <v>381.2</v>
      </c>
      <c r="E761">
        <v>380.25</v>
      </c>
      <c r="F761" t="s">
        <v>6205</v>
      </c>
      <c r="G761" s="9">
        <v>0</v>
      </c>
    </row>
    <row r="762" spans="1:7" x14ac:dyDescent="0.3">
      <c r="A762" s="4">
        <v>44532</v>
      </c>
      <c r="B762">
        <v>380.65</v>
      </c>
      <c r="C762">
        <v>381.2</v>
      </c>
      <c r="D762">
        <v>381.2</v>
      </c>
      <c r="E762">
        <v>381.15</v>
      </c>
      <c r="F762" t="s">
        <v>6205</v>
      </c>
      <c r="G762" s="9">
        <v>-1E-4</v>
      </c>
    </row>
    <row r="763" spans="1:7" x14ac:dyDescent="0.3">
      <c r="A763" s="4">
        <v>44533</v>
      </c>
      <c r="B763">
        <v>380.55</v>
      </c>
      <c r="C763">
        <v>381.05</v>
      </c>
      <c r="D763">
        <v>381.27499999999998</v>
      </c>
      <c r="E763">
        <v>380.75</v>
      </c>
      <c r="F763" t="s">
        <v>6206</v>
      </c>
      <c r="G763" s="9">
        <v>0</v>
      </c>
    </row>
    <row r="764" spans="1:7" x14ac:dyDescent="0.3">
      <c r="A764" s="4">
        <v>44534</v>
      </c>
      <c r="B764">
        <v>380.55</v>
      </c>
      <c r="C764">
        <v>381.05</v>
      </c>
      <c r="D764">
        <v>381.27499999999998</v>
      </c>
      <c r="E764">
        <v>380.75</v>
      </c>
      <c r="F764" t="s">
        <v>6206</v>
      </c>
      <c r="G764" s="9">
        <v>0</v>
      </c>
    </row>
    <row r="765" spans="1:7" x14ac:dyDescent="0.3">
      <c r="A765" s="4">
        <v>44535</v>
      </c>
      <c r="B765">
        <v>380.59</v>
      </c>
      <c r="C765">
        <v>381.09</v>
      </c>
      <c r="D765">
        <v>381.09</v>
      </c>
      <c r="E765">
        <v>381.09</v>
      </c>
      <c r="G765" s="9">
        <v>0</v>
      </c>
    </row>
    <row r="766" spans="1:7" x14ac:dyDescent="0.3">
      <c r="A766" s="4">
        <v>44537</v>
      </c>
      <c r="B766">
        <v>411</v>
      </c>
      <c r="C766">
        <v>411.5</v>
      </c>
      <c r="D766">
        <v>411.5</v>
      </c>
      <c r="E766">
        <v>411.25</v>
      </c>
      <c r="F766" t="s">
        <v>6206</v>
      </c>
      <c r="G766" s="9">
        <v>0</v>
      </c>
    </row>
    <row r="767" spans="1:7" x14ac:dyDescent="0.3">
      <c r="A767" s="4">
        <v>44538</v>
      </c>
      <c r="B767">
        <v>411</v>
      </c>
      <c r="C767">
        <v>411.5</v>
      </c>
      <c r="D767">
        <v>411.5</v>
      </c>
      <c r="E767">
        <v>409.5</v>
      </c>
      <c r="F767" t="s">
        <v>6206</v>
      </c>
      <c r="G767" s="9">
        <v>0</v>
      </c>
    </row>
    <row r="768" spans="1:7" x14ac:dyDescent="0.3">
      <c r="A768" s="4">
        <v>44540</v>
      </c>
      <c r="B768">
        <v>409.87</v>
      </c>
      <c r="C768">
        <v>410.77</v>
      </c>
      <c r="D768">
        <v>413.27</v>
      </c>
      <c r="E768">
        <v>410.75</v>
      </c>
      <c r="F768" t="s">
        <v>6209</v>
      </c>
      <c r="G768" s="9">
        <v>2.0000000000000001E-4</v>
      </c>
    </row>
    <row r="769" spans="1:7" x14ac:dyDescent="0.3">
      <c r="A769" s="4">
        <v>44541</v>
      </c>
      <c r="B769">
        <v>410.39</v>
      </c>
      <c r="C769">
        <v>410.62</v>
      </c>
      <c r="D769">
        <v>410.64</v>
      </c>
      <c r="E769">
        <v>410.6</v>
      </c>
      <c r="F769" t="s">
        <v>6205</v>
      </c>
      <c r="G769" s="9">
        <v>0</v>
      </c>
    </row>
    <row r="770" spans="1:7" x14ac:dyDescent="0.3">
      <c r="A770" s="4">
        <v>44543</v>
      </c>
      <c r="B770">
        <v>409.95</v>
      </c>
      <c r="C770">
        <v>409.97</v>
      </c>
      <c r="D770">
        <v>413.5</v>
      </c>
      <c r="E770">
        <v>409.97</v>
      </c>
      <c r="F770" t="s">
        <v>6208</v>
      </c>
      <c r="G770" s="9">
        <v>5.9999999999999995E-4</v>
      </c>
    </row>
    <row r="771" spans="1:7" x14ac:dyDescent="0.3">
      <c r="A771" s="4">
        <v>44544</v>
      </c>
      <c r="B771">
        <v>409.72</v>
      </c>
      <c r="C771">
        <v>410.2</v>
      </c>
      <c r="D771">
        <v>413.5</v>
      </c>
      <c r="E771">
        <v>409.97</v>
      </c>
      <c r="F771" t="s">
        <v>6205</v>
      </c>
      <c r="G771" s="9">
        <v>-5.9999999999999995E-4</v>
      </c>
    </row>
    <row r="772" spans="1:7" x14ac:dyDescent="0.3">
      <c r="A772" s="4">
        <v>44545</v>
      </c>
      <c r="B772">
        <v>409.73</v>
      </c>
      <c r="C772">
        <v>409.97</v>
      </c>
      <c r="D772">
        <v>413.5</v>
      </c>
      <c r="E772">
        <v>409.95</v>
      </c>
      <c r="F772" t="s">
        <v>6205</v>
      </c>
      <c r="G772" s="9">
        <v>0</v>
      </c>
    </row>
    <row r="773" spans="1:7" x14ac:dyDescent="0.3">
      <c r="A773" s="4">
        <v>44546</v>
      </c>
      <c r="B773">
        <v>409.83</v>
      </c>
      <c r="C773">
        <v>409.98</v>
      </c>
      <c r="D773">
        <v>410.08</v>
      </c>
      <c r="E773">
        <v>409.97</v>
      </c>
      <c r="F773" t="s">
        <v>6206</v>
      </c>
      <c r="G773" s="9">
        <v>2.0000000000000001E-4</v>
      </c>
    </row>
    <row r="774" spans="1:7" x14ac:dyDescent="0.3">
      <c r="A774" s="4">
        <v>44547</v>
      </c>
      <c r="B774">
        <v>409.91</v>
      </c>
      <c r="C774">
        <v>410.08</v>
      </c>
      <c r="D774">
        <v>410.16</v>
      </c>
      <c r="E774">
        <v>410.07</v>
      </c>
      <c r="F774" t="s">
        <v>6208</v>
      </c>
      <c r="G774" s="9">
        <v>2.0000000000000001E-4</v>
      </c>
    </row>
    <row r="775" spans="1:7" x14ac:dyDescent="0.3">
      <c r="A775" s="4">
        <v>44550</v>
      </c>
      <c r="B775">
        <v>409.91</v>
      </c>
      <c r="C775">
        <v>410.16</v>
      </c>
      <c r="D775">
        <v>413.5</v>
      </c>
      <c r="E775">
        <v>410.16</v>
      </c>
      <c r="F775" t="s">
        <v>6206</v>
      </c>
      <c r="G775" s="9">
        <v>0</v>
      </c>
    </row>
    <row r="776" spans="1:7" x14ac:dyDescent="0.3">
      <c r="A776" s="4">
        <v>44551</v>
      </c>
      <c r="B776">
        <v>410.91</v>
      </c>
      <c r="C776">
        <v>410.16</v>
      </c>
      <c r="D776">
        <v>411.16</v>
      </c>
      <c r="E776">
        <v>410.16</v>
      </c>
      <c r="F776" t="s">
        <v>6205</v>
      </c>
      <c r="G776" s="9">
        <v>2.3999999999999998E-3</v>
      </c>
    </row>
    <row r="777" spans="1:7" x14ac:dyDescent="0.3">
      <c r="A777" s="4">
        <v>44552</v>
      </c>
      <c r="B777">
        <v>410.92</v>
      </c>
      <c r="C777">
        <v>411.16</v>
      </c>
      <c r="D777">
        <v>411.17</v>
      </c>
      <c r="E777">
        <v>411.15</v>
      </c>
      <c r="F777" t="s">
        <v>6205</v>
      </c>
      <c r="G777" s="9">
        <v>0</v>
      </c>
    </row>
    <row r="778" spans="1:7" x14ac:dyDescent="0.3">
      <c r="A778" s="4">
        <v>44553</v>
      </c>
      <c r="B778">
        <v>410.93</v>
      </c>
      <c r="C778">
        <v>411.17</v>
      </c>
      <c r="D778">
        <v>411.18</v>
      </c>
      <c r="E778">
        <v>411.15</v>
      </c>
      <c r="F778" t="s">
        <v>6205</v>
      </c>
      <c r="G778" s="9">
        <v>0</v>
      </c>
    </row>
    <row r="779" spans="1:7" x14ac:dyDescent="0.3">
      <c r="A779" s="4">
        <v>44554</v>
      </c>
      <c r="B779">
        <v>410.93</v>
      </c>
      <c r="C779">
        <v>411.18</v>
      </c>
      <c r="D779">
        <v>411.18</v>
      </c>
      <c r="E779">
        <v>411.18</v>
      </c>
      <c r="G779" s="9">
        <v>0</v>
      </c>
    </row>
    <row r="780" spans="1:7" x14ac:dyDescent="0.3">
      <c r="A780" s="4">
        <v>44557</v>
      </c>
      <c r="B780">
        <v>410.95</v>
      </c>
      <c r="C780">
        <v>411.18</v>
      </c>
      <c r="D780">
        <v>411.2</v>
      </c>
      <c r="E780">
        <v>411.17</v>
      </c>
      <c r="F780" t="s">
        <v>6209</v>
      </c>
      <c r="G780" s="9">
        <v>0</v>
      </c>
    </row>
    <row r="781" spans="1:7" x14ac:dyDescent="0.3">
      <c r="A781" s="4">
        <v>44558</v>
      </c>
      <c r="B781">
        <v>410.95</v>
      </c>
      <c r="C781">
        <v>411.2</v>
      </c>
      <c r="D781">
        <v>411.2</v>
      </c>
      <c r="E781">
        <v>411.15</v>
      </c>
      <c r="F781" t="s">
        <v>6205</v>
      </c>
      <c r="G781" s="9">
        <v>0</v>
      </c>
    </row>
    <row r="782" spans="1:7" x14ac:dyDescent="0.3">
      <c r="A782" s="4">
        <v>44559</v>
      </c>
      <c r="B782">
        <v>410.95</v>
      </c>
      <c r="C782">
        <v>411.2</v>
      </c>
      <c r="D782">
        <v>413.5</v>
      </c>
      <c r="E782">
        <v>411.19</v>
      </c>
      <c r="F782" t="s">
        <v>6206</v>
      </c>
      <c r="G782" s="9">
        <v>0</v>
      </c>
    </row>
    <row r="783" spans="1:7" x14ac:dyDescent="0.3">
      <c r="A783" s="4">
        <v>44560</v>
      </c>
      <c r="B783">
        <v>411</v>
      </c>
      <c r="C783">
        <v>411.2</v>
      </c>
      <c r="D783">
        <v>413.5</v>
      </c>
      <c r="E783">
        <v>411.2</v>
      </c>
      <c r="F783" t="s">
        <v>6205</v>
      </c>
      <c r="G783" s="9">
        <v>1E-4</v>
      </c>
    </row>
    <row r="784" spans="1:7" x14ac:dyDescent="0.3">
      <c r="A784" s="4">
        <v>44561</v>
      </c>
      <c r="B784">
        <v>411.7</v>
      </c>
      <c r="C784">
        <v>411.25</v>
      </c>
      <c r="D784">
        <v>411.95</v>
      </c>
      <c r="E784">
        <v>411.25</v>
      </c>
      <c r="F784" t="s">
        <v>6205</v>
      </c>
      <c r="G784" s="9">
        <v>1.6999999999999999E-3</v>
      </c>
    </row>
    <row r="785" spans="1:7" x14ac:dyDescent="0.3">
      <c r="A785" s="4">
        <v>44563</v>
      </c>
      <c r="B785">
        <v>414.26</v>
      </c>
      <c r="C785">
        <v>415.83</v>
      </c>
      <c r="D785">
        <v>415.83</v>
      </c>
      <c r="E785">
        <v>414.76</v>
      </c>
      <c r="F785" t="s">
        <v>6205</v>
      </c>
      <c r="G785" s="9">
        <v>-2.5999999999999999E-3</v>
      </c>
    </row>
    <row r="786" spans="1:7" x14ac:dyDescent="0.3">
      <c r="A786" s="4">
        <v>44564</v>
      </c>
      <c r="B786">
        <v>415.59</v>
      </c>
      <c r="C786">
        <v>416.02</v>
      </c>
      <c r="D786">
        <v>416.09</v>
      </c>
      <c r="E786">
        <v>415.5</v>
      </c>
      <c r="F786" t="s">
        <v>6206</v>
      </c>
      <c r="G786" s="9">
        <v>2.0000000000000001E-4</v>
      </c>
    </row>
    <row r="787" spans="1:7" x14ac:dyDescent="0.3">
      <c r="A787" s="4">
        <v>44565</v>
      </c>
      <c r="B787">
        <v>415.22</v>
      </c>
      <c r="C787">
        <v>415.75</v>
      </c>
      <c r="D787">
        <v>415.75</v>
      </c>
      <c r="E787">
        <v>415.72</v>
      </c>
      <c r="F787" t="s">
        <v>6208</v>
      </c>
      <c r="G787" s="9">
        <v>-1E-4</v>
      </c>
    </row>
    <row r="788" spans="1:7" x14ac:dyDescent="0.3">
      <c r="A788" s="4">
        <v>44567</v>
      </c>
      <c r="B788">
        <v>414.65</v>
      </c>
      <c r="C788">
        <v>415.2</v>
      </c>
      <c r="D788">
        <v>415.22</v>
      </c>
      <c r="E788">
        <v>415.15</v>
      </c>
      <c r="F788" t="s">
        <v>6208</v>
      </c>
      <c r="G788" s="9">
        <v>-1E-4</v>
      </c>
    </row>
    <row r="789" spans="1:7" x14ac:dyDescent="0.3">
      <c r="A789" s="4">
        <v>44568</v>
      </c>
      <c r="B789">
        <v>414.77</v>
      </c>
      <c r="C789">
        <v>415.27</v>
      </c>
      <c r="D789">
        <v>415.27</v>
      </c>
      <c r="E789">
        <v>415.25</v>
      </c>
      <c r="F789" t="s">
        <v>6206</v>
      </c>
      <c r="G789" s="9">
        <v>0</v>
      </c>
    </row>
    <row r="790" spans="1:7" x14ac:dyDescent="0.3">
      <c r="A790" s="4">
        <v>44569</v>
      </c>
      <c r="B790">
        <v>415.68</v>
      </c>
      <c r="C790">
        <v>415.87</v>
      </c>
      <c r="D790">
        <v>416.18</v>
      </c>
      <c r="E790">
        <v>415.85</v>
      </c>
      <c r="F790" t="s">
        <v>6206</v>
      </c>
      <c r="G790" s="9">
        <v>6.9999999999999999E-4</v>
      </c>
    </row>
    <row r="791" spans="1:7" x14ac:dyDescent="0.3">
      <c r="A791" s="4">
        <v>44574</v>
      </c>
      <c r="B791">
        <v>413.6</v>
      </c>
      <c r="C791">
        <v>413.94</v>
      </c>
      <c r="D791">
        <v>414.11</v>
      </c>
      <c r="E791">
        <v>413.94</v>
      </c>
      <c r="F791" t="s">
        <v>6206</v>
      </c>
      <c r="G791" s="9">
        <v>4.0000000000000002E-4</v>
      </c>
    </row>
    <row r="792" spans="1:7" x14ac:dyDescent="0.3">
      <c r="A792" s="4">
        <v>44575</v>
      </c>
      <c r="B792">
        <v>413.79</v>
      </c>
      <c r="C792">
        <v>414.1</v>
      </c>
      <c r="D792">
        <v>414.29</v>
      </c>
      <c r="E792">
        <v>414.1</v>
      </c>
      <c r="F792" t="s">
        <v>6205</v>
      </c>
      <c r="G792" s="9">
        <v>5.0000000000000001E-4</v>
      </c>
    </row>
    <row r="793" spans="1:7" x14ac:dyDescent="0.3">
      <c r="A793" s="4">
        <v>44578</v>
      </c>
      <c r="B793">
        <v>413.79</v>
      </c>
      <c r="C793">
        <v>414.29</v>
      </c>
      <c r="D793">
        <v>415.5</v>
      </c>
      <c r="E793">
        <v>414.29</v>
      </c>
      <c r="F793" t="s">
        <v>6206</v>
      </c>
      <c r="G793" s="9">
        <v>0</v>
      </c>
    </row>
    <row r="794" spans="1:7" x14ac:dyDescent="0.3">
      <c r="A794" s="4">
        <v>44579</v>
      </c>
      <c r="B794">
        <v>414</v>
      </c>
      <c r="C794">
        <v>414.29</v>
      </c>
      <c r="D794">
        <v>414.5</v>
      </c>
      <c r="E794">
        <v>414.29</v>
      </c>
      <c r="F794" t="s">
        <v>6208</v>
      </c>
      <c r="G794" s="9">
        <v>5.0000000000000001E-4</v>
      </c>
    </row>
    <row r="795" spans="1:7" x14ac:dyDescent="0.3">
      <c r="A795" s="4">
        <v>44580</v>
      </c>
      <c r="B795">
        <v>414.17</v>
      </c>
      <c r="C795">
        <v>414.5</v>
      </c>
      <c r="D795">
        <v>414.67</v>
      </c>
      <c r="E795">
        <v>414.5</v>
      </c>
      <c r="F795" t="s">
        <v>6205</v>
      </c>
      <c r="G795" s="9">
        <v>4.0000000000000002E-4</v>
      </c>
    </row>
    <row r="796" spans="1:7" x14ac:dyDescent="0.3">
      <c r="A796" s="4">
        <v>44581</v>
      </c>
      <c r="B796">
        <v>414.45</v>
      </c>
      <c r="C796">
        <v>414.67</v>
      </c>
      <c r="D796">
        <v>414.95</v>
      </c>
      <c r="E796">
        <v>414.67</v>
      </c>
      <c r="F796" t="s">
        <v>6208</v>
      </c>
      <c r="G796" s="9">
        <v>6.9999999999999999E-4</v>
      </c>
    </row>
    <row r="797" spans="1:7" x14ac:dyDescent="0.3">
      <c r="A797" s="4">
        <v>44582</v>
      </c>
      <c r="B797">
        <v>414.45</v>
      </c>
      <c r="C797">
        <v>414.95</v>
      </c>
      <c r="D797">
        <v>415</v>
      </c>
      <c r="E797">
        <v>414.95</v>
      </c>
      <c r="F797" t="s">
        <v>6205</v>
      </c>
      <c r="G797" s="9">
        <v>0</v>
      </c>
    </row>
    <row r="798" spans="1:7" x14ac:dyDescent="0.3">
      <c r="A798" s="4">
        <v>44585</v>
      </c>
      <c r="B798">
        <v>414.53</v>
      </c>
      <c r="C798">
        <v>414.95</v>
      </c>
      <c r="D798">
        <v>415.5</v>
      </c>
      <c r="E798">
        <v>414.95</v>
      </c>
      <c r="F798" t="s">
        <v>6205</v>
      </c>
      <c r="G798" s="9">
        <v>2.0000000000000001E-4</v>
      </c>
    </row>
    <row r="799" spans="1:7" x14ac:dyDescent="0.3">
      <c r="A799" s="4">
        <v>44586</v>
      </c>
      <c r="B799">
        <v>414.62</v>
      </c>
      <c r="C799">
        <v>415.03</v>
      </c>
      <c r="D799">
        <v>415.14</v>
      </c>
      <c r="E799">
        <v>415.03</v>
      </c>
      <c r="F799" t="s">
        <v>6205</v>
      </c>
      <c r="G799" s="9">
        <v>2.0000000000000001E-4</v>
      </c>
    </row>
    <row r="800" spans="1:7" x14ac:dyDescent="0.3">
      <c r="A800" s="4">
        <v>44587</v>
      </c>
      <c r="B800">
        <v>414.82</v>
      </c>
      <c r="C800">
        <v>415.12</v>
      </c>
      <c r="D800">
        <v>415.32</v>
      </c>
      <c r="E800">
        <v>415.12</v>
      </c>
      <c r="F800" t="s">
        <v>6208</v>
      </c>
      <c r="G800" s="9">
        <v>5.0000000000000001E-4</v>
      </c>
    </row>
    <row r="801" spans="1:7" x14ac:dyDescent="0.3">
      <c r="A801" s="4">
        <v>44588</v>
      </c>
      <c r="B801">
        <v>414.99</v>
      </c>
      <c r="C801">
        <v>415.32</v>
      </c>
      <c r="D801">
        <v>415.49</v>
      </c>
      <c r="E801">
        <v>415.32</v>
      </c>
      <c r="F801" t="s">
        <v>6205</v>
      </c>
      <c r="G801" s="9">
        <v>4.0000000000000002E-4</v>
      </c>
    </row>
    <row r="802" spans="1:7" x14ac:dyDescent="0.3">
      <c r="A802" s="4">
        <v>44589</v>
      </c>
      <c r="B802">
        <v>415.16</v>
      </c>
      <c r="C802">
        <v>415.49</v>
      </c>
      <c r="D802">
        <v>415.66</v>
      </c>
      <c r="E802">
        <v>415.49</v>
      </c>
      <c r="F802" t="s">
        <v>6205</v>
      </c>
      <c r="G802" s="9">
        <v>4.0000000000000002E-4</v>
      </c>
    </row>
    <row r="803" spans="1:7" x14ac:dyDescent="0.3">
      <c r="A803" s="4">
        <v>44592</v>
      </c>
      <c r="B803">
        <v>415.33</v>
      </c>
      <c r="C803">
        <v>415.66</v>
      </c>
      <c r="D803">
        <v>415.83</v>
      </c>
      <c r="E803">
        <v>415.5</v>
      </c>
      <c r="F803" t="s">
        <v>6208</v>
      </c>
      <c r="G803" s="9">
        <v>4.0000000000000002E-4</v>
      </c>
    </row>
    <row r="804" spans="1:7" x14ac:dyDescent="0.3">
      <c r="A804" s="4">
        <v>44594</v>
      </c>
      <c r="B804">
        <v>415.33</v>
      </c>
      <c r="C804">
        <v>414.76</v>
      </c>
      <c r="D804">
        <v>415.86</v>
      </c>
      <c r="E804">
        <v>414.76</v>
      </c>
      <c r="F804" t="s">
        <v>6209</v>
      </c>
      <c r="G804" s="9">
        <v>2.5999999999999999E-3</v>
      </c>
    </row>
    <row r="805" spans="1:7" x14ac:dyDescent="0.3">
      <c r="A805" s="4">
        <v>44595</v>
      </c>
      <c r="B805">
        <v>415.59</v>
      </c>
      <c r="C805">
        <v>416.09</v>
      </c>
      <c r="D805">
        <v>416.09</v>
      </c>
      <c r="E805">
        <v>416.09</v>
      </c>
      <c r="G805" s="9">
        <v>0</v>
      </c>
    </row>
    <row r="806" spans="1:7" x14ac:dyDescent="0.3">
      <c r="A806" s="4">
        <v>44597</v>
      </c>
      <c r="B806">
        <v>414.69</v>
      </c>
      <c r="C806">
        <v>415.26</v>
      </c>
      <c r="D806">
        <v>415.27</v>
      </c>
      <c r="E806">
        <v>415.19</v>
      </c>
      <c r="F806" t="s">
        <v>6206</v>
      </c>
      <c r="G806" s="9">
        <v>-2.0000000000000001E-4</v>
      </c>
    </row>
    <row r="807" spans="1:7" x14ac:dyDescent="0.3">
      <c r="A807" s="4">
        <v>44598</v>
      </c>
      <c r="B807">
        <v>414.58</v>
      </c>
      <c r="C807">
        <v>415.15</v>
      </c>
      <c r="D807">
        <v>415.15</v>
      </c>
      <c r="E807">
        <v>415.08</v>
      </c>
      <c r="F807" t="s">
        <v>6208</v>
      </c>
      <c r="G807" s="9">
        <v>-2.0000000000000001E-4</v>
      </c>
    </row>
    <row r="808" spans="1:7" x14ac:dyDescent="0.3">
      <c r="A808" s="4">
        <v>44600</v>
      </c>
      <c r="B808">
        <v>415.9</v>
      </c>
      <c r="C808">
        <v>416.18</v>
      </c>
      <c r="D808">
        <v>416.4</v>
      </c>
      <c r="E808">
        <v>416.15</v>
      </c>
      <c r="F808" t="s">
        <v>6205</v>
      </c>
      <c r="G808" s="9">
        <v>5.0000000000000001E-4</v>
      </c>
    </row>
    <row r="809" spans="1:7" x14ac:dyDescent="0.3">
      <c r="A809" s="4">
        <v>44606</v>
      </c>
      <c r="B809">
        <v>415.91</v>
      </c>
      <c r="C809">
        <v>417.01</v>
      </c>
      <c r="D809">
        <v>417.05</v>
      </c>
      <c r="E809">
        <v>415.5</v>
      </c>
      <c r="F809" t="s">
        <v>6205</v>
      </c>
      <c r="G809" s="9">
        <v>-1.4E-3</v>
      </c>
    </row>
    <row r="810" spans="1:7" x14ac:dyDescent="0.3">
      <c r="A810" s="4">
        <v>44607</v>
      </c>
      <c r="B810">
        <v>415.31</v>
      </c>
      <c r="C810">
        <v>416.41</v>
      </c>
      <c r="D810">
        <v>416.45</v>
      </c>
      <c r="E810">
        <v>415.81</v>
      </c>
      <c r="F810" t="s">
        <v>6205</v>
      </c>
      <c r="G810" s="9">
        <v>-1.4E-3</v>
      </c>
    </row>
    <row r="811" spans="1:7" x14ac:dyDescent="0.3">
      <c r="A811" s="4">
        <v>44608</v>
      </c>
      <c r="B811">
        <v>415.31</v>
      </c>
      <c r="C811">
        <v>415.81</v>
      </c>
      <c r="D811">
        <v>415.81</v>
      </c>
      <c r="E811">
        <v>415.8</v>
      </c>
      <c r="F811" t="s">
        <v>6206</v>
      </c>
      <c r="G811" s="9">
        <v>0</v>
      </c>
    </row>
    <row r="812" spans="1:7" x14ac:dyDescent="0.3">
      <c r="A812" s="4">
        <v>44609</v>
      </c>
      <c r="B812">
        <v>415.37</v>
      </c>
      <c r="C812">
        <v>415.81</v>
      </c>
      <c r="D812">
        <v>415.87</v>
      </c>
      <c r="E812">
        <v>415.8</v>
      </c>
      <c r="F812" t="s">
        <v>6205</v>
      </c>
      <c r="G812" s="9">
        <v>1E-4</v>
      </c>
    </row>
    <row r="813" spans="1:7" x14ac:dyDescent="0.3">
      <c r="A813" s="4">
        <v>44610</v>
      </c>
      <c r="B813">
        <v>415.37</v>
      </c>
      <c r="C813">
        <v>415.87</v>
      </c>
      <c r="D813">
        <v>415.9</v>
      </c>
      <c r="E813">
        <v>415.87</v>
      </c>
      <c r="F813" t="s">
        <v>6205</v>
      </c>
      <c r="G813" s="9">
        <v>0</v>
      </c>
    </row>
    <row r="814" spans="1:7" x14ac:dyDescent="0.3">
      <c r="A814" s="4">
        <v>44613</v>
      </c>
      <c r="B814">
        <v>415.37</v>
      </c>
      <c r="C814">
        <v>415.87</v>
      </c>
      <c r="D814">
        <v>415.87</v>
      </c>
      <c r="E814">
        <v>415.87</v>
      </c>
      <c r="G814" s="9">
        <v>0</v>
      </c>
    </row>
    <row r="815" spans="1:7" x14ac:dyDescent="0.3">
      <c r="A815" s="4">
        <v>44614</v>
      </c>
      <c r="B815">
        <v>415.39</v>
      </c>
      <c r="C815">
        <v>415.87</v>
      </c>
      <c r="D815">
        <v>415.89</v>
      </c>
      <c r="E815">
        <v>415.87</v>
      </c>
      <c r="F815" t="s">
        <v>6205</v>
      </c>
      <c r="G815" s="9">
        <v>0</v>
      </c>
    </row>
    <row r="816" spans="1:7" x14ac:dyDescent="0.3">
      <c r="A816" s="4">
        <v>44615</v>
      </c>
      <c r="B816">
        <v>415.39</v>
      </c>
      <c r="C816">
        <v>415.89</v>
      </c>
      <c r="D816">
        <v>415.89</v>
      </c>
      <c r="E816">
        <v>415.89</v>
      </c>
      <c r="G816" s="9">
        <v>0</v>
      </c>
    </row>
    <row r="817" spans="1:7" x14ac:dyDescent="0.3">
      <c r="A817" s="4">
        <v>44616</v>
      </c>
      <c r="B817">
        <v>415.39</v>
      </c>
      <c r="C817">
        <v>415.89</v>
      </c>
      <c r="D817">
        <v>415.89</v>
      </c>
      <c r="E817">
        <v>415.89</v>
      </c>
      <c r="G817" s="9">
        <v>0</v>
      </c>
    </row>
    <row r="818" spans="1:7" x14ac:dyDescent="0.3">
      <c r="A818" s="4">
        <v>44617</v>
      </c>
      <c r="B818">
        <v>415.39</v>
      </c>
      <c r="C818">
        <v>415.89</v>
      </c>
      <c r="D818">
        <v>415.89</v>
      </c>
      <c r="E818">
        <v>415.89</v>
      </c>
      <c r="G818" s="9">
        <v>0</v>
      </c>
    </row>
    <row r="819" spans="1:7" x14ac:dyDescent="0.3">
      <c r="A819" s="4">
        <v>44620</v>
      </c>
      <c r="B819">
        <v>415.52</v>
      </c>
      <c r="C819">
        <v>415.89</v>
      </c>
      <c r="D819">
        <v>416.02</v>
      </c>
      <c r="E819">
        <v>415.5</v>
      </c>
      <c r="F819" t="s">
        <v>6208</v>
      </c>
      <c r="G819" s="9">
        <v>2.9999999999999997E-4</v>
      </c>
    </row>
    <row r="820" spans="1:7" x14ac:dyDescent="0.3">
      <c r="A820" s="4">
        <v>44621</v>
      </c>
      <c r="B820">
        <v>412.49</v>
      </c>
      <c r="C820">
        <v>411.95</v>
      </c>
      <c r="D820">
        <v>412.74</v>
      </c>
      <c r="E820">
        <v>411.93</v>
      </c>
      <c r="F820" t="s">
        <v>6208</v>
      </c>
      <c r="G820" s="9">
        <v>1.9E-3</v>
      </c>
    </row>
    <row r="821" spans="1:7" x14ac:dyDescent="0.3">
      <c r="A821" s="4">
        <v>44622</v>
      </c>
      <c r="B821">
        <v>415.54</v>
      </c>
      <c r="C821">
        <v>415.83</v>
      </c>
      <c r="D821">
        <v>416.04</v>
      </c>
      <c r="E821">
        <v>415.8</v>
      </c>
      <c r="F821" t="s">
        <v>6206</v>
      </c>
      <c r="G821" s="9">
        <v>5.0000000000000001E-4</v>
      </c>
    </row>
    <row r="822" spans="1:7" x14ac:dyDescent="0.3">
      <c r="A822" s="4">
        <v>44623</v>
      </c>
      <c r="B822">
        <v>415.46</v>
      </c>
      <c r="C822">
        <v>416.09</v>
      </c>
      <c r="D822">
        <v>416.09</v>
      </c>
      <c r="E822">
        <v>415.96</v>
      </c>
      <c r="F822" t="s">
        <v>6205</v>
      </c>
      <c r="G822" s="9">
        <v>-2.9999999999999997E-4</v>
      </c>
    </row>
    <row r="823" spans="1:7" x14ac:dyDescent="0.3">
      <c r="A823" s="4">
        <v>44625</v>
      </c>
      <c r="B823">
        <v>414.69</v>
      </c>
      <c r="C823">
        <v>415.19</v>
      </c>
      <c r="D823">
        <v>415.19</v>
      </c>
      <c r="E823">
        <v>415.18</v>
      </c>
      <c r="F823" t="s">
        <v>6207</v>
      </c>
      <c r="G823" s="9">
        <v>0</v>
      </c>
    </row>
    <row r="824" spans="1:7" x14ac:dyDescent="0.3">
      <c r="A824" s="4">
        <v>44626</v>
      </c>
      <c r="B824">
        <v>414.62</v>
      </c>
      <c r="C824">
        <v>415.08</v>
      </c>
      <c r="D824">
        <v>415.12</v>
      </c>
      <c r="E824">
        <v>415.05</v>
      </c>
      <c r="F824" t="s">
        <v>6208</v>
      </c>
      <c r="G824" s="9">
        <v>1E-4</v>
      </c>
    </row>
    <row r="825" spans="1:7" x14ac:dyDescent="0.3">
      <c r="A825" s="4">
        <v>44628</v>
      </c>
      <c r="B825">
        <v>416.19</v>
      </c>
      <c r="C825">
        <v>416.4</v>
      </c>
      <c r="D825">
        <v>416.69</v>
      </c>
      <c r="E825">
        <v>416.38</v>
      </c>
      <c r="F825" t="s">
        <v>6206</v>
      </c>
      <c r="G825" s="9">
        <v>6.9999999999999999E-4</v>
      </c>
    </row>
    <row r="826" spans="1:7" x14ac:dyDescent="0.3">
      <c r="A826" s="4">
        <v>44634</v>
      </c>
      <c r="B826">
        <v>415.3</v>
      </c>
      <c r="C826">
        <v>415.84</v>
      </c>
      <c r="D826">
        <v>415.85</v>
      </c>
      <c r="E826">
        <v>415.5</v>
      </c>
      <c r="F826" t="s">
        <v>6205</v>
      </c>
      <c r="G826" s="9">
        <v>-1E-4</v>
      </c>
    </row>
    <row r="827" spans="1:7" x14ac:dyDescent="0.3">
      <c r="A827" s="4">
        <v>44635</v>
      </c>
      <c r="B827">
        <v>415.45</v>
      </c>
      <c r="C827">
        <v>415.8</v>
      </c>
      <c r="D827">
        <v>415.95</v>
      </c>
      <c r="E827">
        <v>415.8</v>
      </c>
      <c r="F827" t="s">
        <v>6205</v>
      </c>
      <c r="G827" s="9">
        <v>4.0000000000000002E-4</v>
      </c>
    </row>
    <row r="828" spans="1:7" x14ac:dyDescent="0.3">
      <c r="A828" s="4">
        <v>44636</v>
      </c>
      <c r="B828">
        <v>415.42</v>
      </c>
      <c r="C828">
        <v>415.95</v>
      </c>
      <c r="D828">
        <v>415.95</v>
      </c>
      <c r="E828">
        <v>415.5</v>
      </c>
      <c r="F828" t="s">
        <v>6205</v>
      </c>
      <c r="G828" s="9">
        <v>-1E-4</v>
      </c>
    </row>
    <row r="829" spans="1:7" x14ac:dyDescent="0.3">
      <c r="A829" s="4">
        <v>44637</v>
      </c>
      <c r="B829">
        <v>415.42</v>
      </c>
      <c r="C829">
        <v>415.92</v>
      </c>
      <c r="D829">
        <v>415.92</v>
      </c>
      <c r="E829">
        <v>415.9</v>
      </c>
      <c r="F829" t="s">
        <v>6206</v>
      </c>
      <c r="G829" s="9">
        <v>0</v>
      </c>
    </row>
    <row r="830" spans="1:7" x14ac:dyDescent="0.3">
      <c r="A830" s="4">
        <v>44638</v>
      </c>
      <c r="B830">
        <v>415.42</v>
      </c>
      <c r="C830">
        <v>415.92</v>
      </c>
      <c r="D830">
        <v>415.95</v>
      </c>
      <c r="E830">
        <v>415.5</v>
      </c>
      <c r="F830" t="s">
        <v>6206</v>
      </c>
      <c r="G830" s="9">
        <v>0</v>
      </c>
    </row>
    <row r="831" spans="1:7" x14ac:dyDescent="0.3">
      <c r="A831" s="4">
        <v>44641</v>
      </c>
      <c r="B831">
        <v>415.39</v>
      </c>
      <c r="C831">
        <v>415.92</v>
      </c>
      <c r="D831">
        <v>415.92</v>
      </c>
      <c r="E831">
        <v>415.5</v>
      </c>
      <c r="F831" t="s">
        <v>6205</v>
      </c>
      <c r="G831" s="9">
        <v>-1E-4</v>
      </c>
    </row>
    <row r="832" spans="1:7" x14ac:dyDescent="0.3">
      <c r="A832" s="4">
        <v>44642</v>
      </c>
      <c r="B832">
        <v>415.32</v>
      </c>
      <c r="C832">
        <v>415.89</v>
      </c>
      <c r="D832">
        <v>415.89</v>
      </c>
      <c r="E832">
        <v>415.82</v>
      </c>
      <c r="F832" t="s">
        <v>6205</v>
      </c>
      <c r="G832" s="9">
        <v>-2.0000000000000001E-4</v>
      </c>
    </row>
    <row r="833" spans="1:7" x14ac:dyDescent="0.3">
      <c r="A833" s="4">
        <v>44643</v>
      </c>
      <c r="B833">
        <v>415.25</v>
      </c>
      <c r="C833">
        <v>415.82</v>
      </c>
      <c r="D833">
        <v>415.82</v>
      </c>
      <c r="E833">
        <v>415.75</v>
      </c>
      <c r="F833" t="s">
        <v>6206</v>
      </c>
      <c r="G833" s="9">
        <v>-2.0000000000000001E-4</v>
      </c>
    </row>
    <row r="834" spans="1:7" x14ac:dyDescent="0.3">
      <c r="A834" s="4">
        <v>44644</v>
      </c>
      <c r="B834">
        <v>415.25</v>
      </c>
      <c r="C834">
        <v>415.75</v>
      </c>
      <c r="D834">
        <v>415.75</v>
      </c>
      <c r="E834">
        <v>411</v>
      </c>
      <c r="F834" t="s">
        <v>6206</v>
      </c>
      <c r="G834" s="9">
        <v>0</v>
      </c>
    </row>
    <row r="835" spans="1:7" x14ac:dyDescent="0.3">
      <c r="A835" s="4">
        <v>44645</v>
      </c>
      <c r="B835">
        <v>415.25</v>
      </c>
      <c r="C835">
        <v>415.75</v>
      </c>
      <c r="D835">
        <v>415.75</v>
      </c>
      <c r="E835">
        <v>415.5</v>
      </c>
      <c r="F835" t="s">
        <v>6207</v>
      </c>
      <c r="G835" s="9">
        <v>0</v>
      </c>
    </row>
    <row r="836" spans="1:7" x14ac:dyDescent="0.3">
      <c r="A836" s="4">
        <v>44648</v>
      </c>
      <c r="B836">
        <v>415.23</v>
      </c>
      <c r="C836">
        <v>415.75</v>
      </c>
      <c r="D836">
        <v>415.75</v>
      </c>
      <c r="E836">
        <v>415.5</v>
      </c>
      <c r="F836" t="s">
        <v>6205</v>
      </c>
      <c r="G836" s="9">
        <v>0</v>
      </c>
    </row>
    <row r="837" spans="1:7" x14ac:dyDescent="0.3">
      <c r="A837" s="4">
        <v>44649</v>
      </c>
      <c r="B837">
        <v>415.25</v>
      </c>
      <c r="C837">
        <v>415.73</v>
      </c>
      <c r="D837">
        <v>415.75</v>
      </c>
      <c r="E837">
        <v>415.72</v>
      </c>
      <c r="F837" t="s">
        <v>6208</v>
      </c>
      <c r="G837" s="9">
        <v>0</v>
      </c>
    </row>
    <row r="838" spans="1:7" x14ac:dyDescent="0.3">
      <c r="A838" s="4">
        <v>44650</v>
      </c>
      <c r="B838">
        <v>415.25</v>
      </c>
      <c r="C838">
        <v>415.75</v>
      </c>
      <c r="D838">
        <v>415.75</v>
      </c>
      <c r="E838">
        <v>415.75</v>
      </c>
      <c r="G838" s="9">
        <v>0</v>
      </c>
    </row>
    <row r="839" spans="1:7" x14ac:dyDescent="0.3">
      <c r="A839" s="4">
        <v>44651</v>
      </c>
      <c r="B839">
        <v>415.25</v>
      </c>
      <c r="C839">
        <v>415.75</v>
      </c>
      <c r="D839">
        <v>415.75</v>
      </c>
      <c r="E839">
        <v>415.72</v>
      </c>
      <c r="F839" t="s">
        <v>6207</v>
      </c>
      <c r="G839" s="9">
        <v>0</v>
      </c>
    </row>
    <row r="840" spans="1:7" x14ac:dyDescent="0.3">
      <c r="A840" s="4">
        <v>44652</v>
      </c>
      <c r="B840">
        <v>412.49</v>
      </c>
      <c r="C840">
        <v>412.74</v>
      </c>
      <c r="D840">
        <v>413.5</v>
      </c>
      <c r="E840">
        <v>412.74</v>
      </c>
      <c r="F840" t="s">
        <v>6205</v>
      </c>
      <c r="G840" s="9">
        <v>0</v>
      </c>
    </row>
    <row r="841" spans="1:7" x14ac:dyDescent="0.3">
      <c r="A841" s="4">
        <v>44653</v>
      </c>
      <c r="B841">
        <v>415.7</v>
      </c>
      <c r="C841">
        <v>416.04</v>
      </c>
      <c r="D841">
        <v>416.2</v>
      </c>
      <c r="E841">
        <v>416.02</v>
      </c>
      <c r="F841" t="s">
        <v>6205</v>
      </c>
      <c r="G841" s="9">
        <v>4.0000000000000002E-4</v>
      </c>
    </row>
    <row r="842" spans="1:7" x14ac:dyDescent="0.3">
      <c r="A842" s="4">
        <v>44654</v>
      </c>
      <c r="B842">
        <v>415.41</v>
      </c>
      <c r="C842">
        <v>415.96</v>
      </c>
      <c r="D842">
        <v>415.96</v>
      </c>
      <c r="E842">
        <v>415.91</v>
      </c>
      <c r="F842" t="s">
        <v>6208</v>
      </c>
      <c r="G842" s="9">
        <v>-1E-4</v>
      </c>
    </row>
    <row r="843" spans="1:7" x14ac:dyDescent="0.3">
      <c r="A843" s="4">
        <v>44655</v>
      </c>
      <c r="B843">
        <v>415.22</v>
      </c>
      <c r="C843">
        <v>415.72</v>
      </c>
      <c r="D843">
        <v>415.75</v>
      </c>
      <c r="E843">
        <v>415.5</v>
      </c>
      <c r="F843" t="s">
        <v>6206</v>
      </c>
      <c r="G843" s="9">
        <v>0</v>
      </c>
    </row>
    <row r="844" spans="1:7" x14ac:dyDescent="0.3">
      <c r="A844" s="4">
        <v>44656</v>
      </c>
      <c r="B844">
        <v>414.69</v>
      </c>
      <c r="C844">
        <v>415.19</v>
      </c>
      <c r="D844">
        <v>415.5</v>
      </c>
      <c r="E844">
        <v>415.15</v>
      </c>
      <c r="F844" t="s">
        <v>6206</v>
      </c>
      <c r="G844" s="9">
        <v>0</v>
      </c>
    </row>
    <row r="845" spans="1:7" x14ac:dyDescent="0.3">
      <c r="A845" s="4">
        <v>44658</v>
      </c>
      <c r="B845">
        <v>414.77</v>
      </c>
      <c r="C845">
        <v>415.27</v>
      </c>
      <c r="D845">
        <v>419.5</v>
      </c>
      <c r="E845">
        <v>415.27</v>
      </c>
      <c r="F845" t="s">
        <v>6207</v>
      </c>
      <c r="G845" s="9">
        <v>0</v>
      </c>
    </row>
    <row r="846" spans="1:7" x14ac:dyDescent="0.3">
      <c r="A846" s="4">
        <v>44659</v>
      </c>
      <c r="B846">
        <v>416.69</v>
      </c>
      <c r="C846">
        <v>416.69</v>
      </c>
      <c r="D846">
        <v>417.19</v>
      </c>
      <c r="E846">
        <v>416.68</v>
      </c>
      <c r="F846" t="s">
        <v>6206</v>
      </c>
      <c r="G846" s="9">
        <v>1.1999999999999999E-3</v>
      </c>
    </row>
    <row r="847" spans="1:7" x14ac:dyDescent="0.3">
      <c r="A847" s="4">
        <v>44664</v>
      </c>
      <c r="B847">
        <v>414.08</v>
      </c>
      <c r="C847">
        <v>414.59</v>
      </c>
      <c r="D847">
        <v>414.6</v>
      </c>
      <c r="E847">
        <v>414.58</v>
      </c>
      <c r="F847" t="s">
        <v>6205</v>
      </c>
      <c r="G847" s="9">
        <v>0</v>
      </c>
    </row>
    <row r="848" spans="1:7" x14ac:dyDescent="0.3">
      <c r="A848" s="4">
        <v>44665</v>
      </c>
      <c r="B848">
        <v>414.03</v>
      </c>
      <c r="C848">
        <v>414.58</v>
      </c>
      <c r="D848">
        <v>414.6</v>
      </c>
      <c r="E848">
        <v>414.53</v>
      </c>
      <c r="F848" t="s">
        <v>6205</v>
      </c>
      <c r="G848" s="9">
        <v>-1E-4</v>
      </c>
    </row>
    <row r="849" spans="1:7" x14ac:dyDescent="0.3">
      <c r="A849" s="4">
        <v>44666</v>
      </c>
      <c r="B849">
        <v>414.02</v>
      </c>
      <c r="C849">
        <v>414.53</v>
      </c>
      <c r="D849">
        <v>414.53</v>
      </c>
      <c r="E849">
        <v>414.52</v>
      </c>
      <c r="F849" t="s">
        <v>6206</v>
      </c>
      <c r="G849" s="9">
        <v>0</v>
      </c>
    </row>
    <row r="850" spans="1:7" x14ac:dyDescent="0.3">
      <c r="A850" s="4">
        <v>44669</v>
      </c>
      <c r="B850">
        <v>414</v>
      </c>
      <c r="C850">
        <v>414.52</v>
      </c>
      <c r="D850">
        <v>414.55</v>
      </c>
      <c r="E850">
        <v>414.5</v>
      </c>
      <c r="F850" t="s">
        <v>6206</v>
      </c>
      <c r="G850" s="9">
        <v>0</v>
      </c>
    </row>
    <row r="851" spans="1:7" x14ac:dyDescent="0.3">
      <c r="A851" s="4">
        <v>44670</v>
      </c>
      <c r="B851">
        <v>414</v>
      </c>
      <c r="C851">
        <v>414.5</v>
      </c>
      <c r="D851">
        <v>414.52</v>
      </c>
      <c r="E851">
        <v>414.5</v>
      </c>
      <c r="F851" t="s">
        <v>6206</v>
      </c>
      <c r="G851" s="9">
        <v>0</v>
      </c>
    </row>
    <row r="852" spans="1:7" x14ac:dyDescent="0.3">
      <c r="A852" s="4">
        <v>44671</v>
      </c>
      <c r="B852">
        <v>415</v>
      </c>
      <c r="C852">
        <v>414.5</v>
      </c>
      <c r="D852">
        <v>415.5</v>
      </c>
      <c r="E852">
        <v>414.5</v>
      </c>
      <c r="F852" t="s">
        <v>6205</v>
      </c>
      <c r="G852" s="9">
        <v>2.3999999999999998E-3</v>
      </c>
    </row>
    <row r="853" spans="1:7" x14ac:dyDescent="0.3">
      <c r="A853" s="4">
        <v>44672</v>
      </c>
      <c r="B853">
        <v>415.08</v>
      </c>
      <c r="C853">
        <v>415.5</v>
      </c>
      <c r="D853">
        <v>415.58</v>
      </c>
      <c r="E853">
        <v>415.5</v>
      </c>
      <c r="F853" t="s">
        <v>6205</v>
      </c>
      <c r="G853" s="9">
        <v>2.0000000000000001E-4</v>
      </c>
    </row>
    <row r="854" spans="1:7" x14ac:dyDescent="0.3">
      <c r="A854" s="4">
        <v>44673</v>
      </c>
      <c r="B854">
        <v>415.08</v>
      </c>
      <c r="C854">
        <v>415.58</v>
      </c>
      <c r="D854">
        <v>415.58</v>
      </c>
      <c r="E854">
        <v>415.55</v>
      </c>
      <c r="F854" t="s">
        <v>6207</v>
      </c>
      <c r="G854" s="9">
        <v>0</v>
      </c>
    </row>
    <row r="855" spans="1:7" x14ac:dyDescent="0.3">
      <c r="A855" s="4">
        <v>44676</v>
      </c>
      <c r="B855">
        <v>414.08</v>
      </c>
      <c r="C855">
        <v>415.58</v>
      </c>
      <c r="D855">
        <v>415.58</v>
      </c>
      <c r="E855">
        <v>414.58</v>
      </c>
      <c r="F855" t="s">
        <v>6206</v>
      </c>
      <c r="G855" s="9">
        <v>-2.3999999999999998E-3</v>
      </c>
    </row>
    <row r="856" spans="1:7" x14ac:dyDescent="0.3">
      <c r="A856" s="4">
        <v>44677</v>
      </c>
      <c r="B856">
        <v>414.98</v>
      </c>
      <c r="C856">
        <v>414.58</v>
      </c>
      <c r="D856">
        <v>415.48</v>
      </c>
      <c r="E856">
        <v>414.57</v>
      </c>
      <c r="F856" t="s">
        <v>6206</v>
      </c>
      <c r="G856" s="9">
        <v>2.2000000000000001E-3</v>
      </c>
    </row>
    <row r="857" spans="1:7" x14ac:dyDescent="0.3">
      <c r="A857" s="4">
        <v>44678</v>
      </c>
      <c r="B857">
        <v>414.92</v>
      </c>
      <c r="C857">
        <v>415.48</v>
      </c>
      <c r="D857">
        <v>415.48</v>
      </c>
      <c r="E857">
        <v>415.42</v>
      </c>
      <c r="F857" t="s">
        <v>6205</v>
      </c>
      <c r="G857" s="9">
        <v>-1E-4</v>
      </c>
    </row>
    <row r="858" spans="1:7" x14ac:dyDescent="0.3">
      <c r="A858" s="4">
        <v>44679</v>
      </c>
      <c r="B858">
        <v>414.83</v>
      </c>
      <c r="C858">
        <v>415.42</v>
      </c>
      <c r="D858">
        <v>415.42</v>
      </c>
      <c r="E858">
        <v>415.33</v>
      </c>
      <c r="F858" t="s">
        <v>6205</v>
      </c>
      <c r="G858" s="9">
        <v>-2.0000000000000001E-4</v>
      </c>
    </row>
    <row r="859" spans="1:7" x14ac:dyDescent="0.3">
      <c r="A859" s="4">
        <v>44680</v>
      </c>
      <c r="B859">
        <v>414.76</v>
      </c>
      <c r="C859">
        <v>415.33</v>
      </c>
      <c r="D859">
        <v>415.33</v>
      </c>
      <c r="E859">
        <v>415.26</v>
      </c>
      <c r="F859" t="s">
        <v>6205</v>
      </c>
      <c r="G859" s="9">
        <v>-2.0000000000000001E-4</v>
      </c>
    </row>
    <row r="860" spans="1:7" x14ac:dyDescent="0.3">
      <c r="A860" s="4">
        <v>44682</v>
      </c>
      <c r="B860">
        <v>412.55</v>
      </c>
      <c r="C860">
        <v>412.74</v>
      </c>
      <c r="D860">
        <v>412.92</v>
      </c>
      <c r="E860">
        <v>412.74</v>
      </c>
      <c r="F860" t="s">
        <v>6209</v>
      </c>
      <c r="G860" s="9">
        <v>1E-4</v>
      </c>
    </row>
    <row r="861" spans="1:7" x14ac:dyDescent="0.3">
      <c r="A861" s="4">
        <v>44685</v>
      </c>
      <c r="B861">
        <v>415.22</v>
      </c>
      <c r="C861">
        <v>415.72</v>
      </c>
      <c r="D861">
        <v>415.73</v>
      </c>
      <c r="E861">
        <v>415.72</v>
      </c>
      <c r="F861" t="s">
        <v>6206</v>
      </c>
      <c r="G861" s="9">
        <v>0</v>
      </c>
    </row>
    <row r="862" spans="1:7" x14ac:dyDescent="0.3">
      <c r="A862" s="4">
        <v>44686</v>
      </c>
      <c r="B862">
        <v>414.62</v>
      </c>
      <c r="C862">
        <v>415.19</v>
      </c>
      <c r="D862">
        <v>415.19</v>
      </c>
      <c r="E862">
        <v>415.12</v>
      </c>
      <c r="F862" t="s">
        <v>6205</v>
      </c>
      <c r="G862" s="9">
        <v>-2.0000000000000001E-4</v>
      </c>
    </row>
    <row r="863" spans="1:7" x14ac:dyDescent="0.3">
      <c r="A863" s="4">
        <v>44688</v>
      </c>
      <c r="B863">
        <v>414.8</v>
      </c>
      <c r="C863">
        <v>415.27</v>
      </c>
      <c r="D863">
        <v>415.3</v>
      </c>
      <c r="E863">
        <v>415.25</v>
      </c>
      <c r="F863" t="s">
        <v>6205</v>
      </c>
      <c r="G863" s="9">
        <v>1E-4</v>
      </c>
    </row>
    <row r="864" spans="1:7" x14ac:dyDescent="0.3">
      <c r="A864" s="4">
        <v>44689</v>
      </c>
      <c r="B864">
        <v>417.07</v>
      </c>
      <c r="C864">
        <v>417.19</v>
      </c>
      <c r="D864">
        <v>417.57</v>
      </c>
      <c r="E864">
        <v>417.18</v>
      </c>
      <c r="F864" t="s">
        <v>6205</v>
      </c>
      <c r="G864" s="9">
        <v>8.9999999999999998E-4</v>
      </c>
    </row>
    <row r="865" spans="1:7" x14ac:dyDescent="0.3">
      <c r="A865" s="4">
        <v>44694</v>
      </c>
      <c r="B865">
        <v>414.76</v>
      </c>
      <c r="C865">
        <v>415.33</v>
      </c>
      <c r="D865">
        <v>415.33</v>
      </c>
      <c r="E865">
        <v>415.26</v>
      </c>
      <c r="F865" t="s">
        <v>6208</v>
      </c>
      <c r="G865" s="9">
        <v>-2.0000000000000001E-4</v>
      </c>
    </row>
    <row r="866" spans="1:7" x14ac:dyDescent="0.3">
      <c r="A866" s="4">
        <v>44697</v>
      </c>
      <c r="B866">
        <v>414.75</v>
      </c>
      <c r="C866">
        <v>415.26</v>
      </c>
      <c r="D866">
        <v>415.26</v>
      </c>
      <c r="E866">
        <v>415.25</v>
      </c>
      <c r="F866" t="s">
        <v>6205</v>
      </c>
      <c r="G866" s="9">
        <v>0</v>
      </c>
    </row>
    <row r="867" spans="1:7" x14ac:dyDescent="0.3">
      <c r="A867" s="4">
        <v>44698</v>
      </c>
      <c r="B867">
        <v>414.75</v>
      </c>
      <c r="C867">
        <v>415.25</v>
      </c>
      <c r="D867">
        <v>415.3</v>
      </c>
      <c r="E867">
        <v>415.25</v>
      </c>
      <c r="F867" t="s">
        <v>6206</v>
      </c>
      <c r="G867" s="9">
        <v>0</v>
      </c>
    </row>
    <row r="868" spans="1:7" x14ac:dyDescent="0.3">
      <c r="A868" s="4">
        <v>44699</v>
      </c>
      <c r="B868">
        <v>414.68</v>
      </c>
      <c r="C868">
        <v>415.25</v>
      </c>
      <c r="D868">
        <v>415.25</v>
      </c>
      <c r="E868">
        <v>415.18</v>
      </c>
      <c r="F868" t="s">
        <v>6206</v>
      </c>
      <c r="G868" s="9">
        <v>-2.0000000000000001E-4</v>
      </c>
    </row>
    <row r="869" spans="1:7" x14ac:dyDescent="0.3">
      <c r="A869" s="4">
        <v>44700</v>
      </c>
      <c r="B869">
        <v>414.62</v>
      </c>
      <c r="C869">
        <v>415.18</v>
      </c>
      <c r="D869">
        <v>415.18</v>
      </c>
      <c r="E869">
        <v>415.12</v>
      </c>
      <c r="F869" t="s">
        <v>6205</v>
      </c>
      <c r="G869" s="9">
        <v>-1E-4</v>
      </c>
    </row>
    <row r="870" spans="1:7" x14ac:dyDescent="0.3">
      <c r="A870" s="4">
        <v>44701</v>
      </c>
      <c r="B870">
        <v>414.62</v>
      </c>
      <c r="C870">
        <v>415.12</v>
      </c>
      <c r="D870">
        <v>415.12</v>
      </c>
      <c r="E870">
        <v>415.1</v>
      </c>
      <c r="F870" t="s">
        <v>6206</v>
      </c>
      <c r="G870" s="9">
        <v>0</v>
      </c>
    </row>
    <row r="871" spans="1:7" x14ac:dyDescent="0.3">
      <c r="A871" s="4">
        <v>44704</v>
      </c>
      <c r="B871">
        <v>414.58</v>
      </c>
      <c r="C871">
        <v>415.12</v>
      </c>
      <c r="D871">
        <v>415.5</v>
      </c>
      <c r="E871">
        <v>415.08</v>
      </c>
      <c r="F871" t="s">
        <v>6205</v>
      </c>
      <c r="G871" s="9">
        <v>-1E-4</v>
      </c>
    </row>
    <row r="872" spans="1:7" x14ac:dyDescent="0.3">
      <c r="A872" s="4">
        <v>44705</v>
      </c>
      <c r="B872">
        <v>414.68</v>
      </c>
      <c r="C872">
        <v>415.08</v>
      </c>
      <c r="D872">
        <v>415.18</v>
      </c>
      <c r="E872">
        <v>415.05</v>
      </c>
      <c r="F872" t="s">
        <v>6205</v>
      </c>
      <c r="G872" s="9">
        <v>2.0000000000000001E-4</v>
      </c>
    </row>
    <row r="873" spans="1:7" x14ac:dyDescent="0.3">
      <c r="A873" s="4">
        <v>44706</v>
      </c>
      <c r="B873">
        <v>414.68</v>
      </c>
      <c r="C873">
        <v>415.18</v>
      </c>
      <c r="D873">
        <v>415.18</v>
      </c>
      <c r="E873">
        <v>415.15</v>
      </c>
      <c r="F873" t="s">
        <v>6206</v>
      </c>
      <c r="G873" s="9">
        <v>0</v>
      </c>
    </row>
    <row r="874" spans="1:7" x14ac:dyDescent="0.3">
      <c r="A874" s="4">
        <v>44707</v>
      </c>
      <c r="B874">
        <v>414.72</v>
      </c>
      <c r="C874">
        <v>415.18</v>
      </c>
      <c r="D874">
        <v>415.22</v>
      </c>
      <c r="E874">
        <v>415.16</v>
      </c>
      <c r="F874" t="s">
        <v>6205</v>
      </c>
      <c r="G874" s="9">
        <v>1E-4</v>
      </c>
    </row>
    <row r="875" spans="1:7" x14ac:dyDescent="0.3">
      <c r="A875" s="4">
        <v>44708</v>
      </c>
      <c r="B875">
        <v>414.72</v>
      </c>
      <c r="C875">
        <v>415.22</v>
      </c>
      <c r="D875">
        <v>415.22</v>
      </c>
      <c r="E875">
        <v>415.2</v>
      </c>
      <c r="F875" t="s">
        <v>6207</v>
      </c>
      <c r="G875" s="9">
        <v>0</v>
      </c>
    </row>
    <row r="876" spans="1:7" x14ac:dyDescent="0.3">
      <c r="A876" s="4">
        <v>44711</v>
      </c>
      <c r="B876">
        <v>414.72</v>
      </c>
      <c r="C876">
        <v>415.22</v>
      </c>
      <c r="D876">
        <v>415.22</v>
      </c>
      <c r="E876">
        <v>415.22</v>
      </c>
      <c r="G876" s="9">
        <v>0</v>
      </c>
    </row>
    <row r="877" spans="1:7" x14ac:dyDescent="0.3">
      <c r="A877" s="4">
        <v>44712</v>
      </c>
      <c r="B877">
        <v>414.7</v>
      </c>
      <c r="C877">
        <v>415.22</v>
      </c>
      <c r="D877">
        <v>415.22</v>
      </c>
      <c r="E877">
        <v>415.2</v>
      </c>
      <c r="F877" t="s">
        <v>6206</v>
      </c>
      <c r="G877" s="9">
        <v>0</v>
      </c>
    </row>
    <row r="878" spans="1:7" x14ac:dyDescent="0.3">
      <c r="A878" s="4">
        <v>44713</v>
      </c>
      <c r="B878">
        <v>412.79</v>
      </c>
      <c r="C878">
        <v>412.8</v>
      </c>
      <c r="D878">
        <v>413.04</v>
      </c>
      <c r="E878">
        <v>412.8</v>
      </c>
      <c r="F878" t="s">
        <v>6209</v>
      </c>
      <c r="G878" s="9">
        <v>5.9999999999999995E-4</v>
      </c>
    </row>
    <row r="879" spans="1:7" x14ac:dyDescent="0.3">
      <c r="A879" s="4">
        <v>44716</v>
      </c>
      <c r="B879">
        <v>415.22</v>
      </c>
      <c r="C879">
        <v>415.72</v>
      </c>
      <c r="D879">
        <v>415.72</v>
      </c>
      <c r="E879">
        <v>415.7</v>
      </c>
      <c r="F879" t="s">
        <v>6205</v>
      </c>
      <c r="G879" s="9">
        <v>0</v>
      </c>
    </row>
    <row r="880" spans="1:7" x14ac:dyDescent="0.3">
      <c r="A880" s="4">
        <v>44717</v>
      </c>
      <c r="B880">
        <v>414.69</v>
      </c>
      <c r="C880">
        <v>415.12</v>
      </c>
      <c r="D880">
        <v>415.19</v>
      </c>
      <c r="E880">
        <v>415.12</v>
      </c>
      <c r="F880" t="s">
        <v>6205</v>
      </c>
      <c r="G880" s="9">
        <v>2.0000000000000001E-4</v>
      </c>
    </row>
    <row r="881" spans="1:7" x14ac:dyDescent="0.3">
      <c r="A881" s="4">
        <v>44718</v>
      </c>
      <c r="B881">
        <v>414.62</v>
      </c>
      <c r="C881">
        <v>415.12</v>
      </c>
      <c r="D881">
        <v>415.12</v>
      </c>
      <c r="E881">
        <v>415.12</v>
      </c>
      <c r="G881" s="9">
        <v>0</v>
      </c>
    </row>
    <row r="882" spans="1:7" x14ac:dyDescent="0.3">
      <c r="A882" s="4">
        <v>44719</v>
      </c>
      <c r="B882">
        <v>414.83</v>
      </c>
      <c r="C882">
        <v>415.3</v>
      </c>
      <c r="D882">
        <v>425.5</v>
      </c>
      <c r="E882">
        <v>415.3</v>
      </c>
      <c r="F882" t="s">
        <v>6205</v>
      </c>
      <c r="G882" s="9">
        <v>1E-4</v>
      </c>
    </row>
    <row r="883" spans="1:7" x14ac:dyDescent="0.3">
      <c r="A883" s="4">
        <v>44725</v>
      </c>
      <c r="B883">
        <v>414.63</v>
      </c>
      <c r="C883">
        <v>415.13</v>
      </c>
      <c r="D883">
        <v>415.13</v>
      </c>
      <c r="E883">
        <v>415.12</v>
      </c>
      <c r="F883" t="s">
        <v>6206</v>
      </c>
      <c r="G883" s="9">
        <v>0</v>
      </c>
    </row>
    <row r="884" spans="1:7" x14ac:dyDescent="0.3">
      <c r="A884" s="4">
        <v>44726</v>
      </c>
      <c r="B884">
        <v>414.63</v>
      </c>
      <c r="C884">
        <v>415.13</v>
      </c>
      <c r="D884">
        <v>419.5</v>
      </c>
      <c r="E884">
        <v>415.12</v>
      </c>
      <c r="F884" t="s">
        <v>6206</v>
      </c>
      <c r="G884" s="9">
        <v>0</v>
      </c>
    </row>
    <row r="885" spans="1:7" x14ac:dyDescent="0.3">
      <c r="A885" s="4">
        <v>44727</v>
      </c>
      <c r="B885">
        <v>414.72</v>
      </c>
      <c r="C885">
        <v>415.13</v>
      </c>
      <c r="D885">
        <v>415.22</v>
      </c>
      <c r="E885">
        <v>415.13</v>
      </c>
      <c r="F885" t="s">
        <v>6206</v>
      </c>
      <c r="G885" s="9">
        <v>2.0000000000000001E-4</v>
      </c>
    </row>
    <row r="886" spans="1:7" x14ac:dyDescent="0.3">
      <c r="A886" s="4">
        <v>44728</v>
      </c>
      <c r="B886">
        <v>414.79</v>
      </c>
      <c r="C886">
        <v>415.22</v>
      </c>
      <c r="D886">
        <v>415.29</v>
      </c>
      <c r="E886">
        <v>414.29</v>
      </c>
      <c r="F886" t="s">
        <v>6205</v>
      </c>
      <c r="G886" s="9">
        <v>2.0000000000000001E-4</v>
      </c>
    </row>
    <row r="887" spans="1:7" x14ac:dyDescent="0.3">
      <c r="A887" s="4">
        <v>44729</v>
      </c>
      <c r="B887">
        <v>414.87</v>
      </c>
      <c r="C887">
        <v>415.29</v>
      </c>
      <c r="D887">
        <v>415.37</v>
      </c>
      <c r="E887">
        <v>415.28</v>
      </c>
      <c r="F887" t="s">
        <v>6205</v>
      </c>
      <c r="G887" s="9">
        <v>2.0000000000000001E-4</v>
      </c>
    </row>
    <row r="888" spans="1:7" x14ac:dyDescent="0.3">
      <c r="A888" s="4">
        <v>44732</v>
      </c>
      <c r="B888">
        <v>414.87</v>
      </c>
      <c r="C888">
        <v>415.37</v>
      </c>
      <c r="D888">
        <v>419.5</v>
      </c>
      <c r="E888">
        <v>415.37</v>
      </c>
      <c r="F888" t="s">
        <v>6206</v>
      </c>
      <c r="G888" s="9">
        <v>0</v>
      </c>
    </row>
    <row r="889" spans="1:7" x14ac:dyDescent="0.3">
      <c r="A889" s="4">
        <v>44733</v>
      </c>
      <c r="B889">
        <v>414.75</v>
      </c>
      <c r="C889">
        <v>415.37</v>
      </c>
      <c r="D889">
        <v>415.37</v>
      </c>
      <c r="E889">
        <v>415.25</v>
      </c>
      <c r="F889" t="s">
        <v>6208</v>
      </c>
      <c r="G889" s="9">
        <v>-2.9999999999999997E-4</v>
      </c>
    </row>
    <row r="890" spans="1:7" x14ac:dyDescent="0.3">
      <c r="A890" s="4">
        <v>44734</v>
      </c>
      <c r="B890">
        <v>414.64</v>
      </c>
      <c r="C890">
        <v>415.25</v>
      </c>
      <c r="D890">
        <v>415.27</v>
      </c>
      <c r="E890">
        <v>415.14</v>
      </c>
      <c r="F890" t="s">
        <v>6206</v>
      </c>
      <c r="G890" s="9">
        <v>-2.9999999999999997E-4</v>
      </c>
    </row>
    <row r="891" spans="1:7" x14ac:dyDescent="0.3">
      <c r="A891" s="4">
        <v>44735</v>
      </c>
      <c r="B891">
        <v>414.59</v>
      </c>
      <c r="C891">
        <v>415.14</v>
      </c>
      <c r="D891">
        <v>415.14</v>
      </c>
      <c r="E891">
        <v>415.09</v>
      </c>
      <c r="F891" t="s">
        <v>6206</v>
      </c>
      <c r="G891" s="9">
        <v>-1E-4</v>
      </c>
    </row>
    <row r="892" spans="1:7" x14ac:dyDescent="0.3">
      <c r="A892" s="4">
        <v>44736</v>
      </c>
      <c r="B892">
        <v>414.49</v>
      </c>
      <c r="C892">
        <v>415.09</v>
      </c>
      <c r="D892">
        <v>419.5</v>
      </c>
      <c r="E892">
        <v>414.99</v>
      </c>
      <c r="F892" t="s">
        <v>6206</v>
      </c>
      <c r="G892" s="9">
        <v>-2.0000000000000001E-4</v>
      </c>
    </row>
    <row r="893" spans="1:7" x14ac:dyDescent="0.3">
      <c r="A893" s="4">
        <v>44739</v>
      </c>
      <c r="B893">
        <v>414.5</v>
      </c>
      <c r="C893">
        <v>414.99</v>
      </c>
      <c r="D893">
        <v>419.5</v>
      </c>
      <c r="E893">
        <v>414.99</v>
      </c>
      <c r="F893" t="s">
        <v>6205</v>
      </c>
      <c r="G893" s="9">
        <v>0</v>
      </c>
    </row>
    <row r="894" spans="1:7" x14ac:dyDescent="0.3">
      <c r="A894" s="4">
        <v>44740</v>
      </c>
      <c r="B894">
        <v>414.64</v>
      </c>
      <c r="C894">
        <v>415</v>
      </c>
      <c r="D894">
        <v>415.14</v>
      </c>
      <c r="E894">
        <v>415</v>
      </c>
      <c r="F894" t="s">
        <v>6206</v>
      </c>
      <c r="G894" s="9">
        <v>2.9999999999999997E-4</v>
      </c>
    </row>
    <row r="895" spans="1:7" x14ac:dyDescent="0.3">
      <c r="A895" s="4">
        <v>44741</v>
      </c>
      <c r="B895">
        <v>414.6</v>
      </c>
      <c r="C895">
        <v>415.14</v>
      </c>
      <c r="D895">
        <v>415.14</v>
      </c>
      <c r="E895">
        <v>415.1</v>
      </c>
      <c r="F895" t="s">
        <v>6205</v>
      </c>
      <c r="G895" s="9">
        <v>-1E-4</v>
      </c>
    </row>
    <row r="896" spans="1:7" x14ac:dyDescent="0.3">
      <c r="A896" s="4">
        <v>44742</v>
      </c>
      <c r="B896">
        <v>414.77</v>
      </c>
      <c r="C896">
        <v>415.1</v>
      </c>
      <c r="D896">
        <v>415.27</v>
      </c>
      <c r="E896">
        <v>415.08</v>
      </c>
      <c r="F896" t="s">
        <v>6205</v>
      </c>
      <c r="G896" s="9">
        <v>4.0000000000000002E-4</v>
      </c>
    </row>
    <row r="897" spans="1:7" x14ac:dyDescent="0.3">
      <c r="A897" s="4">
        <v>44743</v>
      </c>
      <c r="B897">
        <v>412.96</v>
      </c>
      <c r="C897">
        <v>413.04</v>
      </c>
      <c r="D897">
        <v>413.21</v>
      </c>
      <c r="E897">
        <v>413.04</v>
      </c>
      <c r="F897" t="s">
        <v>6208</v>
      </c>
      <c r="G897" s="9">
        <v>4.0000000000000002E-4</v>
      </c>
    </row>
    <row r="898" spans="1:7" x14ac:dyDescent="0.3">
      <c r="A898" s="4">
        <v>44744</v>
      </c>
      <c r="B898">
        <v>415.88</v>
      </c>
      <c r="C898">
        <v>416.2</v>
      </c>
      <c r="D898">
        <v>416.38</v>
      </c>
      <c r="E898">
        <v>415.5</v>
      </c>
      <c r="F898" t="s">
        <v>6208</v>
      </c>
      <c r="G898" s="9">
        <v>4.0000000000000002E-4</v>
      </c>
    </row>
    <row r="899" spans="1:7" x14ac:dyDescent="0.3">
      <c r="A899" s="4">
        <v>44745</v>
      </c>
      <c r="B899">
        <v>415.27</v>
      </c>
      <c r="C899">
        <v>415.91</v>
      </c>
      <c r="D899">
        <v>415.91</v>
      </c>
      <c r="E899">
        <v>415.5</v>
      </c>
      <c r="F899" t="s">
        <v>6206</v>
      </c>
      <c r="G899" s="9">
        <v>-2.9999999999999997E-4</v>
      </c>
    </row>
    <row r="900" spans="1:7" x14ac:dyDescent="0.3">
      <c r="A900" s="4">
        <v>44746</v>
      </c>
      <c r="B900">
        <v>415.15</v>
      </c>
      <c r="C900">
        <v>415.72</v>
      </c>
      <c r="D900">
        <v>415.75</v>
      </c>
      <c r="E900">
        <v>415.65</v>
      </c>
      <c r="F900" t="s">
        <v>6205</v>
      </c>
      <c r="G900" s="9">
        <v>-2.0000000000000001E-4</v>
      </c>
    </row>
    <row r="901" spans="1:7" x14ac:dyDescent="0.3">
      <c r="A901" s="4">
        <v>44748</v>
      </c>
      <c r="B901">
        <v>414.63</v>
      </c>
      <c r="C901">
        <v>415.12</v>
      </c>
      <c r="D901">
        <v>415.13</v>
      </c>
      <c r="E901">
        <v>415.1</v>
      </c>
      <c r="F901" t="s">
        <v>6208</v>
      </c>
      <c r="G901" s="9">
        <v>0</v>
      </c>
    </row>
    <row r="902" spans="1:7" x14ac:dyDescent="0.3">
      <c r="A902" s="4">
        <v>44749</v>
      </c>
      <c r="B902">
        <v>414.76</v>
      </c>
      <c r="C902">
        <v>415.33</v>
      </c>
      <c r="D902">
        <v>425.5</v>
      </c>
      <c r="E902">
        <v>415.26</v>
      </c>
      <c r="F902" t="s">
        <v>6205</v>
      </c>
      <c r="G902" s="9">
        <v>-2.0000000000000001E-4</v>
      </c>
    </row>
    <row r="903" spans="1:7" x14ac:dyDescent="0.3">
      <c r="A903" s="4">
        <v>44755</v>
      </c>
      <c r="B903">
        <v>414.83</v>
      </c>
      <c r="C903">
        <v>415.32</v>
      </c>
      <c r="D903">
        <v>425.5</v>
      </c>
      <c r="E903">
        <v>415.32</v>
      </c>
      <c r="F903" t="s">
        <v>6205</v>
      </c>
      <c r="G903" s="9">
        <v>0</v>
      </c>
    </row>
    <row r="904" spans="1:7" x14ac:dyDescent="0.3">
      <c r="A904" s="4">
        <v>44756</v>
      </c>
      <c r="B904">
        <v>414.83</v>
      </c>
      <c r="C904">
        <v>415.33</v>
      </c>
      <c r="D904">
        <v>415.33</v>
      </c>
      <c r="E904">
        <v>415.32</v>
      </c>
      <c r="F904" t="s">
        <v>6206</v>
      </c>
      <c r="G904" s="9">
        <v>0</v>
      </c>
    </row>
    <row r="905" spans="1:7" x14ac:dyDescent="0.3">
      <c r="A905" s="4">
        <v>44757</v>
      </c>
      <c r="B905">
        <v>414.9</v>
      </c>
      <c r="C905">
        <v>415.33</v>
      </c>
      <c r="D905">
        <v>415.4</v>
      </c>
      <c r="E905">
        <v>415.32</v>
      </c>
      <c r="F905" t="s">
        <v>6205</v>
      </c>
      <c r="G905" s="9">
        <v>2.0000000000000001E-4</v>
      </c>
    </row>
    <row r="906" spans="1:7" x14ac:dyDescent="0.3">
      <c r="A906" s="4">
        <v>44760</v>
      </c>
      <c r="B906">
        <v>414.9</v>
      </c>
      <c r="C906">
        <v>415.4</v>
      </c>
      <c r="D906">
        <v>425.5</v>
      </c>
      <c r="E906">
        <v>415.4</v>
      </c>
      <c r="F906" t="s">
        <v>6206</v>
      </c>
      <c r="G906" s="9">
        <v>0</v>
      </c>
    </row>
    <row r="907" spans="1:7" x14ac:dyDescent="0.3">
      <c r="A907" s="4">
        <v>44761</v>
      </c>
      <c r="B907">
        <v>414.9</v>
      </c>
      <c r="C907">
        <v>415.4</v>
      </c>
      <c r="D907">
        <v>415.48</v>
      </c>
      <c r="E907">
        <v>415.4</v>
      </c>
      <c r="F907" t="s">
        <v>6205</v>
      </c>
      <c r="G907" s="9">
        <v>0</v>
      </c>
    </row>
    <row r="908" spans="1:7" x14ac:dyDescent="0.3">
      <c r="A908" s="4">
        <v>44762</v>
      </c>
      <c r="B908">
        <v>414.9</v>
      </c>
      <c r="C908">
        <v>415.4</v>
      </c>
      <c r="D908">
        <v>415.42</v>
      </c>
      <c r="E908">
        <v>415.4</v>
      </c>
      <c r="F908" t="s">
        <v>6206</v>
      </c>
      <c r="G908" s="9">
        <v>0</v>
      </c>
    </row>
    <row r="909" spans="1:7" x14ac:dyDescent="0.3">
      <c r="A909" s="4">
        <v>44763</v>
      </c>
      <c r="B909">
        <v>414.9</v>
      </c>
      <c r="C909">
        <v>415.4</v>
      </c>
      <c r="D909">
        <v>415.42</v>
      </c>
      <c r="E909">
        <v>415.4</v>
      </c>
      <c r="F909" t="s">
        <v>6206</v>
      </c>
      <c r="G909" s="9">
        <v>0</v>
      </c>
    </row>
    <row r="910" spans="1:7" x14ac:dyDescent="0.3">
      <c r="A910" s="4">
        <v>44764</v>
      </c>
      <c r="B910">
        <v>414.22</v>
      </c>
      <c r="C910">
        <v>415.4</v>
      </c>
      <c r="D910">
        <v>415.42</v>
      </c>
      <c r="E910">
        <v>414.72</v>
      </c>
      <c r="F910" t="s">
        <v>6206</v>
      </c>
      <c r="G910" s="9">
        <v>-1.6000000000000001E-3</v>
      </c>
    </row>
    <row r="911" spans="1:7" x14ac:dyDescent="0.3">
      <c r="A911" s="4">
        <v>44767</v>
      </c>
      <c r="B911">
        <v>414.75</v>
      </c>
      <c r="C911">
        <v>414.72</v>
      </c>
      <c r="D911">
        <v>425.5</v>
      </c>
      <c r="E911">
        <v>414.7</v>
      </c>
      <c r="F911" t="s">
        <v>6205</v>
      </c>
      <c r="G911" s="9">
        <v>1.2999999999999999E-3</v>
      </c>
    </row>
    <row r="912" spans="1:7" x14ac:dyDescent="0.3">
      <c r="A912" s="4">
        <v>44768</v>
      </c>
      <c r="B912">
        <v>414.75</v>
      </c>
      <c r="C912">
        <v>415.25</v>
      </c>
      <c r="D912">
        <v>415.25</v>
      </c>
      <c r="E912">
        <v>415.2</v>
      </c>
      <c r="F912" t="s">
        <v>6206</v>
      </c>
      <c r="G912" s="9">
        <v>0</v>
      </c>
    </row>
    <row r="913" spans="1:7" x14ac:dyDescent="0.3">
      <c r="A913" s="4">
        <v>44769</v>
      </c>
      <c r="B913">
        <v>415.14</v>
      </c>
      <c r="C913">
        <v>415.25</v>
      </c>
      <c r="D913">
        <v>415.64</v>
      </c>
      <c r="E913">
        <v>415.24</v>
      </c>
      <c r="F913" t="s">
        <v>6205</v>
      </c>
      <c r="G913" s="9">
        <v>8.9999999999999998E-4</v>
      </c>
    </row>
    <row r="914" spans="1:7" x14ac:dyDescent="0.3">
      <c r="A914" s="4">
        <v>44770</v>
      </c>
      <c r="B914">
        <v>414.96</v>
      </c>
      <c r="C914">
        <v>415.64</v>
      </c>
      <c r="D914">
        <v>415.65</v>
      </c>
      <c r="E914">
        <v>415.46</v>
      </c>
      <c r="F914" t="s">
        <v>6205</v>
      </c>
      <c r="G914" s="9">
        <v>-4.0000000000000002E-4</v>
      </c>
    </row>
    <row r="915" spans="1:7" x14ac:dyDescent="0.3">
      <c r="A915" s="4">
        <v>44771</v>
      </c>
      <c r="B915">
        <v>415.37</v>
      </c>
      <c r="C915">
        <v>415.46</v>
      </c>
      <c r="D915">
        <v>415.87</v>
      </c>
      <c r="E915">
        <v>415.45</v>
      </c>
      <c r="F915" t="s">
        <v>6205</v>
      </c>
      <c r="G915" s="9">
        <v>1E-3</v>
      </c>
    </row>
    <row r="916" spans="1:7" x14ac:dyDescent="0.3">
      <c r="A916" s="4">
        <v>44775</v>
      </c>
      <c r="B916">
        <v>416.05</v>
      </c>
      <c r="C916">
        <v>416.38</v>
      </c>
      <c r="D916">
        <v>416.55</v>
      </c>
      <c r="E916">
        <v>415.5</v>
      </c>
      <c r="F916" t="s">
        <v>6206</v>
      </c>
      <c r="G916" s="9">
        <v>4.0000000000000002E-4</v>
      </c>
    </row>
    <row r="917" spans="1:7" x14ac:dyDescent="0.3">
      <c r="A917" s="4">
        <v>44776</v>
      </c>
      <c r="B917">
        <v>415.34</v>
      </c>
      <c r="C917">
        <v>415.77</v>
      </c>
      <c r="D917">
        <v>415.84</v>
      </c>
      <c r="E917">
        <v>415.75</v>
      </c>
      <c r="F917" t="s">
        <v>6205</v>
      </c>
      <c r="G917" s="9">
        <v>2.0000000000000001E-4</v>
      </c>
    </row>
    <row r="918" spans="1:7" x14ac:dyDescent="0.3">
      <c r="A918" s="4">
        <v>44777</v>
      </c>
      <c r="B918">
        <v>415.15</v>
      </c>
      <c r="C918">
        <v>415.65</v>
      </c>
      <c r="D918">
        <v>415.65</v>
      </c>
      <c r="E918">
        <v>415.5</v>
      </c>
      <c r="F918" t="s">
        <v>6207</v>
      </c>
      <c r="G918" s="9">
        <v>0</v>
      </c>
    </row>
    <row r="919" spans="1:7" x14ac:dyDescent="0.3">
      <c r="A919" s="4">
        <v>44779</v>
      </c>
      <c r="B919">
        <v>414.63</v>
      </c>
      <c r="C919">
        <v>415.13</v>
      </c>
      <c r="D919">
        <v>415.13</v>
      </c>
      <c r="E919">
        <v>415.12</v>
      </c>
      <c r="F919" t="s">
        <v>6206</v>
      </c>
      <c r="G919" s="9">
        <v>0</v>
      </c>
    </row>
    <row r="920" spans="1:7" x14ac:dyDescent="0.3">
      <c r="A920" s="4">
        <v>44780</v>
      </c>
      <c r="B920">
        <v>414.83</v>
      </c>
      <c r="C920">
        <v>415.26</v>
      </c>
      <c r="D920">
        <v>415.33</v>
      </c>
      <c r="E920">
        <v>415.25</v>
      </c>
      <c r="F920" t="s">
        <v>6205</v>
      </c>
      <c r="G920" s="9">
        <v>2.0000000000000001E-4</v>
      </c>
    </row>
    <row r="921" spans="1:7" x14ac:dyDescent="0.3">
      <c r="A921" s="4">
        <v>44781</v>
      </c>
      <c r="B921">
        <v>417.47</v>
      </c>
      <c r="C921">
        <v>417.57</v>
      </c>
      <c r="D921">
        <v>425.5</v>
      </c>
      <c r="E921">
        <v>417.55</v>
      </c>
      <c r="F921" t="s">
        <v>6205</v>
      </c>
      <c r="G921" s="9">
        <v>1E-3</v>
      </c>
    </row>
    <row r="922" spans="1:7" x14ac:dyDescent="0.3">
      <c r="A922" s="4">
        <v>44788</v>
      </c>
      <c r="B922">
        <v>418.89</v>
      </c>
      <c r="C922">
        <v>419.22</v>
      </c>
      <c r="D922">
        <v>425.5</v>
      </c>
      <c r="E922">
        <v>419.2</v>
      </c>
      <c r="F922" t="s">
        <v>6205</v>
      </c>
      <c r="G922" s="9">
        <v>4.0000000000000002E-4</v>
      </c>
    </row>
    <row r="923" spans="1:7" x14ac:dyDescent="0.3">
      <c r="A923" s="4">
        <v>44789</v>
      </c>
      <c r="B923">
        <v>418.89</v>
      </c>
      <c r="C923">
        <v>419.39</v>
      </c>
      <c r="D923">
        <v>419.39</v>
      </c>
      <c r="E923">
        <v>419.38</v>
      </c>
      <c r="F923" t="s">
        <v>6206</v>
      </c>
      <c r="G923" s="9">
        <v>0</v>
      </c>
    </row>
    <row r="924" spans="1:7" x14ac:dyDescent="0.3">
      <c r="A924" s="4">
        <v>44790</v>
      </c>
      <c r="B924">
        <v>419.96</v>
      </c>
      <c r="C924">
        <v>419.39</v>
      </c>
      <c r="D924">
        <v>420.46</v>
      </c>
      <c r="E924">
        <v>419.38</v>
      </c>
      <c r="F924" t="s">
        <v>6205</v>
      </c>
      <c r="G924" s="9">
        <v>2.5999999999999999E-3</v>
      </c>
    </row>
    <row r="925" spans="1:7" x14ac:dyDescent="0.3">
      <c r="A925" s="4">
        <v>44791</v>
      </c>
      <c r="B925">
        <v>419.83</v>
      </c>
      <c r="C925">
        <v>420.46</v>
      </c>
      <c r="D925">
        <v>420.46</v>
      </c>
      <c r="E925">
        <v>419.5</v>
      </c>
      <c r="F925" t="s">
        <v>6206</v>
      </c>
      <c r="G925" s="9">
        <v>-2.9999999999999997E-4</v>
      </c>
    </row>
    <row r="926" spans="1:7" x14ac:dyDescent="0.3">
      <c r="A926" s="4">
        <v>44792</v>
      </c>
      <c r="B926">
        <v>419.83</v>
      </c>
      <c r="C926">
        <v>420.33</v>
      </c>
      <c r="D926">
        <v>420.33</v>
      </c>
      <c r="E926">
        <v>420.3</v>
      </c>
      <c r="F926" t="s">
        <v>6206</v>
      </c>
      <c r="G926" s="9">
        <v>0</v>
      </c>
    </row>
    <row r="927" spans="1:7" x14ac:dyDescent="0.3">
      <c r="A927" s="4">
        <v>44795</v>
      </c>
      <c r="B927">
        <v>420.4</v>
      </c>
      <c r="C927">
        <v>420.33</v>
      </c>
      <c r="D927">
        <v>420.9</v>
      </c>
      <c r="E927">
        <v>420.3</v>
      </c>
      <c r="F927" t="s">
        <v>6206</v>
      </c>
      <c r="G927" s="9">
        <v>1.4E-3</v>
      </c>
    </row>
    <row r="928" spans="1:7" x14ac:dyDescent="0.3">
      <c r="A928" s="4">
        <v>44796</v>
      </c>
      <c r="B928">
        <v>420.71</v>
      </c>
      <c r="C928">
        <v>420.9</v>
      </c>
      <c r="D928">
        <v>425.5</v>
      </c>
      <c r="E928">
        <v>420.9</v>
      </c>
      <c r="F928" t="s">
        <v>6205</v>
      </c>
      <c r="G928" s="9">
        <v>6.9999999999999999E-4</v>
      </c>
    </row>
    <row r="929" spans="1:7" x14ac:dyDescent="0.3">
      <c r="A929" s="4">
        <v>44797</v>
      </c>
      <c r="B929">
        <v>421.08</v>
      </c>
      <c r="C929">
        <v>421.21</v>
      </c>
      <c r="D929">
        <v>421.58</v>
      </c>
      <c r="E929">
        <v>421.2</v>
      </c>
      <c r="F929" t="s">
        <v>6205</v>
      </c>
      <c r="G929" s="9">
        <v>8.9999999999999998E-4</v>
      </c>
    </row>
    <row r="930" spans="1:7" x14ac:dyDescent="0.3">
      <c r="A930" s="4">
        <v>44798</v>
      </c>
      <c r="B930">
        <v>421.39</v>
      </c>
      <c r="C930">
        <v>421.58</v>
      </c>
      <c r="D930">
        <v>421.89</v>
      </c>
      <c r="E930">
        <v>421.55</v>
      </c>
      <c r="F930" t="s">
        <v>6205</v>
      </c>
      <c r="G930" s="9">
        <v>6.9999999999999999E-4</v>
      </c>
    </row>
    <row r="931" spans="1:7" x14ac:dyDescent="0.3">
      <c r="A931" s="4">
        <v>44799</v>
      </c>
      <c r="B931">
        <v>421.7</v>
      </c>
      <c r="C931">
        <v>421.89</v>
      </c>
      <c r="D931">
        <v>422.2</v>
      </c>
      <c r="E931">
        <v>421.85</v>
      </c>
      <c r="F931" t="s">
        <v>6205</v>
      </c>
      <c r="G931" s="9">
        <v>6.9999999999999999E-4</v>
      </c>
    </row>
    <row r="932" spans="1:7" x14ac:dyDescent="0.3">
      <c r="A932" s="4">
        <v>44802</v>
      </c>
      <c r="B932">
        <v>421.7</v>
      </c>
      <c r="C932">
        <v>422.2</v>
      </c>
      <c r="D932">
        <v>428.5</v>
      </c>
      <c r="E932">
        <v>422.2</v>
      </c>
      <c r="F932" t="s">
        <v>6206</v>
      </c>
      <c r="G932" s="9">
        <v>0</v>
      </c>
    </row>
    <row r="933" spans="1:7" x14ac:dyDescent="0.3">
      <c r="A933" s="4">
        <v>44803</v>
      </c>
      <c r="B933">
        <v>422.38</v>
      </c>
      <c r="C933">
        <v>422.2</v>
      </c>
      <c r="D933">
        <v>422.88</v>
      </c>
      <c r="E933">
        <v>419.5</v>
      </c>
      <c r="F933" t="s">
        <v>6205</v>
      </c>
      <c r="G933" s="9">
        <v>1.6000000000000001E-3</v>
      </c>
    </row>
    <row r="934" spans="1:7" x14ac:dyDescent="0.3">
      <c r="A934" s="4">
        <v>44804</v>
      </c>
      <c r="B934">
        <v>421.38</v>
      </c>
      <c r="C934">
        <v>422.88</v>
      </c>
      <c r="D934">
        <v>422.88</v>
      </c>
      <c r="E934">
        <v>421.88</v>
      </c>
      <c r="F934" t="s">
        <v>6205</v>
      </c>
      <c r="G934" s="9">
        <v>-2.3999999999999998E-3</v>
      </c>
    </row>
    <row r="935" spans="1:7" x14ac:dyDescent="0.3">
      <c r="A935" s="4">
        <v>44806</v>
      </c>
      <c r="B935">
        <v>416.25</v>
      </c>
      <c r="C935">
        <v>416.55</v>
      </c>
      <c r="D935">
        <v>416.75</v>
      </c>
      <c r="E935">
        <v>416.55</v>
      </c>
      <c r="F935" t="s">
        <v>6205</v>
      </c>
      <c r="G935" s="9">
        <v>5.0000000000000001E-4</v>
      </c>
    </row>
    <row r="936" spans="1:7" x14ac:dyDescent="0.3">
      <c r="A936" s="4">
        <v>44807</v>
      </c>
      <c r="B936">
        <v>415.34</v>
      </c>
      <c r="C936">
        <v>415.84</v>
      </c>
      <c r="D936">
        <v>415.84</v>
      </c>
      <c r="E936">
        <v>415.8</v>
      </c>
      <c r="F936" t="s">
        <v>6206</v>
      </c>
      <c r="G936" s="9">
        <v>0</v>
      </c>
    </row>
    <row r="937" spans="1:7" x14ac:dyDescent="0.3">
      <c r="A937" s="4">
        <v>44809</v>
      </c>
      <c r="B937">
        <v>414.8</v>
      </c>
      <c r="C937">
        <v>415.19</v>
      </c>
      <c r="D937">
        <v>415.5</v>
      </c>
      <c r="E937">
        <v>415.1</v>
      </c>
      <c r="F937" t="s">
        <v>6205</v>
      </c>
      <c r="G937" s="9">
        <v>2.9999999999999997E-4</v>
      </c>
    </row>
    <row r="938" spans="1:7" x14ac:dyDescent="0.3">
      <c r="A938" s="4">
        <v>44810</v>
      </c>
      <c r="B938">
        <v>414.63</v>
      </c>
      <c r="C938">
        <v>415.13</v>
      </c>
      <c r="D938">
        <v>418.5</v>
      </c>
      <c r="E938">
        <v>415.12</v>
      </c>
      <c r="F938" t="s">
        <v>6206</v>
      </c>
      <c r="G938" s="9">
        <v>0</v>
      </c>
    </row>
    <row r="939" spans="1:7" x14ac:dyDescent="0.3">
      <c r="A939" s="4">
        <v>44812</v>
      </c>
      <c r="B939">
        <v>417.47</v>
      </c>
      <c r="C939">
        <v>417.97</v>
      </c>
      <c r="D939">
        <v>417.97</v>
      </c>
      <c r="E939">
        <v>417.95</v>
      </c>
      <c r="F939" t="s">
        <v>6206</v>
      </c>
      <c r="G939" s="9">
        <v>0</v>
      </c>
    </row>
    <row r="940" spans="1:7" x14ac:dyDescent="0.3">
      <c r="A940" s="4">
        <v>44835</v>
      </c>
      <c r="B940">
        <v>413.14</v>
      </c>
      <c r="C940">
        <v>413.21</v>
      </c>
      <c r="D940">
        <v>414.29</v>
      </c>
      <c r="E940">
        <v>413.21</v>
      </c>
      <c r="F940" t="s">
        <v>6205</v>
      </c>
      <c r="G940" s="9">
        <v>4.0000000000000002E-4</v>
      </c>
    </row>
    <row r="941" spans="1:7" x14ac:dyDescent="0.3">
      <c r="A941" s="4">
        <v>44836</v>
      </c>
      <c r="B941">
        <v>416.37</v>
      </c>
      <c r="C941">
        <v>416.75</v>
      </c>
      <c r="D941">
        <v>416.87</v>
      </c>
      <c r="E941">
        <v>416.75</v>
      </c>
      <c r="F941" t="s">
        <v>6205</v>
      </c>
      <c r="G941" s="9">
        <v>2.9999999999999997E-4</v>
      </c>
    </row>
    <row r="942" spans="1:7" x14ac:dyDescent="0.3">
      <c r="A942" s="4">
        <v>44837</v>
      </c>
      <c r="B942">
        <v>415.34</v>
      </c>
      <c r="C942">
        <v>415.84</v>
      </c>
      <c r="D942">
        <v>415.85</v>
      </c>
      <c r="E942">
        <v>415.84</v>
      </c>
      <c r="F942" t="s">
        <v>6206</v>
      </c>
      <c r="G942" s="9">
        <v>0</v>
      </c>
    </row>
    <row r="943" spans="1:7" x14ac:dyDescent="0.3">
      <c r="A943" s="4">
        <v>44839</v>
      </c>
      <c r="B943">
        <v>413.83</v>
      </c>
      <c r="C943">
        <v>415.3</v>
      </c>
      <c r="D943">
        <v>415.3</v>
      </c>
      <c r="E943">
        <v>414.33</v>
      </c>
      <c r="F943" t="s">
        <v>6206</v>
      </c>
      <c r="G943" s="9">
        <v>-2.3E-3</v>
      </c>
    </row>
    <row r="944" spans="1:7" x14ac:dyDescent="0.3">
      <c r="A944" s="4">
        <v>44840</v>
      </c>
      <c r="B944">
        <v>414.63</v>
      </c>
      <c r="C944">
        <v>415.13</v>
      </c>
      <c r="D944">
        <v>415.13</v>
      </c>
      <c r="E944">
        <v>415.12</v>
      </c>
      <c r="F944" t="s">
        <v>6206</v>
      </c>
      <c r="G944" s="9">
        <v>0</v>
      </c>
    </row>
    <row r="945" spans="1:7" x14ac:dyDescent="0.3">
      <c r="A945" s="4">
        <v>44842</v>
      </c>
      <c r="B945">
        <v>418.19</v>
      </c>
      <c r="C945">
        <v>417.97</v>
      </c>
      <c r="D945">
        <v>418.69</v>
      </c>
      <c r="E945">
        <v>417.95</v>
      </c>
      <c r="F945" t="s">
        <v>6206</v>
      </c>
      <c r="G945" s="9">
        <v>1.6999999999999999E-3</v>
      </c>
    </row>
    <row r="946" spans="1:7" x14ac:dyDescent="0.3">
      <c r="A946" s="4">
        <v>44866</v>
      </c>
      <c r="B946">
        <v>413.1</v>
      </c>
      <c r="C946">
        <v>413.64</v>
      </c>
      <c r="D946">
        <v>413.64</v>
      </c>
      <c r="E946">
        <v>413.6</v>
      </c>
      <c r="F946" t="s">
        <v>6208</v>
      </c>
      <c r="G946" s="9">
        <v>-1E-4</v>
      </c>
    </row>
    <row r="947" spans="1:7" x14ac:dyDescent="0.3">
      <c r="A947" s="4">
        <v>44867</v>
      </c>
      <c r="B947">
        <v>416.51</v>
      </c>
      <c r="C947">
        <v>416.87</v>
      </c>
      <c r="D947">
        <v>417.01</v>
      </c>
      <c r="E947">
        <v>416.87</v>
      </c>
      <c r="F947" t="s">
        <v>6205</v>
      </c>
      <c r="G947" s="9">
        <v>2.9999999999999997E-4</v>
      </c>
    </row>
    <row r="948" spans="1:7" x14ac:dyDescent="0.3">
      <c r="A948" s="4">
        <v>44868</v>
      </c>
      <c r="B948">
        <v>415.34</v>
      </c>
      <c r="C948">
        <v>415.84</v>
      </c>
      <c r="D948">
        <v>415.84</v>
      </c>
      <c r="E948">
        <v>415.8</v>
      </c>
      <c r="F948" t="s">
        <v>6206</v>
      </c>
      <c r="G948" s="9">
        <v>0</v>
      </c>
    </row>
    <row r="949" spans="1:7" x14ac:dyDescent="0.3">
      <c r="A949" s="4">
        <v>44869</v>
      </c>
      <c r="B949">
        <v>415.12</v>
      </c>
      <c r="C949">
        <v>415.65</v>
      </c>
      <c r="D949">
        <v>415.65</v>
      </c>
      <c r="E949">
        <v>415.62</v>
      </c>
      <c r="F949" t="s">
        <v>6205</v>
      </c>
      <c r="G949" s="9">
        <v>-1E-4</v>
      </c>
    </row>
    <row r="950" spans="1:7" x14ac:dyDescent="0.3">
      <c r="A950" s="4">
        <v>44870</v>
      </c>
      <c r="B950">
        <v>413.83</v>
      </c>
      <c r="C950">
        <v>414.33</v>
      </c>
      <c r="D950">
        <v>414.33</v>
      </c>
      <c r="E950">
        <v>414.3</v>
      </c>
      <c r="F950" t="s">
        <v>6207</v>
      </c>
      <c r="G950" s="9">
        <v>0</v>
      </c>
    </row>
    <row r="951" spans="1:7" x14ac:dyDescent="0.3">
      <c r="A951" s="4">
        <v>44872</v>
      </c>
      <c r="B951">
        <v>414.83</v>
      </c>
      <c r="C951">
        <v>415.33</v>
      </c>
      <c r="D951">
        <v>415.35</v>
      </c>
      <c r="E951">
        <v>415.33</v>
      </c>
      <c r="F951" t="s">
        <v>6207</v>
      </c>
      <c r="G951" s="9">
        <v>0</v>
      </c>
    </row>
    <row r="952" spans="1:7" x14ac:dyDescent="0.3">
      <c r="A952" s="4">
        <v>44873</v>
      </c>
      <c r="B952">
        <v>418.37</v>
      </c>
      <c r="C952">
        <v>418.69</v>
      </c>
      <c r="D952">
        <v>418.87</v>
      </c>
      <c r="E952">
        <v>418.69</v>
      </c>
      <c r="F952" t="s">
        <v>6206</v>
      </c>
      <c r="G952" s="9">
        <v>4.0000000000000002E-4</v>
      </c>
    </row>
    <row r="953" spans="1:7" x14ac:dyDescent="0.3">
      <c r="A953" s="4">
        <v>44896</v>
      </c>
      <c r="B953">
        <v>413.44</v>
      </c>
      <c r="C953">
        <v>413.6</v>
      </c>
      <c r="D953">
        <v>414.5</v>
      </c>
      <c r="E953">
        <v>413.6</v>
      </c>
      <c r="F953" t="s">
        <v>6208</v>
      </c>
      <c r="G953" s="9">
        <v>8.0000000000000004E-4</v>
      </c>
    </row>
    <row r="954" spans="1:7" x14ac:dyDescent="0.3">
      <c r="A954" s="4">
        <v>44899</v>
      </c>
      <c r="B954">
        <v>414.09</v>
      </c>
      <c r="C954">
        <v>415.62</v>
      </c>
      <c r="D954">
        <v>415.63</v>
      </c>
      <c r="E954">
        <v>414.59</v>
      </c>
      <c r="F954" t="s">
        <v>6205</v>
      </c>
      <c r="G954" s="9">
        <v>-2.5000000000000001E-3</v>
      </c>
    </row>
    <row r="955" spans="1:7" x14ac:dyDescent="0.3">
      <c r="A955" s="4">
        <v>44900</v>
      </c>
      <c r="B955">
        <v>414.83</v>
      </c>
      <c r="C955">
        <v>414.33</v>
      </c>
      <c r="D955">
        <v>415.5</v>
      </c>
      <c r="E955">
        <v>414.33</v>
      </c>
      <c r="F955" t="s">
        <v>6205</v>
      </c>
      <c r="G955" s="9">
        <v>2.3999999999999998E-3</v>
      </c>
    </row>
    <row r="956" spans="1:7" x14ac:dyDescent="0.3">
      <c r="A956" s="4">
        <v>44902</v>
      </c>
      <c r="B956">
        <v>414.82</v>
      </c>
      <c r="C956">
        <v>415.33</v>
      </c>
      <c r="D956">
        <v>415.33</v>
      </c>
      <c r="E956">
        <v>415.32</v>
      </c>
      <c r="F956" t="s">
        <v>6206</v>
      </c>
      <c r="G956" s="9">
        <v>0</v>
      </c>
    </row>
    <row r="957" spans="1:7" x14ac:dyDescent="0.3">
      <c r="A957" s="4">
        <v>44903</v>
      </c>
      <c r="B957">
        <v>418.72</v>
      </c>
      <c r="C957">
        <v>418.87</v>
      </c>
      <c r="D957">
        <v>419.22</v>
      </c>
      <c r="E957">
        <v>418.85</v>
      </c>
      <c r="F957" t="s">
        <v>6205</v>
      </c>
      <c r="G957" s="9">
        <v>8.0000000000000004E-4</v>
      </c>
    </row>
  </sheetData>
  <autoFilter ref="A1:G957" xr:uid="{6B49C4C0-3DFE-47C6-9EF8-FD16B0704828}">
    <sortState xmlns:xlrd2="http://schemas.microsoft.com/office/spreadsheetml/2017/richdata2" ref="A2:G957">
      <sortCondition ref="A2:A95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SalesOverTime</vt:lpstr>
      <vt:lpstr>SalesByCountry</vt:lpstr>
      <vt:lpstr>SalesByCustomer</vt:lpstr>
      <vt:lpstr>orders</vt:lpstr>
      <vt:lpstr>customers</vt:lpstr>
      <vt:lpstr>products</vt:lpstr>
      <vt:lpstr>USD_NGN Historical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Shalom Karunwi</dc:creator>
  <cp:keywords/>
  <dc:description/>
  <cp:lastModifiedBy>Shalom Karunwi</cp:lastModifiedBy>
  <cp:revision/>
  <dcterms:created xsi:type="dcterms:W3CDTF">2022-11-26T09:51:45Z</dcterms:created>
  <dcterms:modified xsi:type="dcterms:W3CDTF">2024-07-17T16:11:56Z</dcterms:modified>
  <cp:category/>
  <cp:contentStatus/>
</cp:coreProperties>
</file>